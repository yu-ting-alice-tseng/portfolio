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nually" sheetId="1" r:id="rId4"/>
    <sheet state="visible" name="Monthly" sheetId="2" r:id="rId5"/>
  </sheets>
  <definedNames/>
  <calcPr/>
  <extLst>
    <ext uri="GoogleSheetsCustomDataVersion2">
      <go:sheetsCustomData xmlns:go="http://customooxmlschemas.google.com/" r:id="rId6" roundtripDataChecksum="Mg4qdVO3DjU+uFZ+l7GsQyW1rgsLZLYDWYeWY+VX8HA="/>
    </ext>
  </extLst>
</workbook>
</file>

<file path=xl/sharedStrings.xml><?xml version="1.0" encoding="utf-8"?>
<sst xmlns="http://schemas.openxmlformats.org/spreadsheetml/2006/main" count="200" uniqueCount="51">
  <si>
    <t>Year</t>
  </si>
  <si>
    <t>Deals</t>
  </si>
  <si>
    <t>Value</t>
  </si>
  <si>
    <t>Source</t>
  </si>
  <si>
    <t>in bil. USD</t>
  </si>
  <si>
    <t>in bil. EUR</t>
  </si>
  <si>
    <t>in bil. GBP</t>
  </si>
  <si>
    <t>in bil. YEN</t>
  </si>
  <si>
    <t>1990</t>
  </si>
  <si>
    <t>Thomson Financial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</si>
  <si>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</si>
  <si>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</si>
  <si>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</si>
  <si>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</si>
  <si>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</si>
  <si>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</si>
  <si>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</si>
  <si>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</si>
  <si>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</si>
  <si>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</si>
  <si>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</si>
  <si>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</si>
  <si>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</si>
  <si>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</si>
  <si>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</si>
  <si>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</si>
  <si>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</si>
  <si>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</si>
  <si>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</si>
  <si>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</si>
  <si>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2012</t>
  </si>
  <si>
    <t>2013</t>
  </si>
  <si>
    <t>2014</t>
  </si>
  <si>
    <t>2015</t>
  </si>
  <si>
    <t>2016</t>
  </si>
  <si>
    <t>Capital IQ</t>
  </si>
  <si>
    <t>Total Since 1990</t>
  </si>
  <si>
    <t>Number of Deals</t>
  </si>
  <si>
    <t xml:space="preserve">Value of Deals </t>
  </si>
  <si>
    <t>2025</t>
  </si>
  <si>
    <t>2026 (Mar 31)</t>
  </si>
  <si>
    <t>2026 e</t>
  </si>
  <si>
    <t>Number</t>
  </si>
  <si>
    <t xml:space="preserve">Source </t>
  </si>
  <si>
    <t>Sep-20</t>
  </si>
  <si>
    <t>Jan-Dec 2022</t>
  </si>
  <si>
    <t>Value of Deals</t>
  </si>
  <si>
    <t>Jan-Dec 2023</t>
  </si>
  <si>
    <t>Jan-Dec 2024</t>
  </si>
  <si>
    <t>Jan-Dec 2025</t>
  </si>
  <si>
    <t>`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</si>
</sst>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#,##0.0"/>
    <numFmt numFmtId="165" formatCode="0.0"/>
    <numFmt numFmtId="166" formatCode="mmm-d"/>
    <numFmt numFmtId="167" formatCode="mmmm-d"/>
    <numFmt numFmtId="168" formatCode="mmm yyyy"/>
    <numFmt numFmtId="169" formatCode="mmm&quot;-&quot;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9F9F9"/>
        <bgColor rgb="FFF9F9F9"/>
      </patternFill>
    </fill>
  </fills>
  <borders count="2">
    <border/>
    <border>
      <bottom style="thin">
        <color rgb="FFD8DDE1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shrinkToFit="0" vertical="bottom" wrapText="0"/>
    </xf>
    <xf quotePrefix="1" borderId="0" fillId="0" fontId="1" numFmtId="0" xfId="0" applyFont="1"/>
    <xf borderId="0" fillId="0" fontId="2" numFmtId="3" xfId="0" applyAlignment="1" applyFont="1" applyNumberFormat="1">
      <alignment horizontal="right" shrinkToFit="0" vertical="bottom" wrapText="0"/>
    </xf>
    <xf borderId="0" fillId="0" fontId="2" numFmtId="4" xfId="0" applyAlignment="1" applyFont="1" applyNumberFormat="1">
      <alignment horizontal="right" shrinkToFit="0" vertical="bottom" wrapText="0"/>
    </xf>
    <xf borderId="0" fillId="0" fontId="3" numFmtId="0" xfId="0" applyAlignment="1" applyFont="1">
      <alignment vertical="bottom"/>
    </xf>
    <xf borderId="0" fillId="0" fontId="3" numFmtId="3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1" numFmtId="49" xfId="0" applyFont="1" applyNumberFormat="1"/>
    <xf borderId="0" fillId="0" fontId="3" numFmtId="0" xfId="0" applyAlignment="1" applyFont="1">
      <alignment horizontal="left" shrinkToFit="0" vertical="bottom" wrapText="0"/>
    </xf>
    <xf borderId="0" fillId="0" fontId="3" numFmtId="2" xfId="0" applyAlignment="1" applyFont="1" applyNumberFormat="1">
      <alignment horizontal="right" vertical="bottom"/>
    </xf>
    <xf borderId="0" fillId="0" fontId="3" numFmtId="4" xfId="0" applyAlignment="1" applyFont="1" applyNumberFormat="1">
      <alignment horizontal="right" vertical="bottom"/>
    </xf>
    <xf borderId="0" fillId="0" fontId="2" numFmtId="0" xfId="0" applyAlignment="1" applyFont="1">
      <alignment horizontal="left" vertical="top"/>
    </xf>
    <xf borderId="0" fillId="0" fontId="2" numFmtId="0" xfId="0" applyAlignment="1" applyFont="1">
      <alignment horizontal="left" shrinkToFit="0" vertical="bottom" wrapText="0"/>
    </xf>
    <xf borderId="0" fillId="0" fontId="3" numFmtId="3" xfId="0" applyAlignment="1" applyFont="1" applyNumberFormat="1">
      <alignment vertical="bottom"/>
    </xf>
    <xf borderId="0" fillId="0" fontId="3" numFmtId="49" xfId="0" applyAlignment="1" applyFont="1" applyNumberFormat="1">
      <alignment vertical="bottom"/>
    </xf>
    <xf borderId="0" fillId="0" fontId="2" numFmtId="2" xfId="0" applyAlignment="1" applyFont="1" applyNumberFormat="1">
      <alignment horizontal="right" shrinkToFit="0" vertical="bottom" wrapText="0"/>
    </xf>
    <xf borderId="0" fillId="0" fontId="3" numFmtId="164" xfId="0" applyAlignment="1" applyFont="1" applyNumberFormat="1">
      <alignment horizontal="right" vertical="bottom"/>
    </xf>
    <xf borderId="0" fillId="0" fontId="3" numFmtId="0" xfId="0" applyFont="1"/>
    <xf borderId="0" fillId="2" fontId="2" numFmtId="0" xfId="0" applyAlignment="1" applyFill="1" applyFont="1">
      <alignment horizontal="right" vertical="bottom"/>
    </xf>
    <xf borderId="0" fillId="2" fontId="3" numFmtId="0" xfId="0" applyAlignment="1" applyFont="1">
      <alignment vertical="bottom"/>
    </xf>
    <xf borderId="0" fillId="2" fontId="3" numFmtId="165" xfId="0" applyAlignment="1" applyFont="1" applyNumberFormat="1">
      <alignment vertical="bottom"/>
    </xf>
    <xf borderId="0" fillId="0" fontId="2" numFmtId="166" xfId="0" applyAlignment="1" applyFont="1" applyNumberFormat="1">
      <alignment horizontal="right" vertical="bottom"/>
    </xf>
    <xf borderId="1" fillId="3" fontId="2" numFmtId="164" xfId="0" applyAlignment="1" applyBorder="1" applyFill="1" applyFont="1" applyNumberForma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2" fontId="3" numFmtId="3" xfId="0" applyAlignment="1" applyFont="1" applyNumberFormat="1">
      <alignment vertical="bottom"/>
    </xf>
    <xf borderId="1" fillId="2" fontId="3" numFmtId="164" xfId="0" applyAlignment="1" applyBorder="1" applyFont="1" applyNumberFormat="1">
      <alignment vertical="bottom"/>
    </xf>
    <xf borderId="0" fillId="2" fontId="3" numFmtId="164" xfId="0" applyAlignment="1" applyFont="1" applyNumberFormat="1">
      <alignment vertical="bottom"/>
    </xf>
    <xf borderId="0" fillId="0" fontId="2" numFmtId="167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2" fontId="3" numFmtId="0" xfId="0" applyAlignment="1" applyFont="1">
      <alignment horizontal="right" vertical="bottom"/>
    </xf>
    <xf borderId="0" fillId="2" fontId="3" numFmtId="4" xfId="0" applyAlignment="1" applyFont="1" applyNumberFormat="1">
      <alignment vertical="bottom"/>
    </xf>
    <xf borderId="0" fillId="0" fontId="3" numFmtId="166" xfId="0" applyAlignment="1" applyFont="1" applyNumberFormat="1">
      <alignment horizontal="right" vertical="bottom"/>
    </xf>
    <xf borderId="0" fillId="0" fontId="3" numFmtId="4" xfId="0" applyAlignment="1" applyFont="1" applyNumberFormat="1">
      <alignment vertical="bottom"/>
    </xf>
    <xf borderId="0" fillId="0" fontId="3" numFmtId="168" xfId="0" applyAlignment="1" applyFont="1" applyNumberFormat="1">
      <alignment vertical="bottom"/>
    </xf>
    <xf borderId="0" fillId="0" fontId="3" numFmtId="166" xfId="0" applyFont="1" applyNumberFormat="1"/>
    <xf borderId="0" fillId="0" fontId="3" numFmtId="3" xfId="0" applyFont="1" applyNumberFormat="1"/>
    <xf borderId="0" fillId="0" fontId="3" numFmtId="167" xfId="0" applyFont="1" applyNumberFormat="1"/>
    <xf borderId="0" fillId="0" fontId="3" numFmtId="164" xfId="0" applyFont="1" applyNumberFormat="1"/>
    <xf borderId="0" fillId="0" fontId="1" numFmtId="166" xfId="0" applyFont="1" applyNumberFormat="1"/>
    <xf borderId="0" fillId="0" fontId="3" numFmtId="169" xfId="0" applyAlignment="1" applyFont="1" applyNumberFormat="1">
      <alignment horizontal="right" vertical="bottom"/>
    </xf>
    <xf borderId="0" fillId="0" fontId="2" numFmtId="3" xfId="0" applyAlignment="1" applyFont="1" applyNumberFormat="1">
      <alignment horizontal="right" vertical="bottom"/>
    </xf>
    <xf borderId="0" fillId="0" fontId="3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000000"/>
                </a:solidFill>
                <a:latin typeface="Roboto"/>
              </a:defRPr>
            </a:pPr>
            <a:r>
              <a:rPr b="1" i="0" sz="1600">
                <a:solidFill>
                  <a:srgbClr val="000000"/>
                </a:solidFill>
                <a:latin typeface="Roboto"/>
              </a:rPr>
              <a:t>Mergers &amp; Acquisitions South America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Annually!$B$1</c:f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Annually!$A$2:$A$43</c:f>
            </c:strRef>
          </c:cat>
          <c:val>
            <c:numRef>
              <c:f>Annually!$B$2:$B$43</c:f>
              <c:numCache/>
            </c:numRef>
          </c:val>
        </c:ser>
        <c:axId val="1407155538"/>
        <c:axId val="1895379778"/>
      </c:barChart>
      <c:lineChart>
        <c:varyColors val="0"/>
        <c:ser>
          <c:idx val="1"/>
          <c:order val="1"/>
          <c:tx>
            <c:strRef>
              <c:f>Annually!$C$1</c:f>
            </c:strRef>
          </c:tx>
          <c:spPr>
            <a:ln cmpd="sng" w="19050">
              <a:solidFill>
                <a:srgbClr val="DB443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Annually!$A$2:$A$43</c:f>
            </c:strRef>
          </c:cat>
          <c:val>
            <c:numRef>
              <c:f>Annually!$C$2:$C$43</c:f>
              <c:numCache/>
            </c:numRef>
          </c:val>
          <c:smooth val="0"/>
        </c:ser>
        <c:axId val="1407155538"/>
        <c:axId val="1895379778"/>
      </c:lineChart>
      <c:catAx>
        <c:axId val="14071555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5400000"/>
          <a:lstStyle/>
          <a:p>
            <a:pPr lvl="0">
              <a:defRPr b="0" i="0" sz="1000">
                <a:solidFill>
                  <a:srgbClr val="222222"/>
                </a:solidFill>
                <a:latin typeface="Roboto"/>
              </a:defRPr>
            </a:pPr>
          </a:p>
        </c:txPr>
        <c:crossAx val="1895379778"/>
      </c:catAx>
      <c:valAx>
        <c:axId val="18953797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>Number of Transactions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1407155538"/>
      </c:valAx>
    </c:plotArea>
    <c:legend>
      <c:legendPos val="t"/>
      <c:overlay val="0"/>
      <c:txPr>
        <a:bodyPr/>
        <a:lstStyle/>
        <a:p>
          <a:pPr lvl="0">
            <a:defRPr b="0" i="0" sz="1000">
              <a:solidFill>
                <a:srgbClr val="222222"/>
              </a:solidFill>
              <a:latin typeface="Roboto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952500</xdr:colOff>
      <xdr:row>1</xdr:row>
      <xdr:rowOff>180975</xdr:rowOff>
    </xdr:from>
    <xdr:ext cx="6848475" cy="3781425"/>
    <xdr:graphicFrame>
      <xdr:nvGraphicFramePr>
        <xdr:cNvPr id="1832969408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5" width="13.5"/>
    <col customWidth="1" min="6" max="6" width="13.38"/>
    <col customWidth="1" min="7" max="7" width="15.13"/>
    <col customWidth="1" min="9" max="9" width="13.38"/>
    <col customWidth="1" min="10" max="10" width="13.5"/>
  </cols>
  <sheetData>
    <row r="1" ht="15.75" customHeight="1">
      <c r="A1" s="1" t="s">
        <v>0</v>
      </c>
      <c r="B1" s="2" t="s">
        <v>1</v>
      </c>
      <c r="C1" s="3" t="s">
        <v>2</v>
      </c>
      <c r="G1" s="1" t="s">
        <v>3</v>
      </c>
    </row>
    <row r="2" ht="15.75" customHeight="1">
      <c r="C2" s="4" t="s">
        <v>4</v>
      </c>
      <c r="D2" s="3" t="s">
        <v>5</v>
      </c>
      <c r="E2" s="3" t="s">
        <v>6</v>
      </c>
      <c r="F2" s="3" t="s">
        <v>7</v>
      </c>
    </row>
    <row r="3" ht="15.75" customHeight="1">
      <c r="A3" s="5" t="s">
        <v>8</v>
      </c>
      <c r="B3" s="6">
        <v>84.0</v>
      </c>
      <c r="C3" s="7">
        <v>8.02297</v>
      </c>
      <c r="D3" s="7">
        <v>5.94122</v>
      </c>
      <c r="E3" s="7">
        <v>4.17205</v>
      </c>
      <c r="F3" s="7">
        <v>1067.7859</v>
      </c>
      <c r="G3" s="1" t="s">
        <v>9</v>
      </c>
    </row>
    <row r="4" ht="15.75" customHeight="1">
      <c r="A4" s="5" t="s">
        <v>10</v>
      </c>
      <c r="B4" s="6">
        <v>141.0</v>
      </c>
      <c r="C4" s="7">
        <v>6.25532</v>
      </c>
      <c r="D4" s="7">
        <v>5.12129</v>
      </c>
      <c r="E4" s="7">
        <v>3.5912</v>
      </c>
      <c r="F4" s="7">
        <v>827.46527</v>
      </c>
      <c r="G4" s="1" t="s">
        <v>9</v>
      </c>
    </row>
    <row r="5" ht="15.75" customHeight="1">
      <c r="A5" s="5" t="s">
        <v>11</v>
      </c>
      <c r="B5" s="6">
        <v>253.0</v>
      </c>
      <c r="C5" s="7">
        <v>10.30129</v>
      </c>
      <c r="D5" s="7">
        <v>7.94299</v>
      </c>
      <c r="E5" s="7">
        <v>5.98921</v>
      </c>
      <c r="F5" s="7">
        <v>1286.709</v>
      </c>
      <c r="G5" s="1" t="s">
        <v>9</v>
      </c>
    </row>
    <row r="6" ht="15.75" customHeight="1">
      <c r="A6" s="5" t="s">
        <v>12</v>
      </c>
      <c r="B6" s="6">
        <v>305.0</v>
      </c>
      <c r="C6" s="7">
        <v>7.11003</v>
      </c>
      <c r="D6" s="7">
        <v>6.07181</v>
      </c>
      <c r="E6" s="7">
        <v>4.69956</v>
      </c>
      <c r="F6" s="7">
        <v>769.92867</v>
      </c>
      <c r="G6" s="1" t="s">
        <v>9</v>
      </c>
    </row>
    <row r="7" ht="15.75" customHeight="1">
      <c r="A7" s="5" t="s">
        <v>13</v>
      </c>
      <c r="B7" s="6">
        <v>403.0</v>
      </c>
      <c r="C7" s="7">
        <v>14.21578</v>
      </c>
      <c r="D7" s="7">
        <v>12.02228</v>
      </c>
      <c r="E7" s="7">
        <v>9.24412</v>
      </c>
      <c r="F7" s="7">
        <v>1461.282</v>
      </c>
      <c r="G7" s="1" t="s">
        <v>9</v>
      </c>
    </row>
    <row r="8" ht="15.75" customHeight="1">
      <c r="A8" s="5" t="s">
        <v>14</v>
      </c>
      <c r="B8" s="6">
        <v>480.0</v>
      </c>
      <c r="C8" s="7">
        <v>17.1201</v>
      </c>
      <c r="D8" s="7">
        <v>14.20824</v>
      </c>
      <c r="E8" s="7">
        <v>10.87601</v>
      </c>
      <c r="F8" s="7">
        <v>1677.7005</v>
      </c>
      <c r="G8" s="1" t="s">
        <v>9</v>
      </c>
    </row>
    <row r="9" ht="15.75" customHeight="1">
      <c r="A9" s="5" t="s">
        <v>15</v>
      </c>
      <c r="B9" s="6">
        <v>572.0</v>
      </c>
      <c r="C9" s="7">
        <v>31.51602</v>
      </c>
      <c r="D9" s="7">
        <v>25.40287</v>
      </c>
      <c r="E9" s="7">
        <v>19.98843</v>
      </c>
      <c r="F9" s="7">
        <v>3470.6318</v>
      </c>
      <c r="G9" s="1" t="s">
        <v>9</v>
      </c>
    </row>
    <row r="10" ht="15.75" customHeight="1">
      <c r="A10" s="5" t="s">
        <v>16</v>
      </c>
      <c r="B10" s="6">
        <v>693.0</v>
      </c>
      <c r="C10" s="7">
        <v>66.63221</v>
      </c>
      <c r="D10" s="7">
        <v>59.8893</v>
      </c>
      <c r="E10" s="7">
        <v>40.81206</v>
      </c>
      <c r="F10" s="7">
        <v>8105.5784</v>
      </c>
      <c r="G10" s="1" t="s">
        <v>9</v>
      </c>
    </row>
    <row r="11" ht="15.75" customHeight="1">
      <c r="A11" s="5" t="s">
        <v>17</v>
      </c>
      <c r="B11" s="6">
        <v>1006.0</v>
      </c>
      <c r="C11" s="7">
        <v>79.23435</v>
      </c>
      <c r="D11" s="7">
        <v>71.02669</v>
      </c>
      <c r="E11" s="7">
        <v>48.05071</v>
      </c>
      <c r="F11" s="7">
        <v>11449.524</v>
      </c>
      <c r="G11" s="1" t="s">
        <v>9</v>
      </c>
    </row>
    <row r="12" ht="15.75" customHeight="1">
      <c r="A12" s="5" t="s">
        <v>18</v>
      </c>
      <c r="B12" s="6">
        <v>845.0</v>
      </c>
      <c r="C12" s="7">
        <v>67.74881</v>
      </c>
      <c r="D12" s="7">
        <v>64.16152</v>
      </c>
      <c r="E12" s="7">
        <v>41.9864</v>
      </c>
      <c r="F12" s="7">
        <v>7742.7427</v>
      </c>
      <c r="G12" s="1" t="s">
        <v>9</v>
      </c>
    </row>
    <row r="13" ht="15.75" customHeight="1">
      <c r="A13" s="5" t="s">
        <v>19</v>
      </c>
      <c r="B13" s="6">
        <v>1132.0</v>
      </c>
      <c r="C13" s="7">
        <v>83.14386</v>
      </c>
      <c r="D13" s="7">
        <v>89.00604</v>
      </c>
      <c r="E13" s="7">
        <v>54.38589</v>
      </c>
      <c r="F13" s="7">
        <v>8983.8032</v>
      </c>
      <c r="G13" s="1" t="s">
        <v>9</v>
      </c>
    </row>
    <row r="14" ht="15.75" customHeight="1">
      <c r="A14" s="5" t="s">
        <v>20</v>
      </c>
      <c r="B14" s="6">
        <v>854.0</v>
      </c>
      <c r="C14" s="7">
        <v>37.47899</v>
      </c>
      <c r="D14" s="7">
        <v>41.83805</v>
      </c>
      <c r="E14" s="7">
        <v>25.9984</v>
      </c>
      <c r="F14" s="7">
        <v>4560.4315</v>
      </c>
      <c r="G14" s="1" t="s">
        <v>9</v>
      </c>
    </row>
    <row r="15" ht="15.75" customHeight="1">
      <c r="A15" s="5" t="s">
        <v>21</v>
      </c>
      <c r="B15" s="6">
        <v>580.0</v>
      </c>
      <c r="C15" s="7">
        <v>29.20499</v>
      </c>
      <c r="D15" s="7">
        <v>30.99301</v>
      </c>
      <c r="E15" s="7">
        <v>19.53737</v>
      </c>
      <c r="F15" s="7">
        <v>3635.1317</v>
      </c>
      <c r="G15" s="1" t="s">
        <v>9</v>
      </c>
    </row>
    <row r="16" ht="15.75" customHeight="1">
      <c r="A16" s="5" t="s">
        <v>22</v>
      </c>
      <c r="B16" s="6">
        <v>457.0</v>
      </c>
      <c r="C16" s="7">
        <v>23.29328</v>
      </c>
      <c r="D16" s="7">
        <v>20.56231</v>
      </c>
      <c r="E16" s="7">
        <v>14.22528</v>
      </c>
      <c r="F16" s="7">
        <v>2680.4195</v>
      </c>
      <c r="G16" s="1" t="s">
        <v>9</v>
      </c>
    </row>
    <row r="17" ht="15.75" customHeight="1">
      <c r="A17" s="5" t="s">
        <v>23</v>
      </c>
      <c r="B17" s="6">
        <v>644.0</v>
      </c>
      <c r="C17" s="7">
        <v>38.81192</v>
      </c>
      <c r="D17" s="7">
        <v>31.45031</v>
      </c>
      <c r="E17" s="7">
        <v>21.21384</v>
      </c>
      <c r="F17" s="7">
        <v>4239.6062</v>
      </c>
      <c r="G17" s="1" t="s">
        <v>9</v>
      </c>
    </row>
    <row r="18" ht="15.75" customHeight="1">
      <c r="A18" s="5" t="s">
        <v>24</v>
      </c>
      <c r="B18" s="6">
        <v>519.0</v>
      </c>
      <c r="C18" s="7">
        <v>35.02992</v>
      </c>
      <c r="D18" s="7">
        <v>28.33227</v>
      </c>
      <c r="E18" s="7">
        <v>19.38021</v>
      </c>
      <c r="F18" s="7">
        <v>3885.5805</v>
      </c>
      <c r="G18" s="1" t="s">
        <v>9</v>
      </c>
    </row>
    <row r="19" ht="15.75" customHeight="1">
      <c r="A19" s="5" t="s">
        <v>25</v>
      </c>
      <c r="B19" s="6">
        <v>774.0</v>
      </c>
      <c r="C19" s="7">
        <v>101.04837</v>
      </c>
      <c r="D19" s="7">
        <v>79.09437</v>
      </c>
      <c r="E19" s="7">
        <v>53.83453</v>
      </c>
      <c r="F19" s="7">
        <v>11767.615</v>
      </c>
      <c r="G19" s="1" t="s">
        <v>9</v>
      </c>
    </row>
    <row r="20" ht="15.75" customHeight="1">
      <c r="A20" s="5" t="s">
        <v>26</v>
      </c>
      <c r="B20" s="6">
        <v>1500.0</v>
      </c>
      <c r="C20" s="7">
        <v>87.77044</v>
      </c>
      <c r="D20" s="7">
        <v>63.17651</v>
      </c>
      <c r="E20" s="7">
        <v>44.06475</v>
      </c>
      <c r="F20" s="7">
        <v>10156.696</v>
      </c>
      <c r="G20" s="1" t="s">
        <v>9</v>
      </c>
    </row>
    <row r="21" ht="15.75" customHeight="1">
      <c r="A21" s="5" t="s">
        <v>27</v>
      </c>
      <c r="B21" s="6">
        <v>1483.0</v>
      </c>
      <c r="C21" s="7">
        <v>141.4222</v>
      </c>
      <c r="D21" s="7">
        <v>96.72862</v>
      </c>
      <c r="E21" s="7">
        <v>77.42721</v>
      </c>
      <c r="F21" s="7">
        <v>14407.488</v>
      </c>
      <c r="G21" s="1" t="s">
        <v>9</v>
      </c>
    </row>
    <row r="22" ht="15.75" customHeight="1">
      <c r="A22" s="5" t="s">
        <v>28</v>
      </c>
      <c r="B22" s="6">
        <v>1299.0</v>
      </c>
      <c r="C22" s="7">
        <v>100.49504</v>
      </c>
      <c r="D22" s="7">
        <v>72.06624</v>
      </c>
      <c r="E22" s="7">
        <v>64.37185</v>
      </c>
      <c r="F22" s="7">
        <v>9269.9207</v>
      </c>
      <c r="G22" s="1" t="s">
        <v>9</v>
      </c>
    </row>
    <row r="23" ht="15.75" customHeight="1">
      <c r="A23" s="5" t="s">
        <v>29</v>
      </c>
      <c r="B23" s="6">
        <v>1610.0</v>
      </c>
      <c r="C23" s="7">
        <v>205.92822</v>
      </c>
      <c r="D23" s="7">
        <v>155.5832</v>
      </c>
      <c r="E23" s="7">
        <v>132.63048</v>
      </c>
      <c r="F23" s="7">
        <v>17798.647</v>
      </c>
      <c r="G23" s="1" t="s">
        <v>9</v>
      </c>
    </row>
    <row r="24" ht="15.75" customHeight="1">
      <c r="A24" s="5" t="s">
        <v>29</v>
      </c>
      <c r="B24" s="6">
        <v>1798.0</v>
      </c>
      <c r="C24" s="7">
        <v>135.07584</v>
      </c>
      <c r="D24" s="7">
        <v>97.25926</v>
      </c>
      <c r="E24" s="7">
        <v>84.42555</v>
      </c>
      <c r="F24" s="7">
        <v>10805.817</v>
      </c>
      <c r="G24" s="1" t="s">
        <v>9</v>
      </c>
      <c r="K24" s="8"/>
      <c r="L24" s="8"/>
      <c r="M24" s="8"/>
    </row>
    <row r="25" ht="15.75" customHeight="1">
      <c r="A25" s="5" t="s">
        <v>30</v>
      </c>
      <c r="B25" s="6">
        <v>1616.0</v>
      </c>
      <c r="C25" s="7">
        <v>108.20523</v>
      </c>
      <c r="D25" s="7">
        <v>83.41507</v>
      </c>
      <c r="E25" s="7">
        <v>68.10873</v>
      </c>
      <c r="F25" s="7">
        <v>8803.9673</v>
      </c>
      <c r="G25" s="1" t="s">
        <v>9</v>
      </c>
      <c r="K25" s="8"/>
      <c r="L25" s="9"/>
      <c r="M25" s="9"/>
    </row>
    <row r="26" ht="15.75" customHeight="1">
      <c r="A26" s="5" t="s">
        <v>31</v>
      </c>
      <c r="B26" s="6">
        <v>1225.0</v>
      </c>
      <c r="C26" s="7">
        <v>103.37437</v>
      </c>
      <c r="D26" s="7">
        <v>77.35292</v>
      </c>
      <c r="E26" s="7">
        <v>65.08938</v>
      </c>
      <c r="F26" s="7">
        <v>10272.585</v>
      </c>
      <c r="G26" s="1" t="s">
        <v>9</v>
      </c>
      <c r="K26" s="8"/>
      <c r="L26" s="8"/>
      <c r="M26" s="8"/>
    </row>
    <row r="27" ht="15.75" customHeight="1">
      <c r="A27" s="5" t="s">
        <v>32</v>
      </c>
      <c r="B27" s="6">
        <v>1087.0</v>
      </c>
      <c r="C27" s="7">
        <v>94.84775</v>
      </c>
      <c r="D27" s="7">
        <v>72.15085</v>
      </c>
      <c r="E27" s="7">
        <v>57.67903</v>
      </c>
      <c r="F27" s="7">
        <v>10011.791</v>
      </c>
      <c r="G27" s="1" t="s">
        <v>9</v>
      </c>
      <c r="K27" s="8"/>
      <c r="L27" s="8"/>
      <c r="M27" s="8"/>
    </row>
    <row r="28" ht="15.75" customHeight="1">
      <c r="A28" s="5" t="s">
        <v>33</v>
      </c>
      <c r="B28" s="6">
        <v>1149.0</v>
      </c>
      <c r="C28" s="7">
        <v>76.73804</v>
      </c>
      <c r="D28" s="7">
        <v>69.47072</v>
      </c>
      <c r="E28" s="7">
        <v>50.84827</v>
      </c>
      <c r="F28" s="7">
        <v>9166.8907</v>
      </c>
      <c r="G28" s="1" t="s">
        <v>9</v>
      </c>
      <c r="K28" s="10"/>
      <c r="L28" s="9"/>
      <c r="M28" s="9"/>
    </row>
    <row r="29" ht="15.75" customHeight="1">
      <c r="A29" s="11" t="s">
        <v>34</v>
      </c>
      <c r="B29" s="6">
        <v>1153.0</v>
      </c>
      <c r="C29" s="7">
        <v>72.86091</v>
      </c>
      <c r="D29" s="7">
        <v>65.74253</v>
      </c>
      <c r="E29" s="7">
        <v>55.05937</v>
      </c>
      <c r="F29" s="7">
        <v>7836.3278</v>
      </c>
      <c r="G29" s="1" t="s">
        <v>9</v>
      </c>
      <c r="K29" s="10"/>
      <c r="L29" s="9"/>
      <c r="M29" s="9"/>
    </row>
    <row r="30" ht="15.75" customHeight="1">
      <c r="A30" s="12">
        <v>2017.0</v>
      </c>
      <c r="B30" s="6">
        <v>1149.0</v>
      </c>
      <c r="C30" s="7">
        <v>98.56396</v>
      </c>
      <c r="D30" s="7">
        <v>87.29496</v>
      </c>
      <c r="E30" s="7">
        <v>76.36587</v>
      </c>
      <c r="F30" s="7">
        <v>11055.127</v>
      </c>
      <c r="G30" s="1" t="s">
        <v>9</v>
      </c>
      <c r="K30" s="8"/>
      <c r="L30" s="8"/>
      <c r="M30" s="8"/>
    </row>
    <row r="31" ht="15.75" customHeight="1">
      <c r="A31" s="12">
        <v>2018.0</v>
      </c>
      <c r="B31" s="6">
        <f>SUM(Monthly!B4:B15)</f>
        <v>2378</v>
      </c>
      <c r="C31" s="7">
        <f>SUM(Monthly!C4:C15)</f>
        <v>600.88861</v>
      </c>
      <c r="D31" s="7">
        <f>SUM(Monthly!D4:D15)</f>
        <v>506.7884287</v>
      </c>
      <c r="E31" s="7">
        <f>SUM(Monthly!E4:E15)</f>
        <v>430.0612473</v>
      </c>
      <c r="F31" s="7">
        <f>SUM(Monthly!F4:F15)</f>
        <v>60238.69793</v>
      </c>
      <c r="G31" s="1" t="s">
        <v>35</v>
      </c>
      <c r="I31" s="8" t="s">
        <v>36</v>
      </c>
      <c r="J31" s="9" t="s">
        <v>37</v>
      </c>
      <c r="K31" s="9" t="s">
        <v>38</v>
      </c>
      <c r="L31" s="13"/>
      <c r="M31" s="13"/>
    </row>
    <row r="32" ht="15.75" customHeight="1">
      <c r="A32" s="12">
        <v>2019.0</v>
      </c>
      <c r="B32" s="6">
        <f>SUM(Monthly!B17:B28)</f>
        <v>2215</v>
      </c>
      <c r="C32" s="7">
        <f>SUM(Monthly!C17:C28)</f>
        <v>529.3415</v>
      </c>
      <c r="D32" s="7">
        <f>SUM(Monthly!D17:D28)</f>
        <v>473.6640953</v>
      </c>
      <c r="E32" s="7">
        <f>SUM(Monthly!E17:E28)</f>
        <v>413.5977102</v>
      </c>
      <c r="F32" s="7">
        <f>SUM(Monthly!F17:F28)</f>
        <v>57761.51284</v>
      </c>
      <c r="G32" s="1" t="s">
        <v>35</v>
      </c>
      <c r="I32" s="8"/>
      <c r="J32" s="9">
        <f t="shared" ref="J32:K32" si="1">SUM(B3:B39)</f>
        <v>40192</v>
      </c>
      <c r="K32" s="14">
        <f t="shared" si="1"/>
        <v>7558.77327</v>
      </c>
      <c r="L32" s="8"/>
      <c r="M32" s="8"/>
    </row>
    <row r="33" ht="15.75" customHeight="1">
      <c r="A33" s="12">
        <v>2020.0</v>
      </c>
      <c r="B33" s="6">
        <f>SUM(Monthly!B30:B41)</f>
        <v>2047</v>
      </c>
      <c r="C33" s="7">
        <f>SUM(Monthly!C30:C41)</f>
        <v>594.0725</v>
      </c>
      <c r="D33" s="7">
        <f>SUM(Monthly!D30:D41)</f>
        <v>513.1655901</v>
      </c>
      <c r="E33" s="7">
        <f>SUM(Monthly!E30:E41)</f>
        <v>457.0604105</v>
      </c>
      <c r="F33" s="7">
        <f>SUM(Monthly!F30:F41)</f>
        <v>63042.97588</v>
      </c>
      <c r="G33" s="1" t="s">
        <v>35</v>
      </c>
      <c r="K33" s="8"/>
      <c r="L33" s="8"/>
      <c r="M33" s="8"/>
    </row>
    <row r="34" ht="15.75" customHeight="1">
      <c r="A34" s="12">
        <v>2021.0</v>
      </c>
      <c r="B34" s="6">
        <f>SUM(Monthly!B43:B54)</f>
        <v>2513</v>
      </c>
      <c r="C34" s="7">
        <f>SUM(Monthly!C43:C54)</f>
        <v>966.496</v>
      </c>
      <c r="D34" s="7">
        <f>SUM(Monthly!D43:D54)</f>
        <v>817.2468435</v>
      </c>
      <c r="E34" s="7">
        <f>SUM(Monthly!E43:E54)</f>
        <v>702.5932812</v>
      </c>
      <c r="F34" s="7">
        <f>SUM(Monthly!F43:F54)</f>
        <v>106179.998</v>
      </c>
      <c r="G34" s="1" t="s">
        <v>35</v>
      </c>
      <c r="K34" s="8"/>
      <c r="L34" s="8"/>
      <c r="M34" s="8"/>
    </row>
    <row r="35" ht="15.75" customHeight="1">
      <c r="A35" s="12">
        <v>2022.0</v>
      </c>
      <c r="B35" s="6">
        <f>SUM(Monthly!B56:B67)</f>
        <v>1953</v>
      </c>
      <c r="C35" s="7">
        <f>SUM(Monthly!C56:C67)</f>
        <v>890.02145</v>
      </c>
      <c r="D35" s="7">
        <f>SUM(Monthly!D56:D67)</f>
        <v>835.5170138</v>
      </c>
      <c r="E35" s="7">
        <f>SUM(Monthly!E56:E67)</f>
        <v>708.1518181</v>
      </c>
      <c r="F35" s="7">
        <f>SUM(Monthly!F56:F67)</f>
        <v>114525.8465</v>
      </c>
      <c r="G35" s="1" t="s">
        <v>35</v>
      </c>
      <c r="K35" s="10"/>
      <c r="L35" s="9"/>
      <c r="M35" s="9"/>
    </row>
    <row r="36" ht="15.75" customHeight="1">
      <c r="A36" s="15">
        <v>2023.0</v>
      </c>
      <c r="B36" s="6">
        <f>SUM(Monthly!B69:B80)</f>
        <v>1274</v>
      </c>
      <c r="C36" s="7">
        <f>SUM(Monthly!C69:C80)</f>
        <v>482.443</v>
      </c>
      <c r="D36" s="7">
        <f>SUM(Monthly!D69:D80)</f>
        <v>448.102563</v>
      </c>
      <c r="E36" s="7">
        <f>SUM(Monthly!E69:E80)</f>
        <v>390.5257846</v>
      </c>
      <c r="F36" s="7">
        <f>SUM(Monthly!F69:F80)</f>
        <v>67201.91072</v>
      </c>
      <c r="G36" s="1" t="s">
        <v>35</v>
      </c>
      <c r="K36" s="10"/>
      <c r="L36" s="9"/>
      <c r="M36" s="9"/>
    </row>
    <row r="37" ht="15.75" customHeight="1">
      <c r="A37" s="16">
        <v>2024.0</v>
      </c>
      <c r="B37" s="9">
        <f>SUM(Monthly!B82:B93)</f>
        <v>1259</v>
      </c>
      <c r="C37" s="14">
        <f>SUM(Monthly!C82:C93)</f>
        <v>395.1733</v>
      </c>
      <c r="D37" s="14">
        <f>SUM(Monthly!D82:D93)</f>
        <v>367.3405791</v>
      </c>
      <c r="E37" s="14">
        <f>SUM(Monthly!E82:E93)</f>
        <v>309.5494261</v>
      </c>
      <c r="F37" s="14">
        <f>SUM(Monthly!F82:F93)</f>
        <v>60176.80596</v>
      </c>
      <c r="G37" s="8" t="s">
        <v>35</v>
      </c>
      <c r="K37" s="8"/>
      <c r="L37" s="17"/>
      <c r="M37" s="8"/>
    </row>
    <row r="38" ht="15.75" customHeight="1">
      <c r="A38" s="18" t="s">
        <v>39</v>
      </c>
      <c r="B38" s="9">
        <f>SUM(Monthly!B95:B106)</f>
        <v>1409</v>
      </c>
      <c r="C38" s="14">
        <f>SUM(Monthly!C95:C106)</f>
        <v>729.9188</v>
      </c>
      <c r="D38" s="14">
        <f>SUM(Monthly!D95:D106)</f>
        <v>584.2128048</v>
      </c>
      <c r="E38" s="14">
        <f>SUM(Monthly!E95:E106)</f>
        <v>552.2849844</v>
      </c>
      <c r="F38" s="14">
        <f>SUM(Monthly!F95:F106)</f>
        <v>109268.6402</v>
      </c>
      <c r="G38" s="8" t="s">
        <v>35</v>
      </c>
      <c r="K38" s="8"/>
      <c r="L38" s="13"/>
      <c r="M38" s="13"/>
    </row>
    <row r="39" ht="15.75" customHeight="1">
      <c r="A39" s="18" t="s">
        <v>40</v>
      </c>
      <c r="B39" s="9">
        <f>SUM(Monthly!B108:B110)</f>
        <v>333</v>
      </c>
      <c r="C39" s="14">
        <f>SUM(Monthly!C108:C110)</f>
        <v>488.9679</v>
      </c>
      <c r="D39" s="14">
        <f>SUM(Monthly!D108:D110)</f>
        <v>60.14722077</v>
      </c>
      <c r="E39" s="14">
        <f>SUM(Monthly!E108:E110)</f>
        <v>60.14722077</v>
      </c>
      <c r="F39" s="14">
        <f>SUM(Monthly!F108:F110)</f>
        <v>11059.51847</v>
      </c>
      <c r="G39" s="8" t="s">
        <v>35</v>
      </c>
      <c r="K39" s="8"/>
      <c r="L39" s="8"/>
      <c r="M39" s="8"/>
    </row>
    <row r="40" ht="15.75" customHeight="1">
      <c r="A40" s="18" t="s">
        <v>41</v>
      </c>
      <c r="B40" s="9">
        <f t="shared" ref="B40:F40" si="2">B39/3*12</f>
        <v>1332</v>
      </c>
      <c r="C40" s="14">
        <f t="shared" si="2"/>
        <v>1955.8716</v>
      </c>
      <c r="D40" s="14">
        <f t="shared" si="2"/>
        <v>240.5888831</v>
      </c>
      <c r="E40" s="14">
        <f t="shared" si="2"/>
        <v>240.5888831</v>
      </c>
      <c r="F40" s="14">
        <f t="shared" si="2"/>
        <v>44238.07388</v>
      </c>
      <c r="G40" s="8" t="s">
        <v>35</v>
      </c>
      <c r="K40" s="8"/>
      <c r="L40" s="8"/>
      <c r="M40" s="8"/>
    </row>
    <row r="41" ht="15.75" customHeight="1">
      <c r="A41" s="12"/>
      <c r="B41" s="6"/>
      <c r="C41" s="19"/>
      <c r="D41" s="19"/>
      <c r="E41" s="19"/>
      <c r="F41" s="19"/>
      <c r="G41" s="1"/>
      <c r="K41" s="10"/>
      <c r="L41" s="9"/>
      <c r="M41" s="9"/>
    </row>
    <row r="42" ht="15.75" customHeight="1">
      <c r="A42" s="12"/>
      <c r="B42" s="6"/>
      <c r="C42" s="6"/>
      <c r="D42" s="6"/>
      <c r="E42" s="6"/>
      <c r="F42" s="6"/>
      <c r="G42" s="1"/>
      <c r="K42" s="10"/>
      <c r="L42" s="9"/>
      <c r="M42" s="9"/>
    </row>
    <row r="43" ht="15.75" customHeight="1">
      <c r="A43" s="12"/>
      <c r="B43" s="6"/>
      <c r="C43" s="6"/>
      <c r="D43" s="6"/>
      <c r="E43" s="6"/>
      <c r="F43" s="6"/>
      <c r="G43" s="1"/>
      <c r="K43" s="8"/>
      <c r="L43" s="8"/>
      <c r="M43" s="8"/>
    </row>
    <row r="44" ht="15.75" customHeight="1">
      <c r="K44" s="8"/>
      <c r="L44" s="13"/>
      <c r="M44" s="13"/>
    </row>
    <row r="45" ht="15.75" customHeight="1">
      <c r="K45" s="8"/>
      <c r="L45" s="8"/>
      <c r="M45" s="8"/>
    </row>
    <row r="46" ht="15.75" customHeight="1">
      <c r="K46" s="8"/>
      <c r="L46" s="8"/>
      <c r="M46" s="8"/>
    </row>
    <row r="47" ht="15.75" customHeight="1">
      <c r="K47" s="8"/>
      <c r="L47" s="8"/>
      <c r="M47" s="8"/>
    </row>
    <row r="48" ht="15.75" customHeight="1">
      <c r="K48" s="8"/>
      <c r="L48" s="9"/>
      <c r="M48" s="20"/>
    </row>
    <row r="49" ht="15.75" customHeight="1">
      <c r="K49" s="8"/>
      <c r="L49" s="9"/>
      <c r="M49" s="20"/>
    </row>
    <row r="50" ht="15.75" customHeight="1">
      <c r="K50" s="8"/>
      <c r="L50" s="8"/>
      <c r="M50" s="8"/>
    </row>
    <row r="51" ht="15.75" customHeight="1">
      <c r="K51" s="8"/>
      <c r="L51" s="13"/>
      <c r="M51" s="13"/>
    </row>
    <row r="52" ht="15.75" customHeight="1">
      <c r="K52" s="8"/>
      <c r="L52" s="8"/>
      <c r="M52" s="8"/>
    </row>
    <row r="53" ht="15.75" customHeight="1">
      <c r="K53" s="8"/>
      <c r="L53" s="8"/>
      <c r="M53" s="8"/>
    </row>
    <row r="54" ht="15.75" customHeight="1">
      <c r="K54" s="8"/>
      <c r="L54" s="8"/>
      <c r="M54" s="8"/>
    </row>
    <row r="55" ht="15.75" customHeight="1">
      <c r="K55" s="8"/>
      <c r="L55" s="9"/>
      <c r="M55" s="20"/>
    </row>
    <row r="56" ht="15.75" customHeight="1">
      <c r="K56" s="8"/>
      <c r="L56" s="9"/>
      <c r="M56" s="20"/>
    </row>
    <row r="57" ht="15.75" customHeight="1">
      <c r="K57" s="8"/>
      <c r="L57" s="8"/>
      <c r="M57" s="8"/>
    </row>
    <row r="58" ht="15.75" customHeight="1">
      <c r="K58" s="8"/>
      <c r="L58" s="13"/>
      <c r="M58" s="13"/>
    </row>
    <row r="59" ht="15.75" customHeight="1">
      <c r="K59" s="8"/>
      <c r="L59" s="8"/>
      <c r="M59" s="8"/>
    </row>
    <row r="60" ht="15.75" customHeight="1">
      <c r="K60" s="8"/>
      <c r="L60" s="8"/>
      <c r="M60" s="8"/>
    </row>
    <row r="61" ht="15.75" customHeight="1">
      <c r="K61" s="8"/>
      <c r="L61" s="8"/>
      <c r="M61" s="8"/>
    </row>
    <row r="62" ht="15.75" customHeight="1">
      <c r="K62" s="10"/>
      <c r="L62" s="9"/>
      <c r="M62" s="9"/>
    </row>
    <row r="63" ht="15.75" customHeight="1">
      <c r="K63" s="10"/>
      <c r="L63" s="9"/>
      <c r="M63" s="20"/>
    </row>
    <row r="64" ht="15.75" customHeight="1">
      <c r="K64" s="8"/>
      <c r="L64" s="8"/>
      <c r="M64" s="8"/>
    </row>
    <row r="65" ht="15.75" customHeight="1">
      <c r="K65" s="8"/>
      <c r="L65" s="13"/>
      <c r="M65" s="13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</sheetData>
  <mergeCells count="1">
    <mergeCell ref="C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9" max="9" width="11.38"/>
    <col customWidth="1" min="10" max="10" width="13.5"/>
  </cols>
  <sheetData>
    <row r="1" ht="15.75" customHeight="1">
      <c r="A1" s="8" t="s">
        <v>0</v>
      </c>
      <c r="B1" s="8" t="s">
        <v>42</v>
      </c>
      <c r="C1" s="8" t="s">
        <v>2</v>
      </c>
      <c r="F1" s="8"/>
      <c r="G1" s="8" t="s">
        <v>43</v>
      </c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ht="15.75" customHeight="1">
      <c r="A2" s="8"/>
      <c r="B2" s="8"/>
      <c r="C2" s="8" t="s">
        <v>4</v>
      </c>
      <c r="D2" s="8" t="s">
        <v>5</v>
      </c>
      <c r="E2" s="8" t="s">
        <v>6</v>
      </c>
      <c r="F2" s="8" t="s">
        <v>7</v>
      </c>
      <c r="G2" s="8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ht="15.75" customHeight="1">
      <c r="A3" s="22">
        <v>2018.0</v>
      </c>
      <c r="B3" s="23"/>
      <c r="C3" s="24"/>
      <c r="D3" s="24"/>
      <c r="E3" s="24"/>
      <c r="F3" s="24"/>
      <c r="G3" s="23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ht="15.75" customHeight="1">
      <c r="A4" s="25">
        <v>43118.0</v>
      </c>
      <c r="B4" s="9">
        <v>214.0</v>
      </c>
      <c r="C4" s="26">
        <f>46712.9/1000</f>
        <v>46.7129</v>
      </c>
      <c r="D4" s="27">
        <f>IFERROR(__xludf.DUMMYFUNCTION("C4*IMPORTRANGE(""https://docs.google.com/spreadsheets/d/1xsp01RMmkav9iTy39Zaj_7tE9677EGlOJ14KU9TZn7I"", ""2018-2025!H25"")"),38.313453451)</f>
        <v>38.31345345</v>
      </c>
      <c r="E4" s="27">
        <f>IFERROR(__xludf.DUMMYFUNCTION("C4*IMPORTRANGE(""https://docs.google.com/spreadsheets/d/1xsp01RMmkav9iTy39Zaj_7tE9677EGlOJ14KU9TZn7I"", ""2018-2025!T25"")"),33.854240017)</f>
        <v>33.85424002</v>
      </c>
      <c r="F4" s="27">
        <f>IFERROR(__xludf.DUMMYFUNCTION("C4*IMPORTRANGE(""https://docs.google.com/spreadsheets/d/1xsp01RMmkav9iTy39Zaj_7tE9677EGlOJ14KU9TZn7I"", ""2018-2025!AC25"")"),5189.8031900000005)</f>
        <v>5189.80319</v>
      </c>
      <c r="G4" s="8" t="s">
        <v>35</v>
      </c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ht="15.75" customHeight="1">
      <c r="A5" s="25">
        <v>44975.0</v>
      </c>
      <c r="B5" s="9">
        <v>187.0</v>
      </c>
      <c r="C5" s="26">
        <f>35667.4/1000</f>
        <v>35.6674</v>
      </c>
      <c r="D5" s="27">
        <f>IFERROR(__xludf.DUMMYFUNCTION("C5*IMPORTRANGE(""https://docs.google.com/spreadsheets/d/1xsp01RMmkav9iTy39Zaj_7tE9677EGlOJ14KU9TZn7I"", ""2018-2025!H46"")"),28.893269055)</f>
        <v>28.89326906</v>
      </c>
      <c r="E5" s="27">
        <f>IFERROR(__xludf.DUMMYFUNCTION("C5*IMPORTRANGE(""https://docs.google.com/spreadsheets/d/1xsp01RMmkav9iTy39Zaj_7tE9677EGlOJ14KU9TZn7I"", ""2018-2025!T46"")"),25.544991879999998)</f>
        <v>25.54499188</v>
      </c>
      <c r="F5" s="27">
        <f>IFERROR(__xludf.DUMMYFUNCTION("C5*IMPORTRANGE(""https://docs.google.com/spreadsheets/d/1xsp01RMmkav9iTy39Zaj_7tE9677EGlOJ14KU9TZn7I"", ""2018-2025!AC46"")"),3839.9344502999998)</f>
        <v>3839.93445</v>
      </c>
      <c r="G5" s="8" t="s">
        <v>35</v>
      </c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15.75" customHeight="1">
      <c r="A6" s="25">
        <v>45003.0</v>
      </c>
      <c r="B6" s="9">
        <v>218.0</v>
      </c>
      <c r="C6" s="26">
        <f>105604.7/1000</f>
        <v>105.6047</v>
      </c>
      <c r="D6" s="27">
        <f>IFERROR(__xludf.DUMMYFUNCTION("C6*IMPORTRANGE(""https://docs.google.com/spreadsheets/d/1xsp01RMmkav9iTy39Zaj_7tE9677EGlOJ14KU9TZn7I"", ""2018-2025!H69"")"),85.643299606)</f>
        <v>85.64329961</v>
      </c>
      <c r="E6" s="27">
        <f>IFERROR(__xludf.DUMMYFUNCTION("D6*IMPORTRANGE(""https://docs.google.com/spreadsheets/d/1xsp01RMmkav9iTy39Zaj_7tE9677EGlOJ14KU9TZn7I"", ""2018-2025!t69"")"),61.35999843571476)</f>
        <v>61.35999844</v>
      </c>
      <c r="F6" s="27">
        <f>IFERROR(__xludf.DUMMYFUNCTION("E6*IMPORTRANGE(""https://docs.google.com/spreadsheets/d/1xsp01RMmkav9iTy39Zaj_7tE9677EGlOJ14KU9TZn7I"", ""2018-2025!ac69"")"),6514.867153912796)</f>
        <v>6514.867154</v>
      </c>
      <c r="G6" s="8" t="s">
        <v>35</v>
      </c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ht="15.75" customHeight="1">
      <c r="A7" s="25">
        <v>45034.0</v>
      </c>
      <c r="B7" s="9">
        <v>182.0</v>
      </c>
      <c r="C7" s="26">
        <f>51710.9/1000</f>
        <v>51.7109</v>
      </c>
      <c r="D7" s="27">
        <f>IFERROR(__xludf.DUMMYFUNCTION("C7*IMPORTRANGE(""https://docs.google.com/spreadsheets/d/1xsp01RMmkav9iTy39Zaj_7tE9677EGlOJ14KU9TZn7I"", ""2018-2025!H91"")"),42.066300041000005)</f>
        <v>42.06630004</v>
      </c>
      <c r="E7" s="27">
        <f>IFERROR(__xludf.DUMMYFUNCTION("C7*IMPORTRANGE(""https://docs.google.com/spreadsheets/d/1xsp01RMmkav9iTy39Zaj_7tE9677EGlOJ14KU9TZn7I"", ""2018-2025!t91"")"),36.70956791)</f>
        <v>36.70956791</v>
      </c>
      <c r="F7" s="27">
        <f>IFERROR(__xludf.DUMMYFUNCTION("C7*IMPORTRANGE(""https://docs.google.com/spreadsheets/d/1xsp01RMmkav9iTy39Zaj_7tE9677EGlOJ14KU9TZn7I"", ""2018-2025!ac91"")"),5538.9096317)</f>
        <v>5538.909632</v>
      </c>
      <c r="G7" s="8" t="s">
        <v>35</v>
      </c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ht="15.75" customHeight="1">
      <c r="A8" s="25">
        <v>45064.0</v>
      </c>
      <c r="B8" s="9">
        <v>184.0</v>
      </c>
      <c r="C8" s="26">
        <f>58268.1/1000</f>
        <v>58.2681</v>
      </c>
      <c r="D8" s="27">
        <f>IFERROR(__xludf.DUMMYFUNCTION("C8*IMPORTRANGE(""https://docs.google.com/spreadsheets/d/1xsp01RMmkav9iTy39Zaj_7tE9677EGlOJ14KU9TZn7I"", ""2018-2025!H115"")"),49.292481876)</f>
        <v>49.29248188</v>
      </c>
      <c r="E8" s="27">
        <f>IFERROR(__xludf.DUMMYFUNCTION("C8*IMPORTRANGE(""https://docs.google.com/spreadsheets/d/1xsp01RMmkav9iTy39Zaj_7tE9677EGlOJ14KU9TZn7I"", ""2018-2025!t115"")"),43.086929225999995)</f>
        <v>43.08692923</v>
      </c>
      <c r="F8" s="27">
        <f>IFERROR(__xludf.DUMMYFUNCTION("C8*IMPORTRANGE(""https://docs.google.com/spreadsheets/d/1xsp01RMmkav9iTy39Zaj_7tE9677EGlOJ14KU9TZn7I"", ""2018-2025!ac115"")"),6387.5239263)</f>
        <v>6387.523926</v>
      </c>
      <c r="G8" s="8" t="s">
        <v>35</v>
      </c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15.75" customHeight="1">
      <c r="A9" s="25">
        <v>45095.0</v>
      </c>
      <c r="B9" s="9">
        <v>198.0</v>
      </c>
      <c r="C9" s="26">
        <f>43963.4/1000</f>
        <v>43.9634</v>
      </c>
      <c r="D9" s="27">
        <f>IFERROR(__xludf.DUMMYFUNCTION("C9*IMPORTRANGE(""https://docs.google.com/spreadsheets/d/1xsp01RMmkav9iTy39Zaj_7tE9677EGlOJ14KU9TZn7I"", ""2018-2025!H137"")"),37.6766338)</f>
        <v>37.6766338</v>
      </c>
      <c r="E9" s="27">
        <f>IFERROR(__xludf.DUMMYFUNCTION("C9*IMPORTRANGE(""https://docs.google.com/spreadsheets/d/1xsp01RMmkav9iTy39Zaj_7tE9677EGlOJ14KU9TZn7I"", ""2018-2025!T137"")"),33.10883654)</f>
        <v>33.10883654</v>
      </c>
      <c r="F9" s="27">
        <f>IFERROR(__xludf.DUMMYFUNCTION("C9*IMPORTRANGE(""https://docs.google.com/spreadsheets/d/1xsp01RMmkav9iTy39Zaj_7tE9677EGlOJ14KU9TZn7I"", ""2018-2025!AC137"")"),4840.2384498)</f>
        <v>4840.23845</v>
      </c>
      <c r="G9" s="8" t="s">
        <v>35</v>
      </c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ht="15.75" customHeight="1">
      <c r="A10" s="25">
        <v>45125.0</v>
      </c>
      <c r="B10" s="9">
        <v>189.0</v>
      </c>
      <c r="C10" s="26">
        <f>29384.9/1000</f>
        <v>29.3849</v>
      </c>
      <c r="D10" s="27">
        <f>IFERROR(__xludf.DUMMYFUNCTION("C10*IMPORTRANGE(""https://docs.google.com/spreadsheets/d/1xsp01RMmkav9iTy39Zaj_7tE9677EGlOJ14KU9TZn7I"", ""2018-2025!H160"")"),25.160820625)</f>
        <v>25.16082063</v>
      </c>
      <c r="E10" s="27">
        <f>IFERROR(__xludf.DUMMYFUNCTION("D10*IMPORTRANGE(""https://docs.google.com/spreadsheets/d/1xsp01RMmkav9iTy39Zaj_7tE9677EGlOJ14KU9TZn7I"", ""2018-2025!T160"")"),19.0794502799375)</f>
        <v>19.07945028</v>
      </c>
      <c r="F10" s="27">
        <f>IFERROR(__xludf.DUMMYFUNCTION("E10*IMPORTRANGE(""https://docs.google.com/spreadsheets/d/1xsp01RMmkav9iTy39Zaj_7tE9677EGlOJ14KU9TZn7I"", ""2018-2025!AC160"")"),2118.2673481546412)</f>
        <v>2118.267348</v>
      </c>
      <c r="G10" s="8" t="s">
        <v>35</v>
      </c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ht="15.75" customHeight="1">
      <c r="A11" s="25">
        <v>45156.0</v>
      </c>
      <c r="B11" s="9">
        <v>182.0</v>
      </c>
      <c r="C11" s="26">
        <f>29464.5/1000</f>
        <v>29.4645</v>
      </c>
      <c r="D11" s="27">
        <f>IFERROR(__xludf.DUMMYFUNCTION("C11*IMPORTRANGE(""https://docs.google.com/spreadsheets/d/1xsp01RMmkav9iTy39Zaj_7tE9677EGlOJ14KU9TZn7I"", ""2018-2025!H184"")"),25.4514351)</f>
        <v>25.4514351</v>
      </c>
      <c r="E11" s="27">
        <f>IFERROR(__xludf.DUMMYFUNCTION("C11*IMPORTRANGE(""https://docs.google.com/spreadsheets/d/1xsp01RMmkav9iTy39Zaj_7tE9677EGlOJ14KU9TZn7I"", ""2018-2025!T184"")"),22.87329135)</f>
        <v>22.87329135</v>
      </c>
      <c r="F11" s="27">
        <f>IFERROR(__xludf.DUMMYFUNCTION("C11*IMPORTRANGE(""https://docs.google.com/spreadsheets/d/1xsp01RMmkav9iTy39Zaj_7tE9677EGlOJ14KU9TZn7I"", ""2018-2025!AC184"")"),3274.5961365000003)</f>
        <v>3274.596137</v>
      </c>
      <c r="G11" s="8" t="s">
        <v>35</v>
      </c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15.75" customHeight="1">
      <c r="A12" s="25">
        <v>45187.0</v>
      </c>
      <c r="B12" s="9">
        <v>186.0</v>
      </c>
      <c r="C12" s="26">
        <f>41716.2/1000</f>
        <v>41.7162</v>
      </c>
      <c r="D12" s="27">
        <f>IFERROR(__xludf.DUMMYFUNCTION("C12*IMPORTRANGE(""https://docs.google.com/spreadsheets/d/1xsp01RMmkav9iTy39Zaj_7tE9677EGlOJ14KU9TZn7I"", ""2018-2025!H205"")"),35.850067956000004)</f>
        <v>35.85006796</v>
      </c>
      <c r="E12" s="27">
        <f>IFERROR(__xludf.DUMMYFUNCTION("C12*IMPORTRANGE(""https://docs.google.com/spreadsheets/d/1xsp01RMmkav9iTy39Zaj_7tE9677EGlOJ14KU9TZn7I"", ""2018-2025!T205"")"),31.902881112)</f>
        <v>31.90288111</v>
      </c>
      <c r="F12" s="27">
        <f>IFERROR(__xludf.DUMMYFUNCTION("C12*IMPORTRANGE(""https://docs.google.com/spreadsheets/d/1xsp01RMmkav9iTy39Zaj_7tE9677EGlOJ14KU9TZn7I"", ""2018-2025!AC205"")"),4664.7680583)</f>
        <v>4664.768058</v>
      </c>
      <c r="G12" s="8" t="s">
        <v>35</v>
      </c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ht="15.75" customHeight="1">
      <c r="A13" s="25">
        <v>45217.0</v>
      </c>
      <c r="B13" s="9">
        <v>202.0</v>
      </c>
      <c r="C13" s="26">
        <f>82409.5/1000</f>
        <v>82.4095</v>
      </c>
      <c r="D13" s="27">
        <f>IFERROR(__xludf.DUMMYFUNCTION("C13*IMPORTRANGE(""https://docs.google.com/spreadsheets/d/1xsp01RMmkav9iTy39Zaj_7tE9677EGlOJ14KU9TZn7I"", ""2018-2025!H229"")"),71.61715188)</f>
        <v>71.61715188</v>
      </c>
      <c r="E13" s="27">
        <f>IFERROR(__xludf.DUMMYFUNCTION("C13*IMPORTRANGE(""https://docs.google.com/spreadsheets/d/1xsp01RMmkav9iTy39Zaj_7tE9677EGlOJ14KU9TZn7I"", ""2018-2025!T229"")"),63.171002224999995)</f>
        <v>63.17100223</v>
      </c>
      <c r="F13" s="27">
        <f>IFERROR(__xludf.DUMMYFUNCTION("C13*IMPORTRANGE(""https://docs.google.com/spreadsheets/d/1xsp01RMmkav9iTy39Zaj_7tE9677EGlOJ14KU9TZn7I"", ""2018-2025!AC229"")"),9269.42056)</f>
        <v>9269.42056</v>
      </c>
      <c r="G13" s="8" t="s">
        <v>35</v>
      </c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ht="15.75" customHeight="1">
      <c r="A14" s="25">
        <v>45248.0</v>
      </c>
      <c r="B14" s="9">
        <v>215.0</v>
      </c>
      <c r="C14" s="26">
        <f>53825.61/1000</f>
        <v>53.82561</v>
      </c>
      <c r="D14" s="27">
        <f>IFERROR(__xludf.DUMMYFUNCTION("C14*IMPORTRANGE(""https://docs.google.com/spreadsheets/d/1xsp01RMmkav9iTy39Zaj_7tE9677EGlOJ14KU9TZn7I"", ""2018-2025!H252"")"),47.338009226699995)</f>
        <v>47.33800923</v>
      </c>
      <c r="E14" s="27">
        <f>IFERROR(__xludf.DUMMYFUNCTION("C14*IMPORTRANGE(""https://docs.google.com/spreadsheets/d/1xsp01RMmkav9iTy39Zaj_7tE9677EGlOJ14KU9TZn7I"", ""2018-2025!T252"")"),41.85883125675)</f>
        <v>41.85883126</v>
      </c>
      <c r="F14" s="27">
        <f>IFERROR(__xludf.DUMMYFUNCTION("C14*IMPORTRANGE(""https://docs.google.com/spreadsheets/d/1xsp01RMmkav9iTy39Zaj_7tE9677EGlOJ14KU9TZn7I"", ""2018-2025!AC252"")"),6103.12444107)</f>
        <v>6103.124441</v>
      </c>
      <c r="G14" s="8" t="s">
        <v>35</v>
      </c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ht="15.75" customHeight="1">
      <c r="A15" s="25">
        <v>45278.0</v>
      </c>
      <c r="B15" s="9">
        <v>221.0</v>
      </c>
      <c r="C15" s="26">
        <f>22160.5/1000</f>
        <v>22.1605</v>
      </c>
      <c r="D15" s="27">
        <f>IFERROR(__xludf.DUMMYFUNCTION("C15*IMPORTRANGE(""https://docs.google.com/spreadsheets/d/1xsp01RMmkav9iTy39Zaj_7tE9677EGlOJ14KU9TZn7I"", ""2018-2025!H273"")"),19.485506045)</f>
        <v>19.48550605</v>
      </c>
      <c r="E15" s="27">
        <f>IFERROR(__xludf.DUMMYFUNCTION("C15*IMPORTRANGE(""https://docs.google.com/spreadsheets/d/1xsp01RMmkav9iTy39Zaj_7tE9677EGlOJ14KU9TZn7I"", ""2018-2025!T273"")"),17.5112271)</f>
        <v>17.5112271</v>
      </c>
      <c r="F15" s="27">
        <f>IFERROR(__xludf.DUMMYFUNCTION("C15*IMPORTRANGE(""https://docs.google.com/spreadsheets/d/1xsp01RMmkav9iTy39Zaj_7tE9677EGlOJ14KU9TZn7I"", ""2018-2025!AC273"")"),2497.2445844999997)</f>
        <v>2497.244585</v>
      </c>
      <c r="G15" s="8" t="s">
        <v>35</v>
      </c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ht="15.75" customHeight="1">
      <c r="A16" s="22">
        <v>2019.0</v>
      </c>
      <c r="B16" s="28"/>
      <c r="C16" s="29"/>
      <c r="D16" s="30"/>
      <c r="E16" s="30"/>
      <c r="F16" s="30"/>
      <c r="G16" s="23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ht="15.75" customHeight="1">
      <c r="A17" s="25">
        <v>43484.0</v>
      </c>
      <c r="B17" s="9">
        <v>175.0</v>
      </c>
      <c r="C17" s="26">
        <f>16401.5/1000</f>
        <v>16.4015</v>
      </c>
      <c r="D17" s="27">
        <f>IFERROR(__xludf.DUMMYFUNCTION("C17*IMPORTRANGE(""https://docs.google.com/spreadsheets/d/1xsp01RMmkav9iTy39Zaj_7tE9677EGlOJ14KU9TZn7I"", ""2018-2025!H298"")"),14.36607385)</f>
        <v>14.36607385</v>
      </c>
      <c r="E17" s="27">
        <f>IFERROR(__xludf.DUMMYFUNCTION("C17*IMPORTRANGE(""https://docs.google.com/spreadsheets/d/1xsp01RMmkav9iTy39Zaj_7tE9677EGlOJ14KU9TZn7I"", ""2018-2025!T298"")"),12.741833304999998)</f>
        <v>12.74183331</v>
      </c>
      <c r="F17" s="27">
        <f>IFERROR(__xludf.DUMMYFUNCTION("C17*IMPORTRANGE(""https://docs.google.com/spreadsheets/d/1xsp01RMmkav9iTy39Zaj_7tE9677EGlOJ14KU9TZn7I"", ""2018-2025!AC298"")"),1788.3703555)</f>
        <v>1788.370356</v>
      </c>
      <c r="G17" s="8" t="s">
        <v>35</v>
      </c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ht="15.75" customHeight="1">
      <c r="A18" s="25">
        <v>43515.0</v>
      </c>
      <c r="B18" s="9">
        <v>177.0</v>
      </c>
      <c r="C18" s="26">
        <f>72770.7/1000</f>
        <v>72.7707</v>
      </c>
      <c r="D18" s="27">
        <f>IFERROR(__xludf.DUMMYFUNCTION("C18*IMPORTRANGE(""https://docs.google.com/spreadsheets/d/1xsp01RMmkav9iTy39Zaj_7tE9677EGlOJ14KU9TZn7I"", ""2018-2025!H319"")"),64.15464912)</f>
        <v>64.15464912</v>
      </c>
      <c r="E18" s="27">
        <f>IFERROR(__xludf.DUMMYFUNCTION("C18*IMPORTRANGE(""https://docs.google.com/spreadsheets/d/1xsp01RMmkav9iTy39Zaj_7tE9677EGlOJ14KU9TZn7I"", ""2018-2025!T319"")"),56.00323915949999)</f>
        <v>56.00323916</v>
      </c>
      <c r="F18" s="27">
        <f>IFERROR(__xludf.DUMMYFUNCTION("C18*IMPORTRANGE(""https://docs.google.com/spreadsheets/d/1xsp01RMmkav9iTy39Zaj_7tE9677EGlOJ14KU9TZn7I"", ""2018-2025!AC319"")"),8044.582572899999)</f>
        <v>8044.582573</v>
      </c>
      <c r="G18" s="8" t="s">
        <v>35</v>
      </c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ht="15.75" customHeight="1">
      <c r="A19" s="25">
        <v>43543.0</v>
      </c>
      <c r="B19" s="9">
        <v>183.0</v>
      </c>
      <c r="C19" s="26">
        <f>38808.7/1000</f>
        <v>38.8087</v>
      </c>
      <c r="D19" s="27">
        <f>IFERROR(__xludf.DUMMYFUNCTION("C19*IMPORTRANGE(""https://docs.google.com/spreadsheets/d/1xsp01RMmkav9iTy39Zaj_7tE9677EGlOJ14KU9TZn7I"", ""2018-2025!H341"")"),34.301457582)</f>
        <v>34.30145758</v>
      </c>
      <c r="E19" s="27">
        <f>IFERROR(__xludf.DUMMYFUNCTION("C19*IMPORTRANGE(""https://docs.google.com/spreadsheets/d/1xsp01RMmkav9iTy39Zaj_7tE9677EGlOJ14KU9TZn7I"", ""2018-2025!T341"")"),29.385947639999994)</f>
        <v>29.38594764</v>
      </c>
      <c r="F19" s="27">
        <f>IFERROR(__xludf.DUMMYFUNCTION("C19*IMPORTRANGE(""https://docs.google.com/spreadsheets/d/1xsp01RMmkav9iTy39Zaj_7tE9677EGlOJ14KU9TZn7I"", ""2018-2025!AC341"")"),4321.038275399999)</f>
        <v>4321.038275</v>
      </c>
      <c r="G19" s="8" t="s">
        <v>35</v>
      </c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ht="15.75" customHeight="1">
      <c r="A20" s="25">
        <v>43574.0</v>
      </c>
      <c r="B20" s="9">
        <v>174.0</v>
      </c>
      <c r="C20" s="26">
        <f>28314.2/1000</f>
        <v>28.3142</v>
      </c>
      <c r="D20" s="27">
        <f>IFERROR(__xludf.DUMMYFUNCTION("C20*IMPORTRANGE(""https://docs.google.com/spreadsheets/d/1xsp01RMmkav9iTy39Zaj_7tE9677EGlOJ14KU9TZn7I"", ""2018-2025!H364"")"),25.190011172)</f>
        <v>25.19001117</v>
      </c>
      <c r="E20" s="27">
        <f>IFERROR(__xludf.DUMMYFUNCTION("C20*IMPORTRANGE(""https://docs.google.com/spreadsheets/d/1xsp01RMmkav9iTy39Zaj_7tE9677EGlOJ14KU9TZn7I"", ""2018-2025!T364"")"),21.708638711)</f>
        <v>21.70863871</v>
      </c>
      <c r="F20" s="27">
        <f>IFERROR(__xludf.DUMMYFUNCTION("C20*IMPORTRANGE(""https://docs.google.com/spreadsheets/d/1xsp01RMmkav9iTy39Zaj_7tE9677EGlOJ14KU9TZn7I"", ""2018-2025!AC364"")"),3161.7759285)</f>
        <v>3161.775929</v>
      </c>
      <c r="G20" s="8" t="s">
        <v>35</v>
      </c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15.75" customHeight="1">
      <c r="A21" s="31">
        <v>43604.0</v>
      </c>
      <c r="B21" s="9">
        <v>169.0</v>
      </c>
      <c r="C21" s="26">
        <f>25545.7/1000</f>
        <v>25.5457</v>
      </c>
      <c r="D21" s="27">
        <f>IFERROR(__xludf.DUMMYFUNCTION("C21*IMPORTRANGE(""https://docs.google.com/spreadsheets/d/1xsp01RMmkav9iTy39Zaj_7tE9677EGlOJ14KU9TZn7I"", ""2018-2025!H388"")"),22.824061122)</f>
        <v>22.82406112</v>
      </c>
      <c r="E21" s="27">
        <f>IFERROR(__xludf.DUMMYFUNCTION("C21*IMPORTRANGE(""https://docs.google.com/spreadsheets/d/1xsp01RMmkav9iTy39Zaj_7tE9677EGlOJ14KU9TZn7I"", ""2018-2025!T388"")"),19.838279706)</f>
        <v>19.83827971</v>
      </c>
      <c r="F21" s="27">
        <f>IFERROR(__xludf.DUMMYFUNCTION("C21*IMPORTRANGE(""https://docs.google.com/spreadsheets/d/1xsp01RMmkav9iTy39Zaj_7tE9677EGlOJ14KU9TZn7I"", ""2018-2025!AC388"")"),2805.9141423)</f>
        <v>2805.914142</v>
      </c>
      <c r="G21" s="8" t="s">
        <v>35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15.75" customHeight="1">
      <c r="A22" s="25">
        <v>43635.0</v>
      </c>
      <c r="B22" s="9">
        <v>167.0</v>
      </c>
      <c r="C22" s="26">
        <f>46795.4/1000</f>
        <v>46.7954</v>
      </c>
      <c r="D22" s="27">
        <f>IFERROR(__xludf.DUMMYFUNCTION("C22*IMPORTRANGE(""https://docs.google.com/spreadsheets/d/1xsp01RMmkav9iTy39Zaj_7tE9677EGlOJ14KU9TZn7I"", ""2018-2025!H409"")"),41.455810883)</f>
        <v>41.45581088</v>
      </c>
      <c r="E22" s="27">
        <f>IFERROR(__xludf.DUMMYFUNCTION("C22*IMPORTRANGE(""https://docs.google.com/spreadsheets/d/1xsp01RMmkav9iTy39Zaj_7tE9677EGlOJ14KU9TZn7I"", ""2018-2025!T409"")"),36.873137361000005)</f>
        <v>36.87313736</v>
      </c>
      <c r="F22" s="27">
        <f>IFERROR(__xludf.DUMMYFUNCTION("C22*IMPORTRANGE(""https://docs.google.com/spreadsheets/d/1xsp01RMmkav9iTy39Zaj_7tE9677EGlOJ14KU9TZn7I"", ""2018-2025!AC409"")"),5067.356877499999)</f>
        <v>5067.356878</v>
      </c>
      <c r="G22" s="8" t="s">
        <v>35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5.75" customHeight="1">
      <c r="A23" s="25">
        <v>43665.0</v>
      </c>
      <c r="B23" s="9">
        <v>191.0</v>
      </c>
      <c r="C23" s="26">
        <f>52900.6/1000</f>
        <v>52.9006</v>
      </c>
      <c r="D23" s="27">
        <f>IFERROR(__xludf.DUMMYFUNCTION("C23*IMPORTRANGE(""https://docs.google.com/spreadsheets/d/1xsp01RMmkav9iTy39Zaj_7tE9677EGlOJ14KU9TZn7I"", ""2018-2025!H433"")"),47.117506408)</f>
        <v>47.11750641</v>
      </c>
      <c r="E23" s="27">
        <f>IFERROR(__xludf.DUMMYFUNCTION("C23*IMPORTRANGE(""https://docs.google.com/spreadsheets/d/1xsp01RMmkav9iTy39Zaj_7tE9677EGlOJ14KU9TZn7I"", ""2018-2025!T433"")"),42.277101508)</f>
        <v>42.27710151</v>
      </c>
      <c r="F23" s="27">
        <f>IFERROR(__xludf.DUMMYFUNCTION("C23*IMPORTRANGE(""https://docs.google.com/spreadsheets/d/1xsp01RMmkav9iTy39Zaj_7tE9677EGlOJ14KU9TZn7I"", ""2018-2025!AC433"")"),5725.5377392)</f>
        <v>5725.537739</v>
      </c>
      <c r="G23" s="8" t="s">
        <v>35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15.75" customHeight="1">
      <c r="A24" s="25">
        <v>43696.0</v>
      </c>
      <c r="B24" s="9">
        <v>181.0</v>
      </c>
      <c r="C24" s="26">
        <f>26209.3/1000</f>
        <v>26.2093</v>
      </c>
      <c r="D24" s="27">
        <f>IFERROR(__xludf.DUMMYFUNCTION("C24*IMPORTRANGE(""https://docs.google.com/spreadsheets/d/1xsp01RMmkav9iTy39Zaj_7tE9677EGlOJ14KU9TZn7I"", ""2018-2025!H456"")"),23.5995089525)</f>
        <v>23.59950895</v>
      </c>
      <c r="E24" s="27">
        <f>IFERROR(__xludf.DUMMYFUNCTION("C24*IMPORTRANGE(""https://docs.google.com/spreadsheets/d/1xsp01RMmkav9iTy39Zaj_7tE9677EGlOJ14KU9TZn7I"", ""2018-2025!T456"")"),21.5661914585)</f>
        <v>21.56619146</v>
      </c>
      <c r="F24" s="27">
        <f>IFERROR(__xludf.DUMMYFUNCTION("C24*IMPORTRANGE(""https://docs.google.com/spreadsheets/d/1xsp01RMmkav9iTy39Zaj_7tE9677EGlOJ14KU9TZn7I"", ""2018-2025!AC456"")"),2783.36213675)</f>
        <v>2783.362137</v>
      </c>
      <c r="G24" s="8" t="s">
        <v>35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15.75" customHeight="1">
      <c r="A25" s="25">
        <v>43727.0</v>
      </c>
      <c r="B25" s="9">
        <v>196.0</v>
      </c>
      <c r="C25" s="26">
        <f>26203.8/1000</f>
        <v>26.2038</v>
      </c>
      <c r="D25" s="27">
        <f>IFERROR(__xludf.DUMMYFUNCTION("C25*IMPORTRANGE(""https://docs.google.com/spreadsheets/d/1xsp01RMmkav9iTy39Zaj_7tE9677EGlOJ14KU9TZn7I"", ""2018-2025!H478"")"),23.780472575999998)</f>
        <v>23.78047258</v>
      </c>
      <c r="E25" s="27">
        <f>IFERROR(__xludf.DUMMYFUNCTION("C25*IMPORTRANGE(""https://docs.google.com/spreadsheets/d/1xsp01RMmkav9iTy39Zaj_7tE9677EGlOJ14KU9TZn7I"", ""2018-2025!T478"")"),21.225602075999998)</f>
        <v>21.22560208</v>
      </c>
      <c r="F25" s="27">
        <f>IFERROR(__xludf.DUMMYFUNCTION("C25*IMPORTRANGE(""https://docs.google.com/spreadsheets/d/1xsp01RMmkav9iTy39Zaj_7tE9677EGlOJ14KU9TZn7I"", ""2018-2025!AC478"")"),2820.8914775999997)</f>
        <v>2820.891478</v>
      </c>
      <c r="G25" s="8" t="s">
        <v>35</v>
      </c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15.75" customHeight="1">
      <c r="A26" s="25">
        <v>44123.0</v>
      </c>
      <c r="B26" s="9">
        <v>192.0</v>
      </c>
      <c r="C26" s="26">
        <f>109690.6/1000</f>
        <v>109.6906</v>
      </c>
      <c r="D26" s="27">
        <f>IFERROR(__xludf.DUMMYFUNCTION("C26*IMPORTRANGE(""https://docs.google.com/spreadsheets/d/1xsp01RMmkav9iTy39Zaj_7tE9677EGlOJ14KU9TZn7I"", ""2018-2025!H502"")"),99.404912438)</f>
        <v>99.40491244</v>
      </c>
      <c r="E26" s="27">
        <f>IFERROR(__xludf.DUMMYFUNCTION("C26*IMPORTRANGE(""https://docs.google.com/spreadsheets/d/1xsp01RMmkav9iTy39Zaj_7tE9677EGlOJ14KU9TZn7I"", ""2018-2025!T502"")"),85.960135596)</f>
        <v>85.9601356</v>
      </c>
      <c r="F26" s="27">
        <f>IFERROR(__xludf.DUMMYFUNCTION("C26*IMPORTRANGE(""https://docs.google.com/spreadsheets/d/1xsp01RMmkav9iTy39Zaj_7tE9677EGlOJ14KU9TZn7I"", ""2018-2025!AC502"")"),11896.9327854)</f>
        <v>11896.93279</v>
      </c>
      <c r="G26" s="8" t="s">
        <v>35</v>
      </c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15.75" customHeight="1">
      <c r="A27" s="25">
        <v>43788.0</v>
      </c>
      <c r="B27" s="9">
        <v>190.0</v>
      </c>
      <c r="C27" s="26">
        <f>48655.4/1000</f>
        <v>48.6554</v>
      </c>
      <c r="D27" s="27">
        <f>IFERROR(__xludf.DUMMYFUNCTION("C27*IMPORTRANGE(""https://docs.google.com/spreadsheets/d/1xsp01RMmkav9iTy39Zaj_7tE9677EGlOJ14KU9TZn7I"", ""2018-2025!H524"")"),44.090063818000004)</f>
        <v>44.09006382</v>
      </c>
      <c r="E27" s="27">
        <f>IFERROR(__xludf.DUMMYFUNCTION("C27*IMPORTRANGE(""https://docs.google.com/spreadsheets/d/1xsp01RMmkav9iTy39Zaj_7tE9677EGlOJ14KU9TZn7I"", ""2018-2025!T524"")"),37.741993779999994)</f>
        <v>37.74199378</v>
      </c>
      <c r="F27" s="27">
        <f>IFERROR(__xludf.DUMMYFUNCTION("C27*IMPORTRANGE(""https://docs.google.com/spreadsheets/d/1xsp01RMmkav9iTy39Zaj_7tE9677EGlOJ14KU9TZn7I"", ""2018-2025!AC524"")"),5293.6102092)</f>
        <v>5293.610209</v>
      </c>
      <c r="G27" s="8" t="s">
        <v>35</v>
      </c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15.75" customHeight="1">
      <c r="A28" s="25">
        <v>43818.0</v>
      </c>
      <c r="B28" s="9">
        <v>220.0</v>
      </c>
      <c r="C28" s="26">
        <f>37045.6/1000</f>
        <v>37.0456</v>
      </c>
      <c r="D28" s="27">
        <f>IFERROR(__xludf.DUMMYFUNCTION("C28*IMPORTRANGE(""https://docs.google.com/spreadsheets/d/1xsp01RMmkav9iTy39Zaj_7tE9677EGlOJ14KU9TZn7I"", ""2018-2025!H547"")"),33.379567424)</f>
        <v>33.37956742</v>
      </c>
      <c r="E28" s="27">
        <f>IFERROR(__xludf.DUMMYFUNCTION("C28*IMPORTRANGE(""https://docs.google.com/spreadsheets/d/1xsp01RMmkav9iTy39Zaj_7tE9677EGlOJ14KU9TZn7I"", ""2018-2025!T547"")"),28.275609883999998)</f>
        <v>28.27560988</v>
      </c>
      <c r="F28" s="27">
        <f>IFERROR(__xludf.DUMMYFUNCTION("C28*IMPORTRANGE(""https://docs.google.com/spreadsheets/d/1xsp01RMmkav9iTy39Zaj_7tE9677EGlOJ14KU9TZn7I"", ""2018-2025!AC547"")"),4052.1403419999997)</f>
        <v>4052.140342</v>
      </c>
      <c r="G28" s="8" t="s">
        <v>35</v>
      </c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15.75" customHeight="1">
      <c r="A29" s="22">
        <v>2020.0</v>
      </c>
      <c r="B29" s="28"/>
      <c r="C29" s="30"/>
      <c r="D29" s="30"/>
      <c r="E29" s="30"/>
      <c r="F29" s="30"/>
      <c r="G29" s="23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15.75" customHeight="1">
      <c r="A30" s="25">
        <v>43850.0</v>
      </c>
      <c r="B30" s="9">
        <v>181.0</v>
      </c>
      <c r="C30" s="26">
        <f>35075.5/1000</f>
        <v>35.0755</v>
      </c>
      <c r="D30" s="27">
        <f>IFERROR(__xludf.DUMMYFUNCTION("C30*IMPORTRANGE(""https://docs.google.com/spreadsheets/d/1xsp01RMmkav9iTy39Zaj_7tE9677EGlOJ14KU9TZn7I"", ""2018-2025!H572"")"),31.561987164999998)</f>
        <v>31.56198717</v>
      </c>
      <c r="E30" s="27">
        <f>IFERROR(__xludf.DUMMYFUNCTION("C30*IMPORTRANGE(""https://docs.google.com/spreadsheets/d/1xsp01RMmkav9iTy39Zaj_7tE9677EGlOJ14KU9TZn7I"", ""2018-2025!T572"")"),26.836265049999998)</f>
        <v>26.83626505</v>
      </c>
      <c r="F30" s="27">
        <f>IFERROR(__xludf.DUMMYFUNCTION("C30*IMPORTRANGE(""https://docs.google.com/spreadsheets/d/1xsp01RMmkav9iTy39Zaj_7tE9677EGlOJ14KU9TZn7I"", ""2018-2025!AC572"")"),3827.859466)</f>
        <v>3827.859466</v>
      </c>
      <c r="G30" s="8" t="s">
        <v>35</v>
      </c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15.75" customHeight="1">
      <c r="A31" s="25">
        <v>43881.0</v>
      </c>
      <c r="B31" s="9">
        <v>190.0</v>
      </c>
      <c r="C31" s="26">
        <f>67924.3/1000</f>
        <v>67.9243</v>
      </c>
      <c r="D31" s="27">
        <f>IFERROR(__xludf.DUMMYFUNCTION("C31*IMPORTRANGE(""https://docs.google.com/spreadsheets/d/1xsp01RMmkav9iTy39Zaj_7tE9677EGlOJ14KU9TZn7I"", ""2018-2025!H593"")"),62.4078279755)</f>
        <v>62.40782798</v>
      </c>
      <c r="E31" s="27">
        <f>IFERROR(__xludf.DUMMYFUNCTION("C31*IMPORTRANGE(""https://docs.google.com/spreadsheets/d/1xsp01RMmkav9iTy39Zaj_7tE9677EGlOJ14KU9TZn7I"", ""2018-2025!T593"")"),52.422616254000005)</f>
        <v>52.42261625</v>
      </c>
      <c r="F31" s="27">
        <f>IFERROR(__xludf.DUMMYFUNCTION("C31*IMPORTRANGE(""https://docs.google.com/spreadsheets/d/1xsp01RMmkav9iTy39Zaj_7tE9677EGlOJ14KU9TZn7I"", ""2018-2025!AC593"")"),7460.56737695)</f>
        <v>7460.567377</v>
      </c>
      <c r="G31" s="8" t="s">
        <v>35</v>
      </c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15.75" customHeight="1">
      <c r="A32" s="25">
        <v>43910.0</v>
      </c>
      <c r="B32" s="9">
        <v>137.0</v>
      </c>
      <c r="C32" s="26">
        <f>64558.5/1000</f>
        <v>64.5585</v>
      </c>
      <c r="D32" s="27">
        <f>IFERROR(__xludf.DUMMYFUNCTION("C32*IMPORTRANGE(""https://docs.google.com/spreadsheets/d/1xsp01RMmkav9iTy39Zaj_7tE9677EGlOJ14KU9TZn7I"", ""2018-2025!H616"")"),57.956747789999994)</f>
        <v>57.95674779</v>
      </c>
      <c r="E32" s="27">
        <f>IFERROR(__xludf.DUMMYFUNCTION("C32*IMPORTRANGE(""https://docs.google.com/spreadsheets/d/1xsp01RMmkav9iTy39Zaj_7tE9677EGlOJ14KU9TZn7I"", ""2018-2025!T616"")"),51.952419938999995)</f>
        <v>51.95241994</v>
      </c>
      <c r="F32" s="27">
        <f>IFERROR(__xludf.DUMMYFUNCTION("C32*IMPORTRANGE(""https://docs.google.com/spreadsheets/d/1xsp01RMmkav9iTy39Zaj_7tE9677EGlOJ14KU9TZn7I"", ""2018-2025!AC616"")"),6942.9438825)</f>
        <v>6942.943883</v>
      </c>
      <c r="G32" s="8" t="s">
        <v>35</v>
      </c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15.75" customHeight="1">
      <c r="A33" s="25">
        <v>43941.0</v>
      </c>
      <c r="B33" s="9">
        <v>107.0</v>
      </c>
      <c r="C33" s="26">
        <f>16741/1000</f>
        <v>16.741</v>
      </c>
      <c r="D33" s="27">
        <f>IFERROR(__xludf.DUMMYFUNCTION("C33*IMPORTRANGE(""https://docs.google.com/spreadsheets/d/1xsp01RMmkav9iTy39Zaj_7tE9677EGlOJ14KU9TZn7I"", ""2018-2025!H639"")"),15.40925345)</f>
        <v>15.40925345</v>
      </c>
      <c r="E33" s="27">
        <f>IFERROR(__xludf.DUMMYFUNCTION("C33*IMPORTRANGE(""https://docs.google.com/spreadsheets/d/1xsp01RMmkav9iTy39Zaj_7tE9677EGlOJ14KU9TZn7I"", ""2018-2025!T639"")"),13.48387104)</f>
        <v>13.48387104</v>
      </c>
      <c r="F33" s="27">
        <f>IFERROR(__xludf.DUMMYFUNCTION("C33*IMPORTRANGE(""https://docs.google.com/spreadsheets/d/1xsp01RMmkav9iTy39Zaj_7tE9677EGlOJ14KU9TZn7I"", ""2018-2025!AC639"")"),1802.4950995)</f>
        <v>1802.4951</v>
      </c>
      <c r="G33" s="8" t="s">
        <v>35</v>
      </c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5.75" customHeight="1">
      <c r="A34" s="31">
        <v>43971.0</v>
      </c>
      <c r="B34" s="9">
        <v>125.0</v>
      </c>
      <c r="C34" s="26">
        <f>5455.7/1000</f>
        <v>5.4557</v>
      </c>
      <c r="D34" s="27">
        <f>IFERROR(__xludf.DUMMYFUNCTION("C34*IMPORTRANGE(""https://docs.google.com/spreadsheets/d/1xsp01RMmkav9iTy39Zaj_7tE9677EGlOJ14KU9TZn7I"", ""2018-2025!H661"")"),5.003258799)</f>
        <v>5.003258799</v>
      </c>
      <c r="E34" s="27">
        <f>IFERROR(__xludf.DUMMYFUNCTION("C34*IMPORTRANGE(""https://docs.google.com/spreadsheets/d/1xsp01RMmkav9iTy39Zaj_7tE9677EGlOJ14KU9TZn7I"", ""2018-2025!T661"")"),4.448250438)</f>
        <v>4.448250438</v>
      </c>
      <c r="F34" s="27">
        <f>IFERROR(__xludf.DUMMYFUNCTION("C34*IMPORTRANGE(""https://docs.google.com/spreadsheets/d/1xsp01RMmkav9iTy39Zaj_7tE9677EGlOJ14KU9TZn7I"", ""2018-2025!AC661"")"),585.7512305)</f>
        <v>585.7512305</v>
      </c>
      <c r="G34" s="8" t="s">
        <v>35</v>
      </c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5.75" customHeight="1">
      <c r="A35" s="25">
        <v>44002.0</v>
      </c>
      <c r="B35" s="9">
        <v>119.0</v>
      </c>
      <c r="C35" s="26">
        <f>13207.8/1000</f>
        <v>13.2078</v>
      </c>
      <c r="D35" s="27">
        <f>IFERROR(__xludf.DUMMYFUNCTION("C35*IMPORTRANGE(""https://docs.google.com/spreadsheets/d/1xsp01RMmkav9iTy39Zaj_7tE9677EGlOJ14KU9TZn7I"", ""2018-2025!H684"")"),11.738762444999999)</f>
        <v>11.73876245</v>
      </c>
      <c r="E35" s="27">
        <f>IFERROR(__xludf.DUMMYFUNCTION("C35*IMPORTRANGE(""https://docs.google.com/spreadsheets/d/1xsp01RMmkav9iTy39Zaj_7tE9677EGlOJ14KU9TZn7I"", ""2018-2025!T684"")"),10.533550694999999)</f>
        <v>10.5335507</v>
      </c>
      <c r="F35" s="27">
        <f>IFERROR(__xludf.DUMMYFUNCTION("C35*IMPORTRANGE(""https://docs.google.com/spreadsheets/d/1xsp01RMmkav9iTy39Zaj_7tE9677EGlOJ14KU9TZn7I"", ""2018-2025!AC684"")"),1417.9960119)</f>
        <v>1417.996012</v>
      </c>
      <c r="G35" s="8" t="s">
        <v>35</v>
      </c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5.75" customHeight="1">
      <c r="A36" s="25">
        <v>44397.0</v>
      </c>
      <c r="B36" s="9">
        <v>142.0</v>
      </c>
      <c r="C36" s="26">
        <f>28843.8/1000</f>
        <v>28.8438</v>
      </c>
      <c r="D36" s="27">
        <f>IFERROR(__xludf.DUMMYFUNCTION("C36*IMPORTRANGE(""https://docs.google.com/spreadsheets/d/1xsp01RMmkav9iTy39Zaj_7tE9677EGlOJ14KU9TZn7I"", ""2018-2025!H708"")"),25.277841006)</f>
        <v>25.27784101</v>
      </c>
      <c r="E36" s="27">
        <f>IFERROR(__xludf.DUMMYFUNCTION("C36*IMPORTRANGE(""https://docs.google.com/spreadsheets/d/1xsp01RMmkav9iTy39Zaj_7tE9677EGlOJ14KU9TZn7I"", ""2018-2025!T708"")"),22.882651854)</f>
        <v>22.88265185</v>
      </c>
      <c r="F36" s="27">
        <f>IFERROR(__xludf.DUMMYFUNCTION("C36*IMPORTRANGE(""https://docs.google.com/spreadsheets/d/1xsp01RMmkav9iTy39Zaj_7tE9677EGlOJ14KU9TZn7I"", ""2018-2025!AC708"")"),3091.9399848)</f>
        <v>3091.939985</v>
      </c>
      <c r="G36" s="8" t="s">
        <v>35</v>
      </c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5.75" customHeight="1">
      <c r="A37" s="25">
        <v>44428.0</v>
      </c>
      <c r="B37" s="9">
        <v>187.0</v>
      </c>
      <c r="C37" s="26">
        <f>33842.1/1000</f>
        <v>33.8421</v>
      </c>
      <c r="D37" s="27">
        <f>IFERROR(__xludf.DUMMYFUNCTION("C37*IMPORTRANGE(""https://docs.google.com/spreadsheets/d/1xsp01RMmkav9iTy39Zaj_7tE9677EGlOJ14KU9TZn7I"", ""2018-2025!H730"")"),28.632108705)</f>
        <v>28.63210871</v>
      </c>
      <c r="E37" s="27">
        <f>IFERROR(__xludf.DUMMYFUNCTION("C37*IMPORTRANGE(""https://docs.google.com/spreadsheets/d/1xsp01RMmkav9iTy39Zaj_7tE9677EGlOJ14KU9TZn7I"", ""2018-2025!T730"")"),25.819864037100004)</f>
        <v>25.81986404</v>
      </c>
      <c r="F37" s="27">
        <f>IFERROR(__xludf.DUMMYFUNCTION("C37*IMPORTRANGE(""https://docs.google.com/spreadsheets/d/1xsp01RMmkav9iTy39Zaj_7tE9677EGlOJ14KU9TZn7I"", ""2018-2025!AC730"")"),3586.9918632000004)</f>
        <v>3586.991863</v>
      </c>
      <c r="G37" s="8" t="s">
        <v>35</v>
      </c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5.75" customHeight="1">
      <c r="A38" s="32" t="s">
        <v>44</v>
      </c>
      <c r="B38" s="9">
        <v>173.0</v>
      </c>
      <c r="C38" s="26">
        <f>29980/1000</f>
        <v>29.98</v>
      </c>
      <c r="D38" s="27">
        <f>IFERROR(__xludf.DUMMYFUNCTION("C38*IMPORTRANGE(""https://docs.google.com/spreadsheets/d/1xsp01RMmkav9iTy39Zaj_7tE9677EGlOJ14KU9TZn7I"", ""2018-2025!H753"")"),25.3572339)</f>
        <v>25.3572339</v>
      </c>
      <c r="E38" s="27">
        <f>IFERROR(__xludf.DUMMYFUNCTION("C38*IMPORTRANGE(""https://docs.google.com/spreadsheets/d/1xsp01RMmkav9iTy39Zaj_7tE9677EGlOJ14KU9TZn7I"", ""2018-2025!T753"")"),23.224606599999998)</f>
        <v>23.2246066</v>
      </c>
      <c r="F38" s="27">
        <f>IFERROR(__xludf.DUMMYFUNCTION("C38*IMPORTRANGE(""https://docs.google.com/spreadsheets/d/1xsp01RMmkav9iTy39Zaj_7tE9677EGlOJ14KU9TZn7I"", ""2018-2025!AC753"")"),3168.57121)</f>
        <v>3168.57121</v>
      </c>
      <c r="G38" s="8" t="s">
        <v>35</v>
      </c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15.75" customHeight="1">
      <c r="A39" s="25">
        <v>44489.0</v>
      </c>
      <c r="B39" s="9">
        <v>230.0</v>
      </c>
      <c r="C39" s="26">
        <f>68099.7/1000</f>
        <v>68.0997</v>
      </c>
      <c r="D39" s="27">
        <f>IFERROR(__xludf.DUMMYFUNCTION("C39*IMPORTRANGE(""https://docs.google.com/spreadsheets/d/1xsp01RMmkav9iTy39Zaj_7tE9677EGlOJ14KU9TZn7I"", ""2018-2025!H776"")"),57.8722827549)</f>
        <v>57.87228275</v>
      </c>
      <c r="E39" s="27">
        <f>IFERROR(__xludf.DUMMYFUNCTION("C39*IMPORTRANGE(""https://docs.google.com/spreadsheets/d/1xsp01RMmkav9iTy39Zaj_7tE9677EGlOJ14KU9TZn7I"", ""2018-2025!T776"")"),52.581140364)</f>
        <v>52.58114036</v>
      </c>
      <c r="F39" s="27">
        <f>IFERROR(__xludf.DUMMYFUNCTION("C39*IMPORTRANGE(""https://docs.google.com/spreadsheets/d/1xsp01RMmkav9iTy39Zaj_7tE9677EGlOJ14KU9TZn7I"", ""2018-2025!AC776"")"),7180.3642683)</f>
        <v>7180.364268</v>
      </c>
      <c r="G39" s="8" t="s">
        <v>35</v>
      </c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15.75" customHeight="1">
      <c r="A40" s="25">
        <v>44520.0</v>
      </c>
      <c r="B40" s="9">
        <v>227.0</v>
      </c>
      <c r="C40" s="26">
        <f>113284.1/1000</f>
        <v>113.2841</v>
      </c>
      <c r="D40" s="27">
        <f>IFERROR(__xludf.DUMMYFUNCTION("C40*IMPORTRANGE(""https://docs.google.com/spreadsheets/d/1xsp01RMmkav9iTy39Zaj_7tE9677EGlOJ14KU9TZn7I"", ""2018-2025!H798"")"),95.63670290200001)</f>
        <v>95.6367029</v>
      </c>
      <c r="E40" s="27">
        <f>IFERROR(__xludf.DUMMYFUNCTION("C40*IMPORTRANGE(""https://docs.google.com/spreadsheets/d/1xsp01RMmkav9iTy39Zaj_7tE9677EGlOJ14KU9TZn7I"", ""2018-2025!T798"")"),85.664303579)</f>
        <v>85.66430358</v>
      </c>
      <c r="F40" s="27">
        <f>IFERROR(__xludf.DUMMYFUNCTION("C40*IMPORTRANGE(""https://docs.google.com/spreadsheets/d/1xsp01RMmkav9iTy39Zaj_7tE9677EGlOJ14KU9TZn7I"", ""2018-2025!AC798"")"),11839.661143300002)</f>
        <v>11839.66114</v>
      </c>
      <c r="G40" s="8" t="s">
        <v>35</v>
      </c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15.75" customHeight="1">
      <c r="A41" s="25">
        <v>44550.0</v>
      </c>
      <c r="B41" s="9">
        <v>229.0</v>
      </c>
      <c r="C41" s="26">
        <f>117060/1000</f>
        <v>117.06</v>
      </c>
      <c r="D41" s="27">
        <f>IFERROR(__xludf.DUMMYFUNCTION("C41*IMPORTRANGE(""https://docs.google.com/spreadsheets/d/1xsp01RMmkav9iTy39Zaj_7tE9677EGlOJ14KU9TZn7I"", ""2018-2025!H822"")"),96.31158324)</f>
        <v>96.31158324</v>
      </c>
      <c r="E41" s="27">
        <f>IFERROR(__xludf.DUMMYFUNCTION("C41*IMPORTRANGE(""https://docs.google.com/spreadsheets/d/1xsp01RMmkav9iTy39Zaj_7tE9677EGlOJ14KU9TZn7I"", ""2018-2025!T822"")"),87.21087059999999)</f>
        <v>87.2108706</v>
      </c>
      <c r="F41" s="27">
        <f>IFERROR(__xludf.DUMMYFUNCTION("C41*IMPORTRANGE(""https://docs.google.com/spreadsheets/d/1xsp01RMmkav9iTy39Zaj_7tE9677EGlOJ14KU9TZn7I"", ""2018-2025!AC822"")"),12137.83434)</f>
        <v>12137.83434</v>
      </c>
      <c r="G41" s="8" t="s">
        <v>35</v>
      </c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15.75" customHeight="1">
      <c r="A42" s="33">
        <v>2021.0</v>
      </c>
      <c r="B42" s="28"/>
      <c r="C42" s="30"/>
      <c r="D42" s="30"/>
      <c r="E42" s="30"/>
      <c r="F42" s="34"/>
      <c r="G42" s="23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15.75" customHeight="1">
      <c r="A43" s="35">
        <v>44947.0</v>
      </c>
      <c r="B43" s="9">
        <v>170.0</v>
      </c>
      <c r="C43" s="26">
        <f>78493.1/1000</f>
        <v>78.4931</v>
      </c>
      <c r="D43" s="27">
        <f>IFERROR(__xludf.DUMMYFUNCTION("C43*IMPORTRANGE(""https://docs.google.com/spreadsheets/d/1xsp01RMmkav9iTy39Zaj_7tE9677EGlOJ14KU9TZn7I"", ""2018-2025!H845"")"),64.5343580546)</f>
        <v>64.53435805</v>
      </c>
      <c r="E43" s="27">
        <f>IFERROR(__xludf.DUMMYFUNCTION("C43*IMPORTRANGE(""https://docs.google.com/spreadsheets/d/1xsp01RMmkav9iTy39Zaj_7tE9677EGlOJ14KU9TZn7I"", ""2018-2025!T845"")"),57.426336891000005)</f>
        <v>57.42633689</v>
      </c>
      <c r="F43" s="27">
        <f>IFERROR(__xludf.DUMMYFUNCTION("C43*IMPORTRANGE(""https://docs.google.com/spreadsheets/d/1xsp01RMmkav9iTy39Zaj_7tE9677EGlOJ14KU9TZn7I"", ""2018-2025!AC845"")"),8144.444056000002)</f>
        <v>8144.444056</v>
      </c>
      <c r="G43" s="8" t="s">
        <v>35</v>
      </c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15.75" customHeight="1">
      <c r="A44" s="35">
        <v>44978.0</v>
      </c>
      <c r="B44" s="9">
        <v>185.0</v>
      </c>
      <c r="C44" s="26">
        <f>51538.4/1000</f>
        <v>51.5384</v>
      </c>
      <c r="D44" s="27">
        <f>IFERROR(__xludf.DUMMYFUNCTION("C44*IMPORTRANGE(""https://docs.google.com/spreadsheets/d/1xsp01RMmkav9iTy39Zaj_7tE9677EGlOJ14KU9TZn7I"", ""2018-2025!H866"")"),42.52134461280001)</f>
        <v>42.52134461</v>
      </c>
      <c r="E44" s="27">
        <f>IFERROR(__xludf.DUMMYFUNCTION("C44*IMPORTRANGE(""https://docs.google.com/spreadsheets/d/1xsp01RMmkav9iTy39Zaj_7tE9677EGlOJ14KU9TZn7I"", ""2018-2025!T866"")"),37.213301720000004)</f>
        <v>37.21330172</v>
      </c>
      <c r="F44" s="27">
        <f>IFERROR(__xludf.DUMMYFUNCTION("C44*IMPORTRANGE(""https://docs.google.com/spreadsheets/d/1xsp01RMmkav9iTy39Zaj_7tE9677EGlOJ14KU9TZn7I"", ""2018-2025!AC866"")"),5424.2362156)</f>
        <v>5424.236216</v>
      </c>
      <c r="G44" s="8" t="s">
        <v>35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15.75" customHeight="1">
      <c r="A45" s="35">
        <v>45006.0</v>
      </c>
      <c r="B45" s="9">
        <v>208.0</v>
      </c>
      <c r="C45" s="26">
        <f>82091.6/1000</f>
        <v>82.0916</v>
      </c>
      <c r="D45" s="27">
        <f>IFERROR(__xludf.DUMMYFUNCTION("C45*IMPORTRANGE(""https://docs.google.com/spreadsheets/d/1xsp01RMmkav9iTy39Zaj_7tE9677EGlOJ14KU9TZn7I"", ""2018-2025!H890"")"),68.836269348)</f>
        <v>68.83626935</v>
      </c>
      <c r="E45" s="27">
        <f>IFERROR(__xludf.DUMMYFUNCTION("C45*IMPORTRANGE(""https://docs.google.com/spreadsheets/d/1xsp01RMmkav9iTy39Zaj_7tE9677EGlOJ14KU9TZn7I"", ""2018-2025!T890"")"),59.083787267999995)</f>
        <v>59.08378727</v>
      </c>
      <c r="F45" s="27">
        <f>IFERROR(__xludf.DUMMYFUNCTION("C45*IMPORTRANGE(""https://docs.google.com/spreadsheets/d/1xsp01RMmkav9iTy39Zaj_7tE9677EGlOJ14KU9TZn7I"", ""2018-2025!AC890"")"),8930.745164)</f>
        <v>8930.745164</v>
      </c>
      <c r="G45" s="8" t="s">
        <v>35</v>
      </c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15.75" customHeight="1">
      <c r="A46" s="35">
        <v>45037.0</v>
      </c>
      <c r="B46" s="9">
        <v>190.0</v>
      </c>
      <c r="C46" s="26">
        <f>125028.5/1000</f>
        <v>125.0285</v>
      </c>
      <c r="D46" s="27">
        <f>IFERROR(__xludf.DUMMYFUNCTION("C46*IMPORTRANGE(""https://docs.google.com/spreadsheets/d/1xsp01RMmkav9iTy39Zaj_7tE9677EGlOJ14KU9TZn7I"", ""2018-2025!H913"")"),104.44630833)</f>
        <v>104.4463083</v>
      </c>
      <c r="E46" s="27">
        <f>IFERROR(__xludf.DUMMYFUNCTION("C46*IMPORTRANGE(""https://docs.google.com/spreadsheets/d/1xsp01RMmkav9iTy39Zaj_7tE9677EGlOJ14KU9TZn7I"", ""2018-2025!T913"")"),90.38310265)</f>
        <v>90.38310265</v>
      </c>
      <c r="F46" s="27">
        <f>IFERROR(__xludf.DUMMYFUNCTION("C46*IMPORTRANGE(""https://docs.google.com/spreadsheets/d/1xsp01RMmkav9iTy39Zaj_7tE9677EGlOJ14KU9TZn7I"", ""2018-2025!AC913"")"),13615.478621499999)</f>
        <v>13615.47862</v>
      </c>
      <c r="G46" s="8" t="s">
        <v>35</v>
      </c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15.75" customHeight="1">
      <c r="A47" s="35">
        <v>45067.0</v>
      </c>
      <c r="B47" s="9">
        <v>213.0</v>
      </c>
      <c r="C47" s="26">
        <f>57451.6/1000</f>
        <v>57.4516</v>
      </c>
      <c r="D47" s="27">
        <f>IFERROR(__xludf.DUMMYFUNCTION("C47*IMPORTRANGE(""https://docs.google.com/spreadsheets/d/1xsp01RMmkav9iTy39Zaj_7tE9677EGlOJ14KU9TZn7I"", ""2018-2025!H935"")"),47.258537128)</f>
        <v>47.25853713</v>
      </c>
      <c r="E47" s="27">
        <f>IFERROR(__xludf.DUMMYFUNCTION("C47*IMPORTRANGE(""https://docs.google.com/spreadsheets/d/1xsp01RMmkav9iTy39Zaj_7tE9677EGlOJ14KU9TZn7I"", ""2018-2025!T935"")"),40.699287956)</f>
        <v>40.69928796</v>
      </c>
      <c r="F47" s="27">
        <f>IFERROR(__xludf.DUMMYFUNCTION("C47*IMPORTRANGE(""https://docs.google.com/spreadsheets/d/1xsp01RMmkav9iTy39Zaj_7tE9677EGlOJ14KU9TZn7I"", ""2018-2025!AC935"")"),6271.991172)</f>
        <v>6271.991172</v>
      </c>
      <c r="G47" s="8" t="s">
        <v>35</v>
      </c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15.75" customHeight="1">
      <c r="A48" s="35">
        <v>45098.0</v>
      </c>
      <c r="B48" s="9">
        <v>217.0</v>
      </c>
      <c r="C48" s="26">
        <f>70164.6/1000</f>
        <v>70.1646</v>
      </c>
      <c r="D48" s="27">
        <f>IFERROR(__xludf.DUMMYFUNCTION("C48*IMPORTRANGE(""https://docs.google.com/spreadsheets/d/1xsp01RMmkav9iTy39Zaj_7tE9677EGlOJ14KU9TZn7I"", ""2018-2025!H958"")"),57.909650964)</f>
        <v>57.90965096</v>
      </c>
      <c r="E48" s="27">
        <f>IFERROR(__xludf.DUMMYFUNCTION("C48*IMPORTRANGE(""https://docs.google.com/spreadsheets/d/1xsp01RMmkav9iTy39Zaj_7tE9677EGlOJ14KU9TZn7I"", ""2018-2025!T958"")"),49.77722300100001)</f>
        <v>49.777223</v>
      </c>
      <c r="F48" s="27">
        <f>IFERROR(__xludf.DUMMYFUNCTION("C48*IMPORTRANGE(""https://docs.google.com/spreadsheets/d/1xsp01RMmkav9iTy39Zaj_7tE9677EGlOJ14KU9TZn7I"", ""2018-2025!AC958"")"),7728.104455500001)</f>
        <v>7728.104456</v>
      </c>
      <c r="G48" s="8" t="s">
        <v>35</v>
      </c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15.75" customHeight="1">
      <c r="A49" s="35">
        <v>45128.0</v>
      </c>
      <c r="B49" s="9">
        <v>265.0</v>
      </c>
      <c r="C49" s="26">
        <f>108043.9/1000</f>
        <v>108.0439</v>
      </c>
      <c r="D49" s="27">
        <f>IFERROR(__xludf.DUMMYFUNCTION("C49*IMPORTRANGE(""https://docs.google.com/spreadsheets/d/1xsp01RMmkav9iTy39Zaj_7tE9677EGlOJ14KU9TZn7I"", ""2018-2025!H981"")"),91.378128425)</f>
        <v>91.37812843</v>
      </c>
      <c r="E49" s="27">
        <f>IFERROR(__xludf.DUMMYFUNCTION("C49*IMPORTRANGE(""https://docs.google.com/spreadsheets/d/1xsp01RMmkav9iTy39Zaj_7tE9677EGlOJ14KU9TZn7I"", ""2018-2025!T981"")"),78.1929910885)</f>
        <v>78.19299109</v>
      </c>
      <c r="F49" s="27">
        <f>IFERROR(__xludf.DUMMYFUNCTION("C49*IMPORTRANGE(""https://docs.google.com/spreadsheets/d/1xsp01RMmkav9iTy39Zaj_7tE9677EGlOJ14KU9TZn7I"", ""2018-2025!AC981"")"),11910.219316499999)</f>
        <v>11910.21932</v>
      </c>
      <c r="G49" s="8" t="s">
        <v>35</v>
      </c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15.75" customHeight="1">
      <c r="A50" s="35">
        <v>45159.0</v>
      </c>
      <c r="B50" s="9">
        <v>217.0</v>
      </c>
      <c r="C50" s="26">
        <f>95148.5/1000</f>
        <v>95.1485</v>
      </c>
      <c r="D50" s="27">
        <f>IFERROR(__xludf.DUMMYFUNCTION("C50*IMPORTRANGE(""https://docs.google.com/spreadsheets/d/1xsp01RMmkav9iTy39Zaj_7tE9677EGlOJ14KU9TZn7I"", ""2018-2025!H1004"")"),80.94473192)</f>
        <v>80.94473192</v>
      </c>
      <c r="E50" s="27">
        <f>IFERROR(__xludf.DUMMYFUNCTION("C50*IMPORTRANGE(""https://docs.google.com/spreadsheets/d/1xsp01RMmkav9iTy39Zaj_7tE9677EGlOJ14KU9TZn7I"", ""2018-2025!T1004"")"),68.829473415)</f>
        <v>68.82947342</v>
      </c>
      <c r="F50" s="27">
        <f>IFERROR(__xludf.DUMMYFUNCTION("C50*IMPORTRANGE(""https://docs.google.com/spreadsheets/d/1xsp01RMmkav9iTy39Zaj_7tE9677EGlOJ14KU9TZn7I"", ""2018-2025!AC1004"")"),10447.685894)</f>
        <v>10447.68589</v>
      </c>
      <c r="G50" s="8" t="s">
        <v>35</v>
      </c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15.75" customHeight="1">
      <c r="A51" s="35">
        <v>45190.0</v>
      </c>
      <c r="B51" s="9">
        <v>195.0</v>
      </c>
      <c r="C51" s="26">
        <f>73274.6/1000</f>
        <v>73.2746</v>
      </c>
      <c r="D51" s="27">
        <f>IFERROR(__xludf.DUMMYFUNCTION("C51*IMPORTRANGE(""https://docs.google.com/spreadsheets/d/1xsp01RMmkav9iTy39Zaj_7tE9677EGlOJ14KU9TZn7I"", ""2018-2025!H1027"")"),62.05699148600001)</f>
        <v>62.05699149</v>
      </c>
      <c r="E51" s="27">
        <f>IFERROR(__xludf.DUMMYFUNCTION("C51*IMPORTRANGE(""https://docs.google.com/spreadsheets/d/1xsp01RMmkav9iTy39Zaj_7tE9677EGlOJ14KU9TZn7I"", ""2018-2025!T1027"")"),53.214579131)</f>
        <v>53.21457913</v>
      </c>
      <c r="F51" s="27">
        <f>IFERROR(__xludf.DUMMYFUNCTION("C51*IMPORTRANGE(""https://docs.google.com/spreadsheets/d/1xsp01RMmkav9iTy39Zaj_7tE9677EGlOJ14KU9TZn7I"", ""2018-2025!AC1027"")"),8057.128466800001)</f>
        <v>8057.128467</v>
      </c>
      <c r="G51" s="8" t="s">
        <v>35</v>
      </c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15.75" customHeight="1">
      <c r="A52" s="35">
        <v>45220.0</v>
      </c>
      <c r="B52" s="9">
        <v>214.0</v>
      </c>
      <c r="C52" s="26">
        <f>43242.2/1000</f>
        <v>43.2422</v>
      </c>
      <c r="D52" s="27">
        <f>IFERROR(__xludf.DUMMYFUNCTION("C52*IMPORTRANGE(""https://docs.google.com/spreadsheets/d/1xsp01RMmkav9iTy39Zaj_7tE9677EGlOJ14KU9TZn7I"", ""2018-2025!H1049"")"),37.279100619999994)</f>
        <v>37.27910062</v>
      </c>
      <c r="E52" s="27">
        <f>IFERROR(__xludf.DUMMYFUNCTION("C52*IMPORTRANGE(""https://docs.google.com/spreadsheets/d/1xsp01RMmkav9iTy39Zaj_7tE9677EGlOJ14KU9TZn7I"", ""2018-2025!T1049"")"),31.634696254)</f>
        <v>31.63469625</v>
      </c>
      <c r="F52" s="27">
        <f>IFERROR(__xludf.DUMMYFUNCTION("C52*IMPORTRANGE(""https://docs.google.com/spreadsheets/d/1xsp01RMmkav9iTy39Zaj_7tE9677EGlOJ14KU9TZn7I"", ""2018-2025!AC1049"")"),4913.0057952)</f>
        <v>4913.005795</v>
      </c>
      <c r="G52" s="8" t="s">
        <v>35</v>
      </c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15.75" customHeight="1">
      <c r="A53" s="35">
        <v>45251.0</v>
      </c>
      <c r="B53" s="9">
        <v>203.0</v>
      </c>
      <c r="C53" s="26">
        <f>114876.5/1000</f>
        <v>114.8765</v>
      </c>
      <c r="D53" s="27">
        <f>IFERROR(__xludf.DUMMYFUNCTION("C53*IMPORTRANGE(""https://docs.google.com/spreadsheets/d/1xsp01RMmkav9iTy39Zaj_7tE9677EGlOJ14KU9TZn7I"", ""2018-2025!H1072"")"),100.72543834749999)</f>
        <v>100.7254383</v>
      </c>
      <c r="E53" s="27">
        <f>IFERROR(__xludf.DUMMYFUNCTION("C53*IMPORTRANGE(""https://docs.google.com/spreadsheets/d/1xsp01RMmkav9iTy39Zaj_7tE9677EGlOJ14KU9TZn7I"", ""2018-2025!T1072"")"),85.53991381249999)</f>
        <v>85.53991381</v>
      </c>
      <c r="F53" s="27">
        <f>IFERROR(__xludf.DUMMYFUNCTION("C53*IMPORTRANGE(""https://docs.google.com/spreadsheets/d/1xsp01RMmkav9iTy39Zaj_7tE9677EGlOJ14KU9TZn7I"", ""2018-2025!AC1072"")"),13105.340873)</f>
        <v>13105.34087</v>
      </c>
      <c r="G53" s="8" t="s">
        <v>35</v>
      </c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15.75" customHeight="1">
      <c r="A54" s="35">
        <v>45281.0</v>
      </c>
      <c r="B54" s="9">
        <v>236.0</v>
      </c>
      <c r="C54" s="26">
        <f>67142.5/1000</f>
        <v>67.1425</v>
      </c>
      <c r="D54" s="27">
        <f>IFERROR(__xludf.DUMMYFUNCTION("C54*IMPORTRANGE(""https://docs.google.com/spreadsheets/d/1xsp01RMmkav9iTy39Zaj_7tE9677EGlOJ14KU9TZn7I"", ""2018-2025!H1096"")"),59.355984275)</f>
        <v>59.35598428</v>
      </c>
      <c r="E54" s="27">
        <f>IFERROR(__xludf.DUMMYFUNCTION("C54*IMPORTRANGE(""https://docs.google.com/spreadsheets/d/1xsp01RMmkav9iTy39Zaj_7tE9677EGlOJ14KU9TZn7I"", ""2018-2025!T1096"")"),50.598588)</f>
        <v>50.598588</v>
      </c>
      <c r="F54" s="27">
        <f>IFERROR(__xludf.DUMMYFUNCTION("C54*IMPORTRANGE(""https://docs.google.com/spreadsheets/d/1xsp01RMmkav9iTy39Zaj_7tE9677EGlOJ14KU9TZn7I"", ""2018-2025!AC1096"")"),7631.617977499999)</f>
        <v>7631.617978</v>
      </c>
      <c r="G54" s="8" t="s">
        <v>35</v>
      </c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15.75" customHeight="1">
      <c r="A55" s="33">
        <v>2022.0</v>
      </c>
      <c r="B55" s="28"/>
      <c r="C55" s="30"/>
      <c r="D55" s="30"/>
      <c r="E55" s="30"/>
      <c r="F55" s="30"/>
      <c r="G55" s="23"/>
      <c r="H55" s="21"/>
      <c r="I55" s="8" t="s">
        <v>45</v>
      </c>
      <c r="J55" s="8" t="s">
        <v>37</v>
      </c>
      <c r="K55" s="8" t="s">
        <v>46</v>
      </c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15.75" customHeight="1">
      <c r="A56" s="35">
        <v>44948.0</v>
      </c>
      <c r="B56" s="9">
        <v>203.0</v>
      </c>
      <c r="C56" s="26">
        <f>125550.7/1000</f>
        <v>125.5507</v>
      </c>
      <c r="D56" s="27">
        <f>IFERROR(__xludf.DUMMYFUNCTION("C56*IMPORTRANGE(""https://docs.google.com/spreadsheets/d/1xsp01RMmkav9iTy39Zaj_7tE9677EGlOJ14KU9TZn7I"", ""2018-2025!H1119"")"),110.81606984799998)</f>
        <v>110.8160698</v>
      </c>
      <c r="E56" s="27">
        <f>IFERROR(__xludf.DUMMYFUNCTION("C56*IMPORTRANGE(""https://docs.google.com/spreadsheets/d/1xsp01RMmkav9iTy39Zaj_7tE9677EGlOJ14KU9TZn7I"", ""2018-2025!T1119"")"),92.61749588299999)</f>
        <v>92.61749588</v>
      </c>
      <c r="F56" s="27">
        <f>IFERROR(__xludf.DUMMYFUNCTION("C56*IMPORTRANGE(""https://docs.google.com/spreadsheets/d/1xsp01RMmkav9iTy39Zaj_7tE9677EGlOJ14KU9TZn7I"", ""2018-2025!AC1119"")"),14403.3018547)</f>
        <v>14403.30185</v>
      </c>
      <c r="G56" s="8" t="s">
        <v>35</v>
      </c>
      <c r="H56" s="21"/>
      <c r="I56" s="8"/>
      <c r="J56" s="9">
        <f t="shared" ref="J56:K56" si="1">SUM(B56:B67)</f>
        <v>1953</v>
      </c>
      <c r="K56" s="14">
        <f t="shared" si="1"/>
        <v>890.02145</v>
      </c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15.75" customHeight="1">
      <c r="A57" s="35">
        <v>44979.0</v>
      </c>
      <c r="B57" s="9">
        <v>172.0</v>
      </c>
      <c r="C57" s="26">
        <f>91751.15/1000</f>
        <v>91.75115</v>
      </c>
      <c r="D57" s="27">
        <f>IFERROR(__xludf.DUMMYFUNCTION("C57*IMPORTRANGE(""https://docs.google.com/spreadsheets/d/1xsp01RMmkav9iTy39Zaj_7tE9677EGlOJ14KU9TZn7I"", ""2018-2025!H1140"")"),80.88827259575)</f>
        <v>80.8882726</v>
      </c>
      <c r="E57" s="27">
        <f>IFERROR(__xludf.DUMMYFUNCTION("C57*IMPORTRANGE(""https://docs.google.com/spreadsheets/d/1xsp01RMmkav9iTy39Zaj_7tE9677EGlOJ14KU9TZn7I"", ""2018-2025!T1140"")"),67.7297814185)</f>
        <v>67.72978142</v>
      </c>
      <c r="F57" s="27">
        <f>IFERROR(__xludf.DUMMYFUNCTION("C57*IMPORTRANGE(""https://docs.google.com/spreadsheets/d/1xsp01RMmkav9iTy39Zaj_7tE9677EGlOJ14KU9TZn7I"", ""2018-2025!AC1140"")"),10567.209323375)</f>
        <v>10567.20932</v>
      </c>
      <c r="G57" s="8" t="s">
        <v>35</v>
      </c>
      <c r="H57" s="21"/>
      <c r="I57" s="8"/>
      <c r="J57" s="17"/>
      <c r="K57" s="36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ht="15.75" customHeight="1">
      <c r="A58" s="35">
        <v>45007.0</v>
      </c>
      <c r="B58" s="9">
        <v>197.0</v>
      </c>
      <c r="C58" s="26">
        <f>71045.6/1000</f>
        <v>71.0456</v>
      </c>
      <c r="D58" s="27">
        <f>IFERROR(__xludf.DUMMYFUNCTION("C58*IMPORTRANGE(""https://docs.google.com/spreadsheets/d/1xsp01RMmkav9iTy39Zaj_7tE9677EGlOJ14KU9TZn7I"", ""2018-2025!H1164"")"),64.485959752)</f>
        <v>64.48595975</v>
      </c>
      <c r="E58" s="27">
        <f>IFERROR(__xludf.DUMMYFUNCTION("C58*IMPORTRANGE(""https://docs.google.com/spreadsheets/d/1xsp01RMmkav9iTy39Zaj_7tE9677EGlOJ14KU9TZn7I"", ""2018-2025!T1164"")"),53.982578248)</f>
        <v>53.98257825</v>
      </c>
      <c r="F58" s="27">
        <f>IFERROR(__xludf.DUMMYFUNCTION("C58*IMPORTRANGE(""https://docs.google.com/spreadsheets/d/1xsp01RMmkav9iTy39Zaj_7tE9677EGlOJ14KU9TZn7I"", ""2018-2025!AC1164"")"),8404.1261152)</f>
        <v>8404.126115</v>
      </c>
      <c r="G58" s="8" t="s">
        <v>35</v>
      </c>
      <c r="H58" s="21"/>
      <c r="I58" s="8"/>
      <c r="J58" s="8"/>
      <c r="K58" s="36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15.75" customHeight="1">
      <c r="A59" s="35">
        <v>45038.0</v>
      </c>
      <c r="B59" s="9">
        <v>163.0</v>
      </c>
      <c r="C59" s="26">
        <f>170854.9/1000</f>
        <v>170.8549</v>
      </c>
      <c r="D59" s="27">
        <f>IFERROR(__xludf.DUMMYFUNCTION("C59*IMPORTRANGE(""https://docs.google.com/spreadsheets/d/1xsp01RMmkav9iTy39Zaj_7tE9677EGlOJ14KU9TZn7I"", ""2018-2025!H1186"")"),157.685404308)</f>
        <v>157.6854043</v>
      </c>
      <c r="E59" s="27">
        <f>IFERROR(__xludf.DUMMYFUNCTION("C59*IMPORTRANGE(""https://docs.google.com/spreadsheets/d/1xsp01RMmkav9iTy39Zaj_7tE9677EGlOJ14KU9TZn7I"", ""2018-2025!T1186"")"),131.10209041699997)</f>
        <v>131.1020904</v>
      </c>
      <c r="F59" s="27">
        <f>IFERROR(__xludf.DUMMYFUNCTION("C59*IMPORTRANGE(""https://docs.google.com/spreadsheets/d/1xsp01RMmkav9iTy39Zaj_7tE9677EGlOJ14KU9TZn7I"", ""2018-2025!AC1186"")"),21558.3004271)</f>
        <v>21558.30043</v>
      </c>
      <c r="G59" s="8" t="s">
        <v>35</v>
      </c>
      <c r="H59" s="21"/>
      <c r="I59" s="8"/>
      <c r="J59" s="8"/>
      <c r="K59" s="36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15.75" customHeight="1">
      <c r="A60" s="35">
        <v>45068.0</v>
      </c>
      <c r="B60" s="9">
        <v>187.0</v>
      </c>
      <c r="C60" s="26">
        <f>93973.4/1000</f>
        <v>93.9734</v>
      </c>
      <c r="D60" s="27">
        <f>IFERROR(__xludf.DUMMYFUNCTION("C60*IMPORTRANGE(""https://docs.google.com/spreadsheets/d/1xsp01RMmkav9iTy39Zaj_7tE9677EGlOJ14KU9TZn7I"", ""2018-2025!H1209"")"),89.12672189499999)</f>
        <v>89.1267219</v>
      </c>
      <c r="E60" s="27">
        <f>IFERROR(__xludf.DUMMYFUNCTION("C60*IMPORTRANGE(""https://docs.google.com/spreadsheets/d/1xsp01RMmkav9iTy39Zaj_7tE9677EGlOJ14KU9TZn7I"", ""2018-2025!T1209"")"),75.230875237)</f>
        <v>75.23087524</v>
      </c>
      <c r="F60" s="27">
        <f>IFERROR(__xludf.DUMMYFUNCTION("C60*IMPORTRANGE(""https://docs.google.com/spreadsheets/d/1xsp01RMmkav9iTy39Zaj_7tE9677EGlOJ14KU9TZn7I"", ""2018-2025!AC1209"")"),12129.4286582)</f>
        <v>12129.42866</v>
      </c>
      <c r="G60" s="8" t="s">
        <v>35</v>
      </c>
      <c r="H60" s="21"/>
      <c r="I60" s="8"/>
      <c r="J60" s="8"/>
      <c r="K60" s="36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15.75" customHeight="1">
      <c r="A61" s="35">
        <v>45099.0</v>
      </c>
      <c r="B61" s="9">
        <v>159.0</v>
      </c>
      <c r="C61" s="26">
        <f>42265.4/1000</f>
        <v>42.2654</v>
      </c>
      <c r="D61" s="27">
        <f>IFERROR(__xludf.DUMMYFUNCTION("C61*IMPORTRANGE(""https://docs.google.com/spreadsheets/d/1xsp01RMmkav9iTy39Zaj_7tE9677EGlOJ14KU9TZn7I"", ""2018-2025!H1232"")"),40.041183325)</f>
        <v>40.04118333</v>
      </c>
      <c r="E61" s="27">
        <f>IFERROR(__xludf.DUMMYFUNCTION("C61*IMPORTRANGE(""https://docs.google.com/spreadsheets/d/1xsp01RMmkav9iTy39Zaj_7tE9677EGlOJ14KU9TZn7I"", ""2018-2025!T1232"")"),34.442919767999996)</f>
        <v>34.44291977</v>
      </c>
      <c r="F61" s="27">
        <f>IFERROR(__xludf.DUMMYFUNCTION("C61*IMPORTRANGE(""https://docs.google.com/spreadsheets/d/1xsp01RMmkav9iTy39Zaj_7tE9677EGlOJ14KU9TZn7I"", ""2018-2025!AC1232"")"),5689.852678800001)</f>
        <v>5689.852679</v>
      </c>
      <c r="G61" s="8" t="s">
        <v>35</v>
      </c>
      <c r="H61" s="21"/>
      <c r="I61" s="8"/>
      <c r="J61" s="8"/>
      <c r="K61" s="36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15.75" customHeight="1">
      <c r="A62" s="35">
        <v>45129.0</v>
      </c>
      <c r="B62" s="9">
        <v>148.0</v>
      </c>
      <c r="C62" s="26">
        <f>23087.5/1000</f>
        <v>23.0875</v>
      </c>
      <c r="D62" s="27">
        <f>IFERROR(__xludf.DUMMYFUNCTION("C62*IMPORTRANGE(""https://docs.google.com/spreadsheets/d/1xsp01RMmkav9iTy39Zaj_7tE9677EGlOJ14KU9TZn7I"", ""2018-2025!H1254"")"),22.66499875)</f>
        <v>22.66499875</v>
      </c>
      <c r="E62" s="27">
        <f>IFERROR(__xludf.DUMMYFUNCTION("C62*IMPORTRANGE(""https://docs.google.com/spreadsheets/d/1xsp01RMmkav9iTy39Zaj_7tE9677EGlOJ14KU9TZn7I"", ""2018-2025!T1254"")"),19.245739999999998)</f>
        <v>19.24574</v>
      </c>
      <c r="F62" s="27">
        <f>IFERROR(__xludf.DUMMYFUNCTION("C62*IMPORTRANGE(""https://docs.google.com/spreadsheets/d/1xsp01RMmkav9iTy39Zaj_7tE9677EGlOJ14KU9TZn7I"", ""2018-2025!AC1254"")"),3149.8507125)</f>
        <v>3149.850713</v>
      </c>
      <c r="G62" s="8" t="s">
        <v>35</v>
      </c>
      <c r="H62" s="21"/>
      <c r="I62" s="8"/>
      <c r="J62" s="8"/>
      <c r="K62" s="36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15.75" customHeight="1">
      <c r="A63" s="35">
        <v>45160.0</v>
      </c>
      <c r="B63" s="9">
        <v>163.0</v>
      </c>
      <c r="C63" s="26">
        <f>39348.8/1000</f>
        <v>39.3488</v>
      </c>
      <c r="D63" s="27">
        <f>IFERROR(__xludf.DUMMYFUNCTION("C63*IMPORTRANGE(""https://docs.google.com/spreadsheets/d/1xsp01RMmkav9iTy39Zaj_7tE9677EGlOJ14KU9TZn7I"", ""2018-2025!H1278"")"),38.72158012800001)</f>
        <v>38.72158013</v>
      </c>
      <c r="E63" s="27">
        <f>IFERROR(__xludf.DUMMYFUNCTION("C63*IMPORTRANGE(""https://docs.google.com/spreadsheets/d/1xsp01RMmkav9iTy39Zaj_7tE9677EGlOJ14KU9TZn7I"", ""2018-2025!T1278"")"),32.628811936000005)</f>
        <v>32.62881194</v>
      </c>
      <c r="F63" s="27">
        <f>IFERROR(__xludf.DUMMYFUNCTION("C63*IMPORTRANGE(""https://docs.google.com/spreadsheets/d/1xsp01RMmkav9iTy39Zaj_7tE9677EGlOJ14KU9TZn7I"", ""2018-2025!AC1278"")"),5309.8844672000005)</f>
        <v>5309.884467</v>
      </c>
      <c r="G63" s="8" t="s">
        <v>35</v>
      </c>
      <c r="H63" s="21"/>
      <c r="I63" s="8"/>
      <c r="J63" s="8"/>
      <c r="K63" s="36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15.75" customHeight="1">
      <c r="A64" s="35">
        <v>45191.0</v>
      </c>
      <c r="B64" s="9">
        <v>142.0</v>
      </c>
      <c r="C64" s="26">
        <f>53533.5/1000</f>
        <v>53.5335</v>
      </c>
      <c r="D64" s="27">
        <f>IFERROR(__xludf.DUMMYFUNCTION("C64*IMPORTRANGE(""https://docs.google.com/spreadsheets/d/1xsp01RMmkav9iTy39Zaj_7tE9677EGlOJ14KU9TZn7I"", ""2018-2025!H1301"")"),53.740139309999996)</f>
        <v>53.74013931</v>
      </c>
      <c r="E64" s="27">
        <f>IFERROR(__xludf.DUMMYFUNCTION("C64*IMPORTRANGE(""https://docs.google.com/spreadsheets/d/1xsp01RMmkav9iTy39Zaj_7tE9677EGlOJ14KU9TZn7I"", ""2018-2025!T1301"")"),46.6986103875)</f>
        <v>46.69861039</v>
      </c>
      <c r="F64" s="27">
        <f>IFERROR(__xludf.DUMMYFUNCTION("C64*IMPORTRANGE(""https://docs.google.com/spreadsheets/d/1xsp01RMmkav9iTy39Zaj_7tE9677EGlOJ14KU9TZn7I"", ""2018-2025!AC1301"")"),7671.029349)</f>
        <v>7671.029349</v>
      </c>
      <c r="G64" s="8" t="s">
        <v>35</v>
      </c>
      <c r="H64" s="21"/>
      <c r="I64" s="8"/>
      <c r="J64" s="8"/>
      <c r="K64" s="36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15.75" customHeight="1">
      <c r="A65" s="35">
        <v>45221.0</v>
      </c>
      <c r="B65" s="9">
        <v>128.0</v>
      </c>
      <c r="C65" s="26">
        <f>95544.5/1000</f>
        <v>95.5445</v>
      </c>
      <c r="D65" s="27">
        <f>IFERROR(__xludf.DUMMYFUNCTION("C65*IMPORTRANGE(""https://docs.google.com/spreadsheets/d/1xsp01RMmkav9iTy39Zaj_7tE9677EGlOJ14KU9TZn7I"", ""2018-2025!H1323"")"),97.17640005999999)</f>
        <v>97.17640006</v>
      </c>
      <c r="E65" s="27">
        <f>IFERROR(__xludf.DUMMYFUNCTION("C65*IMPORTRANGE(""https://docs.google.com/spreadsheets/d/1xsp01RMmkav9iTy39Zaj_7tE9677EGlOJ14KU9TZn7I"", ""2018-2025!T1323"")"),84.494778575)</f>
        <v>84.49477858</v>
      </c>
      <c r="F65" s="27">
        <f>IFERROR(__xludf.DUMMYFUNCTION("C65*IMPORTRANGE(""https://docs.google.com/spreadsheets/d/1xsp01RMmkav9iTy39Zaj_7tE9677EGlOJ14KU9TZn7I"", ""2018-2025!AC1323"")"),14019.913296499999)</f>
        <v>14019.9133</v>
      </c>
      <c r="G65" s="8" t="s">
        <v>35</v>
      </c>
      <c r="H65" s="21"/>
      <c r="I65" s="8"/>
      <c r="J65" s="8"/>
      <c r="K65" s="36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15.75" customHeight="1">
      <c r="A66" s="35">
        <v>45252.0</v>
      </c>
      <c r="B66" s="9">
        <v>145.0</v>
      </c>
      <c r="C66" s="26">
        <f>69643.8/1000</f>
        <v>69.6438</v>
      </c>
      <c r="D66" s="27">
        <f>IFERROR(__xludf.DUMMYFUNCTION("C66*IMPORTRANGE(""https://docs.google.com/spreadsheets/d/1xsp01RMmkav9iTy39Zaj_7tE9677EGlOJ14KU9TZn7I"", ""2018-2025!H1346"")"),67.515833691)</f>
        <v>67.51583369</v>
      </c>
      <c r="E66" s="27">
        <f>IFERROR(__xludf.DUMMYFUNCTION("C66*IMPORTRANGE(""https://docs.google.com/spreadsheets/d/1xsp01RMmkav9iTy39Zaj_7tE9677EGlOJ14KU9TZn7I"", ""2018-2025!T1346"")"),58.9534767)</f>
        <v>58.9534767</v>
      </c>
      <c r="F66" s="27">
        <f>IFERROR(__xludf.DUMMYFUNCTION("C66*IMPORTRANGE(""https://docs.google.com/spreadsheets/d/1xsp01RMmkav9iTy39Zaj_7tE9677EGlOJ14KU9TZn7I"", ""2018-2025!AC1346"")"),9804.6979173)</f>
        <v>9804.697917</v>
      </c>
      <c r="G66" s="8" t="s">
        <v>35</v>
      </c>
      <c r="H66" s="21"/>
      <c r="I66" s="8"/>
      <c r="J66" s="8"/>
      <c r="K66" s="36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15.75" customHeight="1">
      <c r="A67" s="35">
        <v>45282.0</v>
      </c>
      <c r="B67" s="9">
        <v>146.0</v>
      </c>
      <c r="C67" s="26">
        <f>13422.2/1000</f>
        <v>13.4222</v>
      </c>
      <c r="D67" s="27">
        <f>IFERROR(__xludf.DUMMYFUNCTION("C67*IMPORTRANGE(""https://docs.google.com/spreadsheets/d/1xsp01RMmkav9iTy39Zaj_7tE9677EGlOJ14KU9TZn7I"", ""2018-2025!H1369"")"),12.65445016)</f>
        <v>12.65445016</v>
      </c>
      <c r="E67" s="27">
        <f>IFERROR(__xludf.DUMMYFUNCTION("C67*IMPORTRANGE(""https://docs.google.com/spreadsheets/d/1xsp01RMmkav9iTy39Zaj_7tE9677EGlOJ14KU9TZn7I"", ""2018-2025!T1369"")"),11.024659524999999)</f>
        <v>11.02465953</v>
      </c>
      <c r="F67" s="27">
        <f>IFERROR(__xludf.DUMMYFUNCTION("C67*IMPORTRANGE(""https://docs.google.com/spreadsheets/d/1xsp01RMmkav9iTy39Zaj_7tE9677EGlOJ14KU9TZn7I"", ""2018-2025!AC1369"")"),1818.2517452000002)</f>
        <v>1818.251745</v>
      </c>
      <c r="G67" s="8" t="s">
        <v>35</v>
      </c>
      <c r="H67" s="21"/>
      <c r="I67" s="8"/>
      <c r="J67" s="8"/>
      <c r="K67" s="36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15.75" customHeight="1">
      <c r="A68" s="23"/>
      <c r="B68" s="28"/>
      <c r="C68" s="30"/>
      <c r="D68" s="30"/>
      <c r="E68" s="30"/>
      <c r="F68" s="30"/>
      <c r="G68" s="23"/>
      <c r="H68" s="21"/>
      <c r="I68" s="37" t="s">
        <v>47</v>
      </c>
      <c r="J68" s="8" t="s">
        <v>37</v>
      </c>
      <c r="K68" s="36" t="s">
        <v>46</v>
      </c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15.75" customHeight="1">
      <c r="A69" s="38">
        <v>44949.0</v>
      </c>
      <c r="B69" s="39">
        <v>135.0</v>
      </c>
      <c r="C69" s="26">
        <f>21003.8/1000</f>
        <v>21.0038</v>
      </c>
      <c r="D69" s="27">
        <f>IFERROR(__xludf.DUMMYFUNCTION("C69*IMPORTRANGE(""https://docs.google.com/spreadsheets/d/1xsp01RMmkav9iTy39Zaj_7tE9677EGlOJ14KU9TZn7I"", ""2018-2025!H1393"")"),19.427779866999998)</f>
        <v>19.42777987</v>
      </c>
      <c r="E69" s="27">
        <f>IFERROR(__xludf.DUMMYFUNCTION("C69*IMPORTRANGE(""https://docs.google.com/spreadsheets/d/1xsp01RMmkav9iTy39Zaj_7tE9677EGlOJ14KU9TZn7I"", ""2018-2025!T1393"")"),17.184889083999998)</f>
        <v>17.18488908</v>
      </c>
      <c r="F69" s="27">
        <f>IFERROR(__xludf.DUMMYFUNCTION("C69*IMPORTRANGE(""https://docs.google.com/spreadsheets/d/1xsp01RMmkav9iTy39Zaj_7tE9677EGlOJ14KU9TZn7I"", ""2018-2025!AC1393"")"),2738.0343852038)</f>
        <v>2738.034385</v>
      </c>
      <c r="G69" s="8" t="s">
        <v>35</v>
      </c>
      <c r="H69" s="21"/>
      <c r="I69" s="8"/>
      <c r="J69" s="9">
        <f t="shared" ref="J69:K69" si="2">SUM(B69:B80)</f>
        <v>1274</v>
      </c>
      <c r="K69" s="14">
        <f t="shared" si="2"/>
        <v>482.443</v>
      </c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15.75" customHeight="1">
      <c r="A70" s="38">
        <v>44980.0</v>
      </c>
      <c r="B70" s="39">
        <v>142.0</v>
      </c>
      <c r="C70" s="26">
        <f>45928.1/1000</f>
        <v>45.9281</v>
      </c>
      <c r="D70" s="27">
        <f>IFERROR(__xludf.DUMMYFUNCTION("C70*IMPORTRANGE(""https://docs.google.com/spreadsheets/d/1xsp01RMmkav9iTy39Zaj_7tE9677EGlOJ14KU9TZn7I"", ""2018-2025!H1414"")"),42.86010292)</f>
        <v>42.86010292</v>
      </c>
      <c r="E70" s="27">
        <f>IFERROR(__xludf.DUMMYFUNCTION("C70*IMPORTRANGE(""https://docs.google.com/spreadsheets/d/1xsp01RMmkav9iTy39Zaj_7tE9677EGlOJ14KU9TZn7I"", ""2018-2025!T1414"")"),38.103788884)</f>
        <v>38.10378888</v>
      </c>
      <c r="F70" s="27">
        <f>IFERROR(__xludf.DUMMYFUNCTION("C70*IMPORTRANGE(""https://docs.google.com/spreadsheets/d/1xsp01RMmkav9iTy39Zaj_7tE9677EGlOJ14KU9TZn7I"", ""2018-2025!AC1414"")"),6099.573176700001)</f>
        <v>6099.573177</v>
      </c>
      <c r="G70" s="8" t="s">
        <v>35</v>
      </c>
      <c r="H70" s="21"/>
      <c r="I70" s="8"/>
      <c r="J70" s="8"/>
      <c r="K70" s="8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15.75" customHeight="1">
      <c r="A71" s="38">
        <v>45008.0</v>
      </c>
      <c r="B71" s="39">
        <v>140.0</v>
      </c>
      <c r="C71" s="26">
        <f>87683/1000</f>
        <v>87.683</v>
      </c>
      <c r="D71" s="27">
        <f>IFERROR(__xludf.DUMMYFUNCTION("C71*IMPORTRANGE(""https://docs.google.com/spreadsheets/d/1xsp01RMmkav9iTy39Zaj_7tE9677EGlOJ14KU9TZn7I"", ""2018-2025!H1438"")"),82.03621480000001)</f>
        <v>82.0362148</v>
      </c>
      <c r="E71" s="27">
        <f>IFERROR(__xludf.DUMMYFUNCTION("C71*IMPORTRANGE(""https://docs.google.com/spreadsheets/d/1xsp01RMmkav9iTy39Zaj_7tE9677EGlOJ14KU9TZn7I"", ""2018-2025!T1438"")"),72.1543407)</f>
        <v>72.1543407</v>
      </c>
      <c r="F71" s="27">
        <f>IFERROR(__xludf.DUMMYFUNCTION("C71*IMPORTRANGE(""https://docs.google.com/spreadsheets/d/1xsp01RMmkav9iTy39Zaj_7tE9677EGlOJ14KU9TZn7I"", ""2018-2025!AC1438"")"),11679.463633732003)</f>
        <v>11679.46363</v>
      </c>
      <c r="G71" s="8" t="s">
        <v>35</v>
      </c>
      <c r="H71" s="21"/>
      <c r="I71" s="8"/>
      <c r="J71" s="8"/>
      <c r="K71" s="8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15.75" customHeight="1">
      <c r="A72" s="38">
        <v>45039.0</v>
      </c>
      <c r="B72" s="39">
        <v>97.0</v>
      </c>
      <c r="C72" s="26">
        <f>28892.7/1000</f>
        <v>28.8927</v>
      </c>
      <c r="D72" s="27">
        <f>IFERROR(__xludf.DUMMYFUNCTION("C72*IMPORTRANGE(""https://docs.google.com/spreadsheets/d/1xsp01RMmkav9iTy39Zaj_7tE9677EGlOJ14KU9TZn7I"", ""2018-2025!H1459"")"),26.348697765)</f>
        <v>26.34869777</v>
      </c>
      <c r="E72" s="27">
        <f>IFERROR(__xludf.DUMMYFUNCTION("C72*IMPORTRANGE(""https://docs.google.com/spreadsheets/d/1xsp01RMmkav9iTy39Zaj_7tE9677EGlOJ14KU9TZn7I"", ""2018-2025!T1459"")"),23.23439697105)</f>
        <v>23.23439697</v>
      </c>
      <c r="F72" s="27">
        <f>IFERROR(__xludf.DUMMYFUNCTION("C72*IMPORTRANGE(""https://docs.google.com/spreadsheets/d/1xsp01RMmkav9iTy39Zaj_7tE9677EGlOJ14KU9TZn7I"", ""2018-2025!AC364"")"),3226.3755772500003)</f>
        <v>3226.375577</v>
      </c>
      <c r="G72" s="8" t="s">
        <v>35</v>
      </c>
      <c r="H72" s="21"/>
      <c r="I72" s="8"/>
      <c r="J72" s="8"/>
      <c r="K72" s="8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15.75" customHeight="1">
      <c r="A73" s="40">
        <v>45069.0</v>
      </c>
      <c r="B73" s="39">
        <v>111.0</v>
      </c>
      <c r="C73" s="26">
        <f>18928.9/1000</f>
        <v>18.9289</v>
      </c>
      <c r="D73" s="27">
        <f>IFERROR(__xludf.DUMMYFUNCTION("C73*IMPORTRANGE(""https://docs.google.com/spreadsheets/d/1xsp01RMmkav9iTy39Zaj_7tE9677EGlOJ14KU9TZn7I"", ""2018-2025!H1483"")"),17.420834537)</f>
        <v>17.42083454</v>
      </c>
      <c r="E73" s="27">
        <f>IFERROR(__xludf.DUMMYFUNCTION("C73*IMPORTRANGE(""https://docs.google.com/spreadsheets/d/1xsp01RMmkav9iTy39Zaj_7tE9677EGlOJ14KU9TZn7I"", ""2018-2025!T1483"")"),15.163979647800002)</f>
        <v>15.16397965</v>
      </c>
      <c r="F73" s="27">
        <f>IFERROR(__xludf.DUMMYFUNCTION("C73*IMPORTRANGE(""https://docs.google.com/spreadsheets/d/1xsp01RMmkav9iTy39Zaj_7tE9677EGlOJ14KU9TZn7I"", ""2018-2025!AC1483"")"),2583.1512674000005)</f>
        <v>2583.151267</v>
      </c>
      <c r="G73" s="8" t="s">
        <v>35</v>
      </c>
      <c r="H73" s="21"/>
      <c r="I73" s="8"/>
      <c r="J73" s="8"/>
      <c r="K73" s="8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15.75" customHeight="1">
      <c r="A74" s="38">
        <v>45100.0</v>
      </c>
      <c r="B74" s="39">
        <v>115.0</v>
      </c>
      <c r="C74" s="26">
        <f>52712.4/1000</f>
        <v>52.7124</v>
      </c>
      <c r="D74" s="27">
        <f>IFERROR(__xludf.DUMMYFUNCTION("C74*IMPORTRANGE(""https://docs.google.com/spreadsheets/d/1xsp01RMmkav9iTy39Zaj_7tE9677EGlOJ14KU9TZn7I"", ""2018-2025!H1506"")"),48.61269309000001)</f>
        <v>48.61269309</v>
      </c>
      <c r="E74" s="27">
        <f>IFERROR(__xludf.DUMMYFUNCTION("C74*IMPORTRANGE(""https://docs.google.com/spreadsheets/d/1xsp01RMmkav9iTy39Zaj_7tE9677EGlOJ14KU9TZn7I"", ""2018-2025!T1506"")"),41.731616394)</f>
        <v>41.73161639</v>
      </c>
      <c r="F74" s="27">
        <f>IFERROR(__xludf.DUMMYFUNCTION("C74*IMPORTRANGE(""https://docs.google.com/spreadsheets/d/1xsp01RMmkav9iTy39Zaj_7tE9677EGlOJ14KU9TZn7I"", ""2018-2025!AC1506"")"),7392.2553531372005)</f>
        <v>7392.255353</v>
      </c>
      <c r="G74" s="8" t="s">
        <v>35</v>
      </c>
      <c r="H74" s="21"/>
      <c r="I74" s="8"/>
      <c r="J74" s="8"/>
      <c r="K74" s="8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15.75" customHeight="1">
      <c r="A75" s="38">
        <v>45130.0</v>
      </c>
      <c r="B75" s="39">
        <v>98.0</v>
      </c>
      <c r="C75" s="41">
        <f>12407.2/1000</f>
        <v>12.4072</v>
      </c>
      <c r="D75" s="27">
        <f>IFERROR(__xludf.DUMMYFUNCTION("C75*IMPORTRANGE(""https://docs.google.com/spreadsheets/d/1xsp01RMmkav9iTy39Zaj_7tE9677EGlOJ14KU9TZn7I"", ""2018-2025!H1528"")"),11.227771568000001)</f>
        <v>11.22777157</v>
      </c>
      <c r="E75" s="27">
        <f>IFERROR(__xludf.DUMMYFUNCTION("C75*IMPORTRANGE(""https://docs.google.com/spreadsheets/d/1xsp01RMmkav9iTy39Zaj_7tE9677EGlOJ14KU9TZn7I"", ""2018-2025!T1528"")"),9.644364704000001)</f>
        <v>9.644364704</v>
      </c>
      <c r="F75" s="27">
        <f>IFERROR(__xludf.DUMMYFUNCTION("C75*IMPORTRANGE(""https://docs.google.com/spreadsheets/d/1xsp01RMmkav9iTy39Zaj_7tE9677EGlOJ14KU9TZn7I"", ""2018-2025!AC1528"")"),1748.3356991568)</f>
        <v>1748.335699</v>
      </c>
      <c r="G75" s="8" t="s">
        <v>35</v>
      </c>
      <c r="H75" s="21"/>
      <c r="I75" s="8"/>
      <c r="J75" s="8"/>
      <c r="K75" s="8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15.75" customHeight="1">
      <c r="A76" s="42">
        <v>45161.0</v>
      </c>
      <c r="B76" s="39">
        <v>95.0</v>
      </c>
      <c r="C76" s="41">
        <f>18339.5/1000</f>
        <v>18.3395</v>
      </c>
      <c r="D76" s="27">
        <f>IFERROR(__xludf.DUMMYFUNCTION("C76*IMPORTRANGE(""https://docs.google.com/spreadsheets/d/1xsp01RMmkav9iTy39Zaj_7tE9677EGlOJ14KU9TZn7I"", ""2018-2025!H1552"")"),16.809985700000002)</f>
        <v>16.8099857</v>
      </c>
      <c r="E76" s="27">
        <f>IFERROR(__xludf.DUMMYFUNCTION("C76*IMPORTRANGE(""https://docs.google.com/spreadsheets/d/1xsp01RMmkav9iTy39Zaj_7tE9677EGlOJ14KU9TZn7I"", ""2018-2025!T1552"")"),14.41741453)</f>
        <v>14.41741453</v>
      </c>
      <c r="F76" s="27">
        <f>IFERROR(__xludf.DUMMYFUNCTION("C76*IMPORTRANGE(""https://docs.google.com/spreadsheets/d/1xsp01RMmkav9iTy39Zaj_7tE9677EGlOJ14KU9TZn7I"", ""2018-2025!AC1552"")"),2664.8209191235)</f>
        <v>2664.820919</v>
      </c>
      <c r="G76" s="8" t="s">
        <v>35</v>
      </c>
      <c r="H76" s="21"/>
      <c r="I76" s="8"/>
      <c r="J76" s="8"/>
      <c r="K76" s="8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15.75" customHeight="1">
      <c r="A77" s="35">
        <v>45192.0</v>
      </c>
      <c r="B77" s="9">
        <v>75.0</v>
      </c>
      <c r="C77" s="20">
        <f>39047.1/1000</f>
        <v>39.0471</v>
      </c>
      <c r="D77" s="27">
        <f>IFERROR(__xludf.DUMMYFUNCTION("C77*IMPORTRANGE(""https://docs.google.com/spreadsheets/d/1xsp01RMmkav9iTy39Zaj_7tE9677EGlOJ14KU9TZn7I"", ""2018-2025!H1574"")"),36.517628862)</f>
        <v>36.51762886</v>
      </c>
      <c r="E77" s="27">
        <f>IFERROR(__xludf.DUMMYFUNCTION("C77*IMPORTRANGE(""https://docs.google.com/spreadsheets/d/1xsp01RMmkav9iTy39Zaj_7tE9677EGlOJ14KU9TZn7I"", ""2018-2025!T1574"")"),31.484848143)</f>
        <v>31.48484814</v>
      </c>
      <c r="F77" s="27">
        <f>IFERROR(__xludf.DUMMYFUNCTION("C77*IMPORTRANGE(""https://docs.google.com/spreadsheets/d/1xsp01RMmkav9iTy39Zaj_7tE9677EGlOJ14KU9TZn7I"", ""2018-2025!AC1574"")"),5763.5470393116)</f>
        <v>5763.547039</v>
      </c>
      <c r="G77" s="8" t="s">
        <v>35</v>
      </c>
      <c r="H77" s="21"/>
      <c r="I77" s="8"/>
      <c r="J77" s="8"/>
      <c r="K77" s="8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15.75" customHeight="1">
      <c r="A78" s="35">
        <v>45222.0</v>
      </c>
      <c r="B78" s="9">
        <v>82.0</v>
      </c>
      <c r="C78" s="20">
        <f>75640.4/1000</f>
        <v>75.6404</v>
      </c>
      <c r="D78" s="27">
        <f>IFERROR(__xludf.DUMMYFUNCTION("C78*IMPORTRANGE(""https://docs.google.com/spreadsheets/d/1xsp01RMmkav9iTy39Zaj_7tE9677EGlOJ14KU9TZn7I"", ""2018-2025!H1597"")"),71.586830964)</f>
        <v>71.58683096</v>
      </c>
      <c r="E78" s="27">
        <f>IFERROR(__xludf.DUMMYFUNCTION("C78*IMPORTRANGE(""https://docs.google.com/spreadsheets/d/1xsp01RMmkav9iTy39Zaj_7tE9677EGlOJ14KU9TZn7I"", ""2018-2025!T1597"")"),62.18926766800001)</f>
        <v>62.18926767</v>
      </c>
      <c r="F78" s="27">
        <f>IFERROR(__xludf.DUMMYFUNCTION("C78*IMPORTRANGE(""https://docs.google.com/spreadsheets/d/1xsp01RMmkav9iTy39Zaj_7tE9677EGlOJ14KU9TZn7I"", ""2018-2025!AC1597"")"),11326.2046219212)</f>
        <v>11326.20462</v>
      </c>
      <c r="G78" s="8" t="s">
        <v>35</v>
      </c>
      <c r="H78" s="21"/>
      <c r="I78" s="8"/>
      <c r="J78" s="8"/>
      <c r="K78" s="8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15.75" customHeight="1">
      <c r="A79" s="35">
        <v>45253.0</v>
      </c>
      <c r="B79" s="9">
        <v>86.0</v>
      </c>
      <c r="C79" s="20">
        <f>34690.9/1000</f>
        <v>34.6909</v>
      </c>
      <c r="D79" s="27">
        <f>IFERROR(__xludf.DUMMYFUNCTION("C79*IMPORTRANGE(""https://docs.google.com/spreadsheets/d/1xsp01RMmkav9iTy39Zaj_7tE9677EGlOJ14KU9TZn7I"", ""2018-2025!H1620"")"),31.9608996245)</f>
        <v>31.96089962</v>
      </c>
      <c r="E79" s="27">
        <f>IFERROR(__xludf.DUMMYFUNCTION("C79*IMPORTRANGE(""https://docs.google.com/spreadsheets/d/1xsp01RMmkav9iTy39Zaj_7tE9677EGlOJ14KU9TZn7I"", ""2018-2025!T1620"")"),27.934500315999998)</f>
        <v>27.93450032</v>
      </c>
      <c r="F79" s="27">
        <f>IFERROR(__xludf.DUMMYFUNCTION("C79*IMPORTRANGE(""https://docs.google.com/spreadsheets/d/1xsp01RMmkav9iTy39Zaj_7tE9677EGlOJ14KU9TZn7I"", ""2018-2025!AC1620"")"),5210.3128941773)</f>
        <v>5210.312894</v>
      </c>
      <c r="G79" s="8" t="s">
        <v>35</v>
      </c>
      <c r="H79" s="21"/>
      <c r="I79" s="8"/>
      <c r="J79" s="8"/>
      <c r="K79" s="8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15.75" customHeight="1">
      <c r="A80" s="35">
        <v>45283.0</v>
      </c>
      <c r="B80" s="9">
        <v>98.0</v>
      </c>
      <c r="C80" s="20">
        <f>47169/1000</f>
        <v>47.169</v>
      </c>
      <c r="D80" s="27">
        <f>IFERROR(__xludf.DUMMYFUNCTION("C80*IMPORTRANGE(""https://docs.google.com/spreadsheets/d/1xsp01RMmkav9iTy39Zaj_7tE9677EGlOJ14KU9TZn7I"", ""2018-2025!H1642"")"),43.293123269999995)</f>
        <v>43.29312327</v>
      </c>
      <c r="E80" s="27">
        <f>IFERROR(__xludf.DUMMYFUNCTION("C80*IMPORTRANGE(""https://docs.google.com/spreadsheets/d/1xsp01RMmkav9iTy39Zaj_7tE9677EGlOJ14KU9TZn7I"", ""2018-2025!T1642"")"),37.2823776)</f>
        <v>37.2823776</v>
      </c>
      <c r="F80" s="27">
        <f>IFERROR(__xludf.DUMMYFUNCTION("C80*IMPORTRANGE(""https://docs.google.com/spreadsheets/d/1xsp01RMmkav9iTy39Zaj_7tE9677EGlOJ14KU9TZn7I"", ""2018-2025!AC1642"")"),6769.836151155)</f>
        <v>6769.836151</v>
      </c>
      <c r="G80" s="8" t="s">
        <v>35</v>
      </c>
      <c r="H80" s="21"/>
      <c r="I80" s="37"/>
      <c r="J80" s="8"/>
      <c r="K80" s="36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15.75" customHeight="1">
      <c r="A81" s="33">
        <v>2024.0</v>
      </c>
      <c r="B81" s="23"/>
      <c r="C81" s="23"/>
      <c r="D81" s="30"/>
      <c r="E81" s="30"/>
      <c r="F81" s="30"/>
      <c r="G81" s="23"/>
      <c r="H81" s="21"/>
      <c r="I81" s="37" t="s">
        <v>48</v>
      </c>
      <c r="J81" s="17" t="s">
        <v>37</v>
      </c>
      <c r="K81" s="36" t="s">
        <v>46</v>
      </c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15.75" customHeight="1">
      <c r="A82" s="43">
        <v>45322.0</v>
      </c>
      <c r="B82" s="44">
        <v>75.0</v>
      </c>
      <c r="C82" s="27">
        <f>36107/1000</f>
        <v>36.107</v>
      </c>
      <c r="D82" s="27">
        <f>IFERROR(__xludf.DUMMYFUNCTION("C82*IMPORTRANGE(""https://docs.google.com/spreadsheets/d/1xsp01RMmkav9iTy39Zaj_7tE9677EGlOJ14KU9TZn7I"", ""2018-2025!H1667"")"),33.0415157)</f>
        <v>33.0415157</v>
      </c>
      <c r="E82" s="27">
        <f>IFERROR(__xludf.DUMMYFUNCTION("C82*IMPORTRANGE(""https://docs.google.com/spreadsheets/d/1xsp01RMmkav9iTy39Zaj_7tE9677EGlOJ14KU9TZn7I"", ""2018-2025!T1667"")"),28.40862653)</f>
        <v>28.40862653</v>
      </c>
      <c r="F82" s="27">
        <f>IFERROR(__xludf.DUMMYFUNCTION("C82*IMPORTRANGE(""https://docs.google.com/spreadsheets/d/1xsp01RMmkav9iTy39Zaj_7tE9677EGlOJ14KU9TZn7I"", ""2018-2025!AC1667"")"),5264.184174642)</f>
        <v>5264.184175</v>
      </c>
      <c r="G82" s="8" t="s">
        <v>35</v>
      </c>
      <c r="H82" s="21"/>
      <c r="I82" s="8"/>
      <c r="J82" s="9">
        <f t="shared" ref="J82:K82" si="3">SUM(B82:B93)</f>
        <v>1259</v>
      </c>
      <c r="K82" s="14">
        <f t="shared" si="3"/>
        <v>395.1733</v>
      </c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15.75" customHeight="1">
      <c r="A83" s="43">
        <v>45323.0</v>
      </c>
      <c r="B83" s="9">
        <v>72.0</v>
      </c>
      <c r="C83" s="20">
        <f>7105.9/1000</f>
        <v>7.1059</v>
      </c>
      <c r="D83" s="27">
        <f>IFERROR(__xludf.DUMMYFUNCTION("C83*IMPORTRANGE(""https://docs.google.com/spreadsheets/d/1xsp01RMmkav9iTy39Zaj_7tE9677EGlOJ14KU9TZn7I"", ""2018-2025!H1689"")"),6.584682234999999)</f>
        <v>6.584682235</v>
      </c>
      <c r="E83" s="27">
        <f>IFERROR(__xludf.DUMMYFUNCTION("C83*IMPORTRANGE(""https://docs.google.com/spreadsheets/d/1xsp01RMmkav9iTy39Zaj_7tE9677EGlOJ14KU9TZn7I"", ""2018-2025!T1689"")"),5.627375387)</f>
        <v>5.627375387</v>
      </c>
      <c r="F83" s="27">
        <f>IFERROR(__xludf.DUMMYFUNCTION("C83*IMPORTRANGE(""https://docs.google.com/spreadsheets/d/1xsp01RMmkav9iTy39Zaj_7tE9677EGlOJ14KU9TZn7I"", ""2018-2025!AC1689"")"),1065.4763894322998)</f>
        <v>1065.476389</v>
      </c>
      <c r="G83" s="8" t="s">
        <v>35</v>
      </c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15.75" customHeight="1">
      <c r="A84" s="43">
        <v>45352.0</v>
      </c>
      <c r="B84" s="9">
        <v>95.0</v>
      </c>
      <c r="C84" s="20">
        <f>13632.4/1000</f>
        <v>13.6324</v>
      </c>
      <c r="D84" s="27">
        <f>IFERROR(__xludf.DUMMYFUNCTION("C84*IMPORTRANGE(""https://docs.google.com/spreadsheets/d/1xsp01RMmkav9iTy39Zaj_7tE9677EGlOJ14KU9TZn7I"", ""2018-2025!H1712"")"),12.549033172)</f>
        <v>12.54903317</v>
      </c>
      <c r="E84" s="27">
        <f>IFERROR(__xludf.DUMMYFUNCTION("C84*IMPORTRANGE(""https://docs.google.com/spreadsheets/d/1xsp01RMmkav9iTy39Zaj_7tE9677EGlOJ14KU9TZn7I"", ""2018-2025!T1712"")"),10.717792880000001)</f>
        <v>10.71779288</v>
      </c>
      <c r="F84" s="27">
        <f>IFERROR(__xludf.DUMMYFUNCTION("C84*IMPORTRANGE(""https://docs.google.com/spreadsheets/d/1xsp01RMmkav9iTy39Zaj_7tE9677EGlOJ14KU9TZn7I"", ""2018-2025!AC1712"")"),2046.2232195514)</f>
        <v>2046.22322</v>
      </c>
      <c r="G84" s="8" t="s">
        <v>35</v>
      </c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15.75" customHeight="1">
      <c r="A85" s="43">
        <v>45383.0</v>
      </c>
      <c r="B85" s="9">
        <v>87.0</v>
      </c>
      <c r="C85" s="20">
        <f>35343.1/1000</f>
        <v>35.3431</v>
      </c>
      <c r="D85" s="27">
        <f>IFERROR(__xludf.DUMMYFUNCTION("C85*IMPORTRANGE(""https://docs.google.com/spreadsheets/d/1xsp01RMmkav9iTy39Zaj_7tE9677EGlOJ14KU9TZn7I"", ""2018-2025!H1735"")"),32.979000041)</f>
        <v>32.97900004</v>
      </c>
      <c r="E85" s="27">
        <f>IFERROR(__xludf.DUMMYFUNCTION("C85*IMPORTRANGE(""https://docs.google.com/spreadsheets/d/1xsp01RMmkav9iTy39Zaj_7tE9677EGlOJ14KU9TZn7I"", ""2018-2025!T1735"")"),28.223232505)</f>
        <v>28.22323251</v>
      </c>
      <c r="F85" s="27">
        <f>IFERROR(__xludf.DUMMYFUNCTION("C85*IMPORTRANGE(""https://docs.google.com/spreadsheets/d/1xsp01RMmkav9iTy39Zaj_7tE9677EGlOJ14KU9TZn7I"", ""2018-2025!AC1735"")"),5433.807220278451)</f>
        <v>5433.80722</v>
      </c>
      <c r="G85" s="8" t="s">
        <v>35</v>
      </c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15.75" customHeight="1">
      <c r="A86" s="43">
        <v>45413.0</v>
      </c>
      <c r="B86" s="9">
        <v>115.0</v>
      </c>
      <c r="C86" s="20">
        <f>48183.6/1000</f>
        <v>48.1836</v>
      </c>
      <c r="D86" s="27">
        <f>IFERROR(__xludf.DUMMYFUNCTION("C86*IMPORTRANGE(""https://docs.google.com/spreadsheets/d/1xsp01RMmkav9iTy39Zaj_7tE9677EGlOJ14KU9TZn7I"", ""2018-2025!H1759"")"),44.562120623999995)</f>
        <v>44.56212062</v>
      </c>
      <c r="E86" s="27">
        <f>IFERROR(__xludf.DUMMYFUNCTION("C86*IMPORTRANGE(""https://docs.google.com/spreadsheets/d/1xsp01RMmkav9iTy39Zaj_7tE9677EGlOJ14KU9TZn7I"", ""2018-2025!T1759"")"),38.023654287599996)</f>
        <v>38.02365429</v>
      </c>
      <c r="F86" s="27">
        <f>IFERROR(__xludf.DUMMYFUNCTION("C86*IMPORTRANGE(""https://docs.google.com/spreadsheets/d/1xsp01RMmkav9iTy39Zaj_7tE9677EGlOJ14KU9TZn7I"", ""2018-2025!AC1759"")"),7527.8684751672)</f>
        <v>7527.868475</v>
      </c>
      <c r="G86" s="8" t="s">
        <v>35</v>
      </c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15.75" customHeight="1">
      <c r="A87" s="43">
        <v>45473.0</v>
      </c>
      <c r="B87" s="9">
        <v>124.0</v>
      </c>
      <c r="C87" s="20">
        <f>49410.4/1000
</f>
        <v>49.4104</v>
      </c>
      <c r="D87" s="27">
        <f>IFERROR(__xludf.DUMMYFUNCTION("C87*IMPORTRANGE(""https://docs.google.com/spreadsheets/d/1xsp01RMmkav9iTy39Zaj_7tE9677EGlOJ14KU9TZn7I"", ""2018-2025!H1781"")"),46.003058816)</f>
        <v>46.00305882</v>
      </c>
      <c r="E87" s="27">
        <f>IFERROR(__xludf.DUMMYFUNCTION("C87*IMPORTRANGE(""https://docs.google.com/spreadsheets/d/1xsp01RMmkav9iTy39Zaj_7tE9677EGlOJ14KU9TZn7I"", ""2018-2025!T1781"")"),38.838550816)</f>
        <v>38.83855082</v>
      </c>
      <c r="F87" s="27">
        <f>IFERROR(__xludf.DUMMYFUNCTION("C87*IMPORTRANGE(""https://docs.google.com/spreadsheets/d/1xsp01RMmkav9iTy39Zaj_7tE9677EGlOJ14KU9TZn7I"", ""2018-2025!AC1781"")"),7784.411125452001)</f>
        <v>7784.411125</v>
      </c>
      <c r="G87" s="8" t="s">
        <v>35</v>
      </c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15.75" customHeight="1">
      <c r="A88" s="43">
        <v>45504.0</v>
      </c>
      <c r="B88" s="9">
        <v>116.0</v>
      </c>
      <c r="C88" s="20">
        <f>34506.6/1000</f>
        <v>34.5066</v>
      </c>
      <c r="D88" s="27">
        <f>IFERROR(__xludf.DUMMYFUNCTION("C88*IMPORTRANGE(""https://docs.google.com/spreadsheets/d/1xsp01RMmkav9iTy39Zaj_7tE9677EGlOJ14KU9TZn7I"", ""2018-2025!H1805"")"),31.817673194999998)</f>
        <v>31.8176732</v>
      </c>
      <c r="E88" s="27">
        <f>IFERROR(__xludf.DUMMYFUNCTION("C88*IMPORTRANGE(""https://docs.google.com/spreadsheets/d/1xsp01RMmkav9iTy39Zaj_7tE9677EGlOJ14KU9TZn7I"", ""2018-2025!T1805"")"),26.823360444)</f>
        <v>26.82336044</v>
      </c>
      <c r="F88" s="27">
        <f>IFERROR(__xludf.DUMMYFUNCTION("C88*IMPORTRANGE(""https://docs.google.com/spreadsheets/d/1xsp01RMmkav9iTy39Zaj_7tE9677EGlOJ14KU9TZn7I"", ""2018-2025!AC1805"")"),5457.943601133)</f>
        <v>5457.943601</v>
      </c>
      <c r="G88" s="8" t="s">
        <v>35</v>
      </c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15.75" customHeight="1">
      <c r="A89" s="43">
        <v>45535.0</v>
      </c>
      <c r="B89" s="9">
        <v>104.0</v>
      </c>
      <c r="C89" s="20">
        <f>39051.4/1000</f>
        <v>39.0514</v>
      </c>
      <c r="D89" s="27">
        <f>IFERROR(__xludf.DUMMYFUNCTION("C89*IMPORTRANGE(""https://docs.google.com/spreadsheets/d/1xsp01RMmkav9iTy39Zaj_7tE9677EGlOJ14KU9TZn7I"", ""2018-2025!H1828"")"),35.48483563800001)</f>
        <v>35.48483564</v>
      </c>
      <c r="E89" s="27">
        <f>IFERROR(__xludf.DUMMYFUNCTION("C89*IMPORTRANGE(""https://docs.google.com/spreadsheets/d/1xsp01RMmkav9iTy39Zaj_7tE9677EGlOJ14KU9TZn7I"", ""2018-2025!T1828"")"),30.359339388000002)</f>
        <v>30.35933939</v>
      </c>
      <c r="F89" s="27">
        <f>IFERROR(__xludf.DUMMYFUNCTION("C89*IMPORTRANGE(""https://docs.google.com/spreadsheets/d/1xsp01RMmkav9iTy39Zaj_7tE9677EGlOJ14KU9TZn7I"", ""2018-2025!AC1828"")"),5707.869563417301)</f>
        <v>5707.869563</v>
      </c>
      <c r="G89" s="8" t="s">
        <v>35</v>
      </c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15.75" customHeight="1">
      <c r="A90" s="43">
        <v>45565.0</v>
      </c>
      <c r="B90" s="9">
        <v>127.0</v>
      </c>
      <c r="C90" s="20">
        <f>16822/1000</f>
        <v>16.822</v>
      </c>
      <c r="D90" s="27">
        <f>IFERROR(__xludf.DUMMYFUNCTION("C90*IMPORTRANGE(""https://docs.google.com/spreadsheets/d/1xsp01RMmkav9iTy39Zaj_7tE9677EGlOJ14KU9TZn7I"", ""2018-2025!H1851"")"),15.136435599999999)</f>
        <v>15.1364356</v>
      </c>
      <c r="E90" s="27">
        <f>IFERROR(__xludf.DUMMYFUNCTION("C90*IMPORTRANGE(""https://docs.google.com/spreadsheets/d/1xsp01RMmkav9iTy39Zaj_7tE9677EGlOJ14KU9TZn7I"", ""2018-2025!T1851"")"),12.7468705)</f>
        <v>12.7468705</v>
      </c>
      <c r="F90" s="27">
        <f>IFERROR(__xludf.DUMMYFUNCTION("C90*IMPORTRANGE(""https://docs.google.com/spreadsheets/d/1xsp01RMmkav9iTy39Zaj_7tE9677EGlOJ14KU9TZn7I"", ""2018-2025!AC1851"")"),2401.50872)</f>
        <v>2401.50872</v>
      </c>
      <c r="G90" s="8" t="s">
        <v>35</v>
      </c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15.75" customHeight="1">
      <c r="A91" s="43">
        <v>45596.0</v>
      </c>
      <c r="B91" s="9">
        <v>133.0</v>
      </c>
      <c r="C91" s="20">
        <f>45346.2/1000</f>
        <v>45.3462</v>
      </c>
      <c r="D91" s="27">
        <f>IFERROR(__xludf.DUMMYFUNCTION("C91*IMPORTRANGE(""https://docs.google.com/spreadsheets/d/1xsp01RMmkav9iTy39Zaj_7tE9677EGlOJ14KU9TZn7I"", ""2018-2025!H1875"")"),42.912015984)</f>
        <v>42.91201598</v>
      </c>
      <c r="E91" s="27">
        <f>IFERROR(__xludf.DUMMYFUNCTION("C91*IMPORTRANGE(""https://docs.google.com/spreadsheets/d/1xsp01RMmkav9iTy39Zaj_7tE9677EGlOJ14KU9TZn7I"", ""2018-2025!T1875"")"),34.7351892)</f>
        <v>34.7351892</v>
      </c>
      <c r="F91" s="27">
        <f>IFERROR(__xludf.DUMMYFUNCTION("C91*IMPORTRANGE(""https://docs.google.com/spreadsheets/d/1xsp01RMmkav9iTy39Zaj_7tE9677EGlOJ14KU9TZn7I"", ""2018-2025!AC1875"")"),6787.645946999999)</f>
        <v>6787.645947</v>
      </c>
      <c r="G91" s="8" t="s">
        <v>35</v>
      </c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15.75" customHeight="1">
      <c r="A92" s="43">
        <v>45626.0</v>
      </c>
      <c r="B92" s="9">
        <v>98.0</v>
      </c>
      <c r="C92" s="20">
        <f>22898.9/1000</f>
        <v>22.8989</v>
      </c>
      <c r="D92" s="27">
        <f>IFERROR(__xludf.DUMMYFUNCTION("C92*IMPORTRANGE(""https://docs.google.com/spreadsheets/d/1xsp01RMmkav9iTy39Zaj_7tE9677EGlOJ14KU9TZn7I"", ""2018-2025!H1897"")"),21.648620060000002)</f>
        <v>21.64862006</v>
      </c>
      <c r="E92" s="27">
        <f>IFERROR(__xludf.DUMMYFUNCTION("C92*IMPORTRANGE(""https://docs.google.com/spreadsheets/d/1xsp01RMmkav9iTy39Zaj_7tE9677EGlOJ14KU9TZn7I"", ""2018-2025!T1897"")"),18.0443332)</f>
        <v>18.0443332</v>
      </c>
      <c r="F92" s="27">
        <f>IFERROR(__xludf.DUMMYFUNCTION("C92*IMPORTRANGE(""https://docs.google.com/spreadsheets/d/1xsp01RMmkav9iTy39Zaj_7tE9677EGlOJ14KU9TZn7I"", ""2018-2025!AC1897"")"),3502.8447330000004)</f>
        <v>3502.844733</v>
      </c>
      <c r="G92" s="8" t="s">
        <v>35</v>
      </c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15.75" customHeight="1">
      <c r="A93" s="43">
        <v>45627.0</v>
      </c>
      <c r="B93" s="9">
        <v>113.0</v>
      </c>
      <c r="C93" s="20">
        <f>46765.8/1000</f>
        <v>46.7658</v>
      </c>
      <c r="D93" s="27">
        <f>IFERROR(__xludf.DUMMYFUNCTION("C93*IMPORTRANGE(""https://docs.google.com/spreadsheets/d/1xsp01RMmkav9iTy39Zaj_7tE9677EGlOJ14KU9TZn7I"", ""2018-2025!H1920"")"),44.62158807000001)</f>
        <v>44.62158807</v>
      </c>
      <c r="E93" s="27">
        <f>IFERROR(__xludf.DUMMYFUNCTION("C93*IMPORTRANGE(""https://docs.google.com/spreadsheets/d/1xsp01RMmkav9iTy39Zaj_7tE9677EGlOJ14KU9TZn7I"", ""2018-2025!T1920"")"),37.00110096)</f>
        <v>37.00110096</v>
      </c>
      <c r="F93" s="27">
        <f>IFERROR(__xludf.DUMMYFUNCTION("C93*IMPORTRANGE(""https://docs.google.com/spreadsheets/d/1xsp01RMmkav9iTy39Zaj_7tE9677EGlOJ14KU9TZn7I"", ""2018-2025!AC1920"")"),7197.022791)</f>
        <v>7197.022791</v>
      </c>
      <c r="G93" s="8" t="s">
        <v>35</v>
      </c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15.75" customHeight="1">
      <c r="A94" s="33">
        <v>2025.0</v>
      </c>
      <c r="B94" s="23"/>
      <c r="C94" s="30"/>
      <c r="D94" s="30"/>
      <c r="E94" s="30"/>
      <c r="F94" s="30"/>
      <c r="G94" s="23"/>
      <c r="H94" s="21"/>
      <c r="I94" s="37" t="s">
        <v>49</v>
      </c>
      <c r="J94" s="8" t="s">
        <v>37</v>
      </c>
      <c r="K94" s="36" t="s">
        <v>46</v>
      </c>
      <c r="L94" s="8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15.75" customHeight="1">
      <c r="A95" s="43">
        <v>45688.0</v>
      </c>
      <c r="B95" s="44">
        <v>106.0</v>
      </c>
      <c r="C95" s="27">
        <f>56314.7/1000</f>
        <v>56.3147</v>
      </c>
      <c r="D95" s="27">
        <f>IFERROR(__xludf.DUMMYFUNCTION("C95*IMPORTRANGE(""https://docs.google.com/spreadsheets/d/1xsp01RMmkav9iTy39Zaj_7tE9677EGlOJ14KU9TZn7I"", ""2018-2025!H1945"")"),54.366211379999996)</f>
        <v>54.36621138</v>
      </c>
      <c r="E95" s="27">
        <f>IFERROR(__xludf.DUMMYFUNCTION("C95*IMPORTRANGE(""https://docs.google.com/spreadsheets/d/1xsp01RMmkav9iTy39Zaj_7tE9677EGlOJ14KU9TZn7I"", ""2018-2025!T1945"")"),45.552960829999996)</f>
        <v>45.55296083</v>
      </c>
      <c r="F95" s="27">
        <f>IFERROR(__xludf.DUMMYFUNCTION("C95*IMPORTRANGE(""https://docs.google.com/spreadsheets/d/1xsp01RMmkav9iTy39Zaj_7tE9677EGlOJ14KU9TZn7I"", ""2018-2025!AC1945"")"),8811.561108999998)</f>
        <v>8811.561109</v>
      </c>
      <c r="G95" s="8" t="s">
        <v>35</v>
      </c>
      <c r="H95" s="21"/>
      <c r="I95" s="8"/>
      <c r="J95" s="9">
        <f t="shared" ref="J95:K95" si="4">SUM(B95:B106)</f>
        <v>1409</v>
      </c>
      <c r="K95" s="14">
        <f t="shared" si="4"/>
        <v>729.9188</v>
      </c>
      <c r="L95" s="8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15.75" customHeight="1">
      <c r="A96" s="43">
        <v>45716.0</v>
      </c>
      <c r="B96" s="44">
        <v>103.0</v>
      </c>
      <c r="C96" s="27">
        <f>36014.9/1000</f>
        <v>36.0149</v>
      </c>
      <c r="D96" s="27">
        <f>IFERROR(__xludf.DUMMYFUNCTION("C96*IMPORTRANGE(""https://docs.google.com/spreadsheets/d/1xsp01RMmkav9iTy39Zaj_7tE9677EGlOJ14KU9TZn7I"", ""2018-2025!H1966"")"),34.586909215000006)</f>
        <v>34.58690922</v>
      </c>
      <c r="E96" s="27">
        <f>IFERROR(__xludf.DUMMYFUNCTION("C96*IMPORTRANGE(""https://docs.google.com/spreadsheets/d/1xsp01RMmkav9iTy39Zaj_7tE9677EGlOJ14KU9TZn7I"", ""2018-2025!T1966"")"),28.62104103)</f>
        <v>28.62104103</v>
      </c>
      <c r="F96" s="27">
        <f>IFERROR(__xludf.DUMMYFUNCTION("C96*IMPORTRANGE(""https://docs.google.com/spreadsheets/d/1xsp01RMmkav9iTy39Zaj_7tE9677EGlOJ14KU9TZn7I"", ""2018-2025!AC1966"")"),5455.7171265000015)</f>
        <v>5455.717127</v>
      </c>
      <c r="G96" s="8" t="s">
        <v>35</v>
      </c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15.75" customHeight="1">
      <c r="A97" s="43">
        <v>45747.0</v>
      </c>
      <c r="B97" s="44">
        <v>116.0</v>
      </c>
      <c r="C97" s="27">
        <f>97904.5/1000</f>
        <v>97.9045</v>
      </c>
      <c r="D97" s="27">
        <f>IFERROR(__xludf.DUMMYFUNCTION("C97*IMPORTRANGE(""https://docs.google.com/spreadsheets/d/1xsp01RMmkav9iTy39Zaj_7tE9677EGlOJ14KU9TZn7I"", ""2018-2025!H1988"")"),90.4050153)</f>
        <v>90.4050153</v>
      </c>
      <c r="E97" s="27">
        <f>IFERROR(__xludf.DUMMYFUNCTION("C97*IMPORTRANGE(""https://docs.google.com/spreadsheets/d/1xsp01RMmkav9iTy39Zaj_7tE9677EGlOJ14KU9TZn7I"", ""2018-2025!T1988"")"),75.68996895)</f>
        <v>75.68996895</v>
      </c>
      <c r="F97" s="27">
        <f>IFERROR(__xludf.DUMMYFUNCTION("C97*IMPORTRANGE(""https://docs.google.com/spreadsheets/d/1xsp01RMmkav9iTy39Zaj_7tE9677EGlOJ14KU9TZn7I"", ""2018-2025!AC1988"")"),14608.330445000001)</f>
        <v>14608.33045</v>
      </c>
      <c r="G97" s="8" t="s">
        <v>35</v>
      </c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15.75" customHeight="1">
      <c r="A98" s="43">
        <v>45777.0</v>
      </c>
      <c r="B98" s="44">
        <v>110.0</v>
      </c>
      <c r="C98" s="27">
        <f>30739.5/1000</f>
        <v>30.7395</v>
      </c>
      <c r="D98" s="27">
        <f>IFERROR(__xludf.DUMMYFUNCTION("C98*IMPORTRANGE(""https://docs.google.com/spreadsheets/d/1xsp01RMmkav9iTy39Zaj_7tE9677EGlOJ14KU9TZn7I"", ""2018-2025!H2011"")"),27.10916505)</f>
        <v>27.10916505</v>
      </c>
      <c r="E98" s="27">
        <f>IFERROR(__xludf.DUMMYFUNCTION("C98*IMPORTRANGE(""https://docs.google.com/spreadsheets/d/1xsp01RMmkav9iTy39Zaj_7tE9677EGlOJ14KU9TZn7I"", ""2018-2025!T2011"")"),23.222155275)</f>
        <v>23.22215528</v>
      </c>
      <c r="F98" s="27">
        <f>IFERROR(__xludf.DUMMYFUNCTION("C98*IMPORTRANGE(""https://docs.google.com/spreadsheets/d/1xsp01RMmkav9iTy39Zaj_7tE9677EGlOJ14KU9TZn7I"", ""2018-2025!AC2011"")"),4406.199929999999)</f>
        <v>4406.19993</v>
      </c>
      <c r="G98" s="8" t="s">
        <v>35</v>
      </c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15.75" customHeight="1">
      <c r="A99" s="43">
        <v>45808.0</v>
      </c>
      <c r="B99" s="44">
        <v>113.0</v>
      </c>
      <c r="C99" s="27">
        <f>68857.9/1000</f>
        <v>68.8579</v>
      </c>
      <c r="D99" s="27" t="s">
        <v>50</v>
      </c>
      <c r="E99" s="27">
        <f>IFERROR(__xludf.DUMMYFUNCTION("C99*IMPORTRANGE(""https://docs.google.com/spreadsheets/d/1xsp01RMmkav9iTy39Zaj_7tE9677EGlOJ14KU9TZn7I"", ""2018-2025!T2035"")"),51.53325236)</f>
        <v>51.53325236</v>
      </c>
      <c r="F99" s="27">
        <f>IFERROR(__xludf.DUMMYFUNCTION("C99*IMPORTRANGE(""https://docs.google.com/spreadsheets/d/1xsp01RMmkav9iTy39Zaj_7tE9677EGlOJ14KU9TZn7I"", ""2018-2025!AC2035"")"),9950.655128999999)</f>
        <v>9950.655129</v>
      </c>
      <c r="G99" s="8" t="s">
        <v>35</v>
      </c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15.75" customHeight="1">
      <c r="A100" s="43">
        <v>45838.0</v>
      </c>
      <c r="B100" s="44">
        <v>125.0</v>
      </c>
      <c r="C100" s="27">
        <f>63726.6/1000</f>
        <v>63.7266</v>
      </c>
      <c r="D100" s="27">
        <f>IFERROR(__xludf.DUMMYFUNCTION("C100*IMPORTRANGE(""https://docs.google.com/spreadsheets/d/1xsp01RMmkav9iTy39Zaj_7tE9677EGlOJ14KU9TZn7I"", ""2018-2025!H2058"")"),55.375229069999996)</f>
        <v>55.37522907</v>
      </c>
      <c r="E100" s="27">
        <f>IFERROR(__xludf.DUMMYFUNCTION("C100*IMPORTRANGE(""https://docs.google.com/spreadsheets/d/1xsp01RMmkav9iTy39Zaj_7tE9677EGlOJ14KU9TZn7I"", ""2018-2025!T2058"")"),47.02385814)</f>
        <v>47.02385814</v>
      </c>
      <c r="F100" s="27">
        <f>IFERROR(__xludf.DUMMYFUNCTION("C100*IMPORTRANGE(""https://docs.google.com/spreadsheets/d/1xsp01RMmkav9iTy39Zaj_7tE9677EGlOJ14KU9TZn7I"", ""2018-2025!AC2058"")"),9217.415423999999)</f>
        <v>9217.415424</v>
      </c>
      <c r="G100" s="8" t="s">
        <v>35</v>
      </c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15.75" customHeight="1">
      <c r="A101" s="43">
        <v>45869.0</v>
      </c>
      <c r="B101" s="44">
        <v>133.0</v>
      </c>
      <c r="C101" s="27">
        <f>54641.5/1000</f>
        <v>54.6415</v>
      </c>
      <c r="D101" s="27">
        <f>IFERROR(__xludf.DUMMYFUNCTION("C101*IMPORTRANGE(""https://docs.google.com/spreadsheets/d/1xsp01RMmkav9iTy39Zaj_7tE9677EGlOJ14KU9TZn7I"", ""2018-2025!H2083"")"),46.685697600000005)</f>
        <v>46.6856976</v>
      </c>
      <c r="E101" s="27">
        <f>IFERROR(__xludf.DUMMYFUNCTION("C101*IMPORTRANGE(""https://docs.google.com/spreadsheets/d/1xsp01RMmkav9iTy39Zaj_7tE9677EGlOJ14KU9TZn7I"", ""2018-2025!T2083"")"),40.486619425)</f>
        <v>40.48661943</v>
      </c>
      <c r="F101" s="27">
        <f>IFERROR(__xludf.DUMMYFUNCTION("C101*IMPORTRANGE(""https://docs.google.com/spreadsheets/d/1xsp01RMmkav9iTy39Zaj_7tE9677EGlOJ14KU9TZn7I"", ""2018-2025!AC2083"")"),8054.430307499999)</f>
        <v>8054.430308</v>
      </c>
      <c r="G101" s="8" t="s">
        <v>35</v>
      </c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15.75" customHeight="1">
      <c r="A102" s="43">
        <v>45900.0</v>
      </c>
      <c r="B102" s="44">
        <v>121.0</v>
      </c>
      <c r="C102" s="27">
        <f>54121.1/1000</f>
        <v>54.1211</v>
      </c>
      <c r="D102" s="27">
        <f>IFERROR(__xludf.DUMMYFUNCTION("C102*IMPORTRANGE(""https://docs.google.com/spreadsheets/d/1xsp01RMmkav9iTy39Zaj_7tE9677EGlOJ14KU9TZn7I"", ""2018-2025!H2106"")"),46.460258294999996)</f>
        <v>46.4602583</v>
      </c>
      <c r="E102" s="27">
        <f>IFERROR(__xludf.DUMMYFUNCTION("C102*IMPORTRANGE(""https://docs.google.com/spreadsheets/d/1xsp01RMmkav9iTy39Zaj_7tE9677EGlOJ14KU9TZn7I"", ""2018-2025!T2106"")"),40.13079565)</f>
        <v>40.13079565</v>
      </c>
      <c r="F102" s="27">
        <f>IFERROR(__xludf.DUMMYFUNCTION("C102*IMPORTRANGE(""https://docs.google.com/spreadsheets/d/1xsp01RMmkav9iTy39Zaj_7tE9677EGlOJ14KU9TZn7I"", ""2018-2025!AC2106"")"),7977.450139999998)</f>
        <v>7977.45014</v>
      </c>
      <c r="G102" s="8" t="s">
        <v>35</v>
      </c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15.75" customHeight="1">
      <c r="A103" s="43">
        <v>45930.0</v>
      </c>
      <c r="B103" s="17">
        <v>109.0</v>
      </c>
      <c r="C103" s="45">
        <f>53843.8/1000</f>
        <v>53.8438</v>
      </c>
      <c r="D103" s="27">
        <f>IFERROR(__xludf.DUMMYFUNCTION("C103*IMPORTRANGE(""https://docs.google.com/spreadsheets/d/1xsp01RMmkav9iTy39Zaj_7tE9677EGlOJ14KU9TZn7I"", ""2018-2025!H2130"")"),45.891070739999996)</f>
        <v>45.89107074</v>
      </c>
      <c r="E103" s="27">
        <f>IFERROR(__xludf.DUMMYFUNCTION("C103*IMPORTRANGE(""https://docs.google.com/spreadsheets/d/1xsp01RMmkav9iTy39Zaj_7tE9677EGlOJ14KU9TZn7I"", ""2018-2025!T2130"")"),39.844412)</f>
        <v>39.844412</v>
      </c>
      <c r="F103" s="27">
        <f>IFERROR(__xludf.DUMMYFUNCTION("C103*IMPORTRANGE(""https://docs.google.com/spreadsheets/d/1xsp01RMmkav9iTy39Zaj_7tE9677EGlOJ14KU9TZn7I"", ""2018-2025!AC2130"")"),7953.806136)</f>
        <v>7953.806136</v>
      </c>
      <c r="G103" s="8" t="s">
        <v>35</v>
      </c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15.75" customHeight="1">
      <c r="A104" s="43">
        <v>45961.0</v>
      </c>
      <c r="B104" s="44">
        <v>116.0</v>
      </c>
      <c r="C104" s="27">
        <f>118506.9/1000</f>
        <v>118.5069</v>
      </c>
      <c r="D104" s="27">
        <f>IFERROR(__xludf.DUMMYFUNCTION("C104*IMPORTRANGE(""https://docs.google.com/spreadsheets/d/1xsp01RMmkav9iTy39Zaj_7tE9677EGlOJ14KU9TZn7I"", ""2018-2025!H2154"")"),101.915934)</f>
        <v>101.915934</v>
      </c>
      <c r="E104" s="27">
        <f>IFERROR(__xludf.DUMMYFUNCTION("C104*IMPORTRANGE(""https://docs.google.com/spreadsheets/d/1xsp01RMmkav9iTy39Zaj_7tE9677EGlOJ14KU9TZn7I"", ""2018-2025!T2154"")"),88.70241465)</f>
        <v>88.70241465</v>
      </c>
      <c r="F104" s="27">
        <f>IFERROR(__xludf.DUMMYFUNCTION("C104*IMPORTRANGE(""https://docs.google.com/spreadsheets/d/1xsp01RMmkav9iTy39Zaj_7tE9677EGlOJ14KU9TZn7I"", ""2018-2025!AC2154"")"),18005.938385999998)</f>
        <v>18005.93839</v>
      </c>
      <c r="G104" s="8" t="s">
        <v>35</v>
      </c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15.75" customHeight="1">
      <c r="A105" s="43">
        <v>45991.0</v>
      </c>
      <c r="B105" s="17">
        <v>108.0</v>
      </c>
      <c r="C105" s="45">
        <f>22575.4/1000</f>
        <v>22.5754</v>
      </c>
      <c r="D105" s="27">
        <f>IFERROR(__xludf.DUMMYFUNCTION("C105*IMPORTRANGE(""https://docs.google.com/spreadsheets/d/1xsp01RMmkav9iTy39Zaj_7tE9677EGlOJ14KU9TZn7I"", ""2018-2025!H2175"")"),19.51530453)</f>
        <v>19.51530453</v>
      </c>
      <c r="E105" s="27">
        <f>IFERROR(__xludf.DUMMYFUNCTION("C105*IMPORTRANGE(""https://docs.google.com/spreadsheets/d/1xsp01RMmkav9iTy39Zaj_7tE9677EGlOJ14KU9TZn7I"", ""2018-2025!T2175"")"),17.16972047)</f>
        <v>17.16972047</v>
      </c>
      <c r="F105" s="27">
        <f>IFERROR(__xludf.DUMMYFUNCTION("C105*IMPORTRANGE(""https://docs.google.com/spreadsheets/d/1xsp01RMmkav9iTy39Zaj_7tE9677EGlOJ14KU9TZn7I"", ""2018-2025!AC2175"")"),3499.7513849999996)</f>
        <v>3499.751385</v>
      </c>
      <c r="G105" s="8" t="s">
        <v>35</v>
      </c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15.75" customHeight="1">
      <c r="A106" s="43">
        <v>46022.0</v>
      </c>
      <c r="B106" s="44">
        <v>149.0</v>
      </c>
      <c r="C106" s="27">
        <f>72672/1000</f>
        <v>72.672</v>
      </c>
      <c r="D106" s="27">
        <f>IFERROR(__xludf.DUMMYFUNCTION("C106*IMPORTRANGE(""https://docs.google.com/spreadsheets/d/1xsp01RMmkav9iTy39Zaj_7tE9677EGlOJ14KU9TZn7I"", ""2018-2025!H2199"")"),61.9020096)</f>
        <v>61.9020096</v>
      </c>
      <c r="E106" s="27">
        <f>IFERROR(__xludf.DUMMYFUNCTION("C106*IMPORTRANGE(""https://docs.google.com/spreadsheets/d/1xsp01RMmkav9iTy39Zaj_7tE9677EGlOJ14KU9TZn7I"", ""2018-2025!T2199"")"),54.307785599999995)</f>
        <v>54.3077856</v>
      </c>
      <c r="F106" s="27">
        <f>IFERROR(__xludf.DUMMYFUNCTION("C106*IMPORTRANGE(""https://docs.google.com/spreadsheets/d/1xsp01RMmkav9iTy39Zaj_7tE9677EGlOJ14KU9TZn7I"", ""2018-2025!AC2199"")"),11327.38464)</f>
        <v>11327.38464</v>
      </c>
      <c r="G106" s="8" t="s">
        <v>35</v>
      </c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15.75" customHeight="1">
      <c r="A107" s="33">
        <v>2026.0</v>
      </c>
      <c r="B107" s="23"/>
      <c r="C107" s="30"/>
      <c r="D107" s="30"/>
      <c r="E107" s="30"/>
      <c r="F107" s="30"/>
      <c r="G107" s="23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15.75" customHeight="1">
      <c r="A108" s="43">
        <v>46053.0</v>
      </c>
      <c r="B108" s="44">
        <v>120.0</v>
      </c>
      <c r="C108" s="27">
        <f>75645.5/1000</f>
        <v>75.6455</v>
      </c>
      <c r="D108" s="27">
        <f>IFERROR(__xludf.DUMMYFUNCTION("C108*IMPORTRANGE(""https://docs.google.com/spreadsheets/d/1xsp01RMmkav9iTy39Zaj_7tE9677EGlOJ14KU9TZn7I/edit?gid=298733920#gid=298733920"",""H24"")"),0.0)</f>
        <v>0</v>
      </c>
      <c r="E108" s="27">
        <f>IFERROR(__xludf.DUMMYFUNCTION("C108*IMPORTRANGE(""https://docs.google.com/spreadsheets/d/1xsp01RMmkav9iTy39Zaj_7tE9677EGlOJ14KU9TZn7I/edit?gid=298733920#gid=298733920"",""Q24"")"),0.0)</f>
        <v>0</v>
      </c>
      <c r="F108" s="27">
        <f>IFERROR(__xludf.DUMMYFUNCTION("C108*IMPORTRANGE(""https://docs.google.com/spreadsheets/d/1xsp01RMmkav9iTy39Zaj_7tE9677EGlOJ14KU9TZn7I/edit?gid=298733920#gid=298733920"",""Z24"")"),0.0)</f>
        <v>0</v>
      </c>
      <c r="G108" s="8" t="s">
        <v>35</v>
      </c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15.75" customHeight="1">
      <c r="A109" s="43">
        <v>46081.0</v>
      </c>
      <c r="B109" s="44">
        <v>113.0</v>
      </c>
      <c r="C109" s="27">
        <f>343743.8/1000</f>
        <v>343.7438</v>
      </c>
      <c r="D109" s="27">
        <f>IFERROR(__xludf.DUMMYFUNCTION("C109*IMPORTRANGE(""https://docs.google.com/spreadsheets/d/1xsp01RMmkav9iTy39Zaj_7tE9677EGlOJ14KU9TZn7I/edit?gid=298733920#gid=298733920"",""H45"")"),0.0)</f>
        <v>0</v>
      </c>
      <c r="E109" s="27">
        <f>IFERROR(__xludf.DUMMYFUNCTION("C109*IMPORTRANGE(""https://docs.google.com/spreadsheets/d/1xsp01RMmkav9iTy39Zaj_7tE9677EGlOJ14KU9TZn7I/edit?gid=298733920#gid=298733920"",""Q45"")"),0.0)</f>
        <v>0</v>
      </c>
      <c r="F109" s="27">
        <f>IFERROR(__xludf.DUMMYFUNCTION("C109*IMPORTRANGE(""https://docs.google.com/spreadsheets/d/1xsp01RMmkav9iTy39Zaj_7tE9677EGlOJ14KU9TZn7I/edit?gid=298733920#gid=298733920"",""Z45"")"),0.0)</f>
        <v>0</v>
      </c>
      <c r="G109" s="8" t="s">
        <v>35</v>
      </c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15.75" customHeight="1">
      <c r="A110" s="43">
        <v>46112.0</v>
      </c>
      <c r="B110" s="44">
        <v>100.0</v>
      </c>
      <c r="C110" s="27">
        <f>69578.6/1000</f>
        <v>69.5786</v>
      </c>
      <c r="D110" s="27">
        <f>IFERROR(__xludf.DUMMYFUNCTION("C110*IMPORTRANGE(""https://docs.google.com/spreadsheets/d/1xsp01RMmkav9iTy39Zaj_7tE9677EGlOJ14KU9TZn7I/edit?gid=298733920#gid=298733920"",""2026 - Most Recent!H70"")"),60.147220770000004)</f>
        <v>60.14722077</v>
      </c>
      <c r="E110" s="27">
        <f>IFERROR(__xludf.DUMMYFUNCTION("C110*IMPORTRANGE(""https://docs.google.com/spreadsheets/d/1xsp01RMmkav9iTy39Zaj_7tE9677EGlOJ14KU9TZn7I/edit?gid=298733920#gid=298733920"",""2026 - Most Recent!Q70"")"),60.147220770000004)</f>
        <v>60.14722077</v>
      </c>
      <c r="F110" s="27">
        <f>IFERROR(__xludf.DUMMYFUNCTION("C110*IMPORTRANGE(""https://docs.google.com/spreadsheets/d/1xsp01RMmkav9iTy39Zaj_7tE9677EGlOJ14KU9TZn7I/edit?gid=298733920#gid=298733920"",""2026 - Most Recent!Z70"")"),11059.51847)</f>
        <v>11059.51847</v>
      </c>
      <c r="G110" s="8" t="s">
        <v>35</v>
      </c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15.7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15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15.7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15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15.7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15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15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15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15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15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15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15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15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15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15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15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15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15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15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15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15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15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15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15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15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15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15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15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15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15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15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15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15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15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15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15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15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15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15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15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15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15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15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15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15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15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15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15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15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15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15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15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15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15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15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15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15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15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15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15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15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15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15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15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15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15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15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ht="15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15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ht="15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15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15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15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ht="15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15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15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15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15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15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15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15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ht="15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15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15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15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15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15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15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15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ht="15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15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ht="15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15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ht="15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15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ht="15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15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ht="15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15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15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15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ht="15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15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ht="15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ht="15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ht="15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ht="15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ht="15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ht="15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ht="15.7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ht="15.7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ht="15.7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ht="15.7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ht="15.7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ht="15.7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ht="15.7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ht="15.7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ht="15.7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ht="15.7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ht="15.7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ht="15.7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ht="15.7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ht="15.7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ht="15.7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ht="15.7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ht="15.7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ht="15.7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ht="15.7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ht="15.7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ht="15.7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ht="15.7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ht="15.7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ht="15.7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ht="15.7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ht="15.7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ht="15.7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ht="15.7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ht="15.7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ht="15.7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ht="15.7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ht="15.7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ht="15.7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ht="15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ht="15.7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ht="15.7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ht="15.7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ht="15.7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ht="15.7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ht="15.7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ht="15.7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ht="15.7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ht="15.7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ht="15.7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ht="15.7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ht="15.7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ht="15.7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ht="15.7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ht="15.7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ht="15.7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ht="15.7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ht="15.7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ht="15.7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ht="15.7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ht="15.7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ht="15.7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ht="15.7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ht="15.7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ht="15.7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ht="15.7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ht="15.7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ht="15.7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ht="15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ht="15.7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ht="15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ht="15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ht="15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ht="15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ht="15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ht="15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ht="15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ht="15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ht="15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ht="15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ht="15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ht="15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ht="15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ht="15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ht="15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ht="15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ht="15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ht="15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ht="15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ht="15.7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ht="15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ht="15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ht="15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ht="15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ht="15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ht="15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ht="15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1:E1"/>
  </mergeCells>
  <drawing r:id="rId1"/>
</worksheet>
</file>