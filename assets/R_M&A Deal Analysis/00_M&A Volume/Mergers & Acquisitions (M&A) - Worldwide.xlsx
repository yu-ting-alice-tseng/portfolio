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ly" sheetId="1" r:id="rId4"/>
    <sheet state="visible" name="Monthly" sheetId="2" r:id="rId5"/>
    <sheet state="visible" name="Quaterly" sheetId="3" r:id="rId6"/>
  </sheets>
  <definedNames/>
  <calcPr/>
  <extLst>
    <ext uri="GoogleSheetsCustomDataVersion2">
      <go:sheetsCustomData xmlns:go="http://customooxmlschemas.google.com/" r:id="rId7" roundtripDataChecksum="EhUrdR1EU2eWurJCZsvN3yGsdCmwzHCjJpbyZviszDU="/>
    </ext>
  </extLst>
</workbook>
</file>

<file path=xl/sharedStrings.xml><?xml version="1.0" encoding="utf-8"?>
<sst xmlns="http://schemas.openxmlformats.org/spreadsheetml/2006/main" count="1143" uniqueCount="417">
  <si>
    <t>Year</t>
  </si>
  <si>
    <t>Number of Deals</t>
  </si>
  <si>
    <t>Value</t>
  </si>
  <si>
    <t xml:space="preserve">Source </t>
  </si>
  <si>
    <t>in bil. USD</t>
  </si>
  <si>
    <t>in bil. EUR</t>
  </si>
  <si>
    <t>in bil. GBP</t>
  </si>
  <si>
    <t>in bil. YEN</t>
  </si>
  <si>
    <t>1985</t>
  </si>
  <si>
    <t>Thomson Financial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</si>
  <si>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</si>
  <si>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</si>
  <si>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</si>
  <si>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</si>
  <si>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</si>
  <si>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</si>
  <si>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</si>
  <si>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</si>
  <si>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</si>
  <si>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</si>
  <si>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</si>
  <si>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</si>
  <si>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</si>
  <si>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</si>
  <si>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</si>
  <si>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</si>
  <si>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</si>
  <si>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</si>
  <si>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</si>
  <si>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</si>
  <si>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</si>
  <si>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</si>
  <si>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</si>
  <si>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</si>
  <si>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</si>
  <si>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</si>
  <si>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</si>
  <si>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</si>
  <si>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</si>
  <si>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</si>
  <si>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</si>
  <si>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</si>
  <si>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</si>
  <si>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Capital IQ</t>
  </si>
  <si>
    <t>Total Since 1985</t>
  </si>
  <si>
    <t xml:space="preserve">Value of Deals </t>
  </si>
  <si>
    <t>2019</t>
  </si>
  <si>
    <t>2025</t>
  </si>
  <si>
    <t>2026 (Mar 31)</t>
  </si>
  <si>
    <t>2026 e</t>
  </si>
  <si>
    <t>Month</t>
  </si>
  <si>
    <t>Number</t>
  </si>
  <si>
    <t>Jan-85</t>
  </si>
  <si>
    <t>Feb-85</t>
  </si>
  <si>
    <t>Mar-85</t>
  </si>
  <si>
    <t>Apr-85</t>
  </si>
  <si>
    <t>May-85</t>
  </si>
  <si>
    <t>Jun-85</t>
  </si>
  <si>
    <t>Jul-85</t>
  </si>
  <si>
    <t>Aug-85</t>
  </si>
  <si>
    <t>Sep-85</t>
  </si>
  <si>
    <t>Oct-85</t>
  </si>
  <si>
    <t>Nov-85</t>
  </si>
  <si>
    <t>Dec-85</t>
  </si>
  <si>
    <t>Jan-86</t>
  </si>
  <si>
    <t>Feb-86</t>
  </si>
  <si>
    <t>Mar-86</t>
  </si>
  <si>
    <t>Apr-86</t>
  </si>
  <si>
    <t>May-86</t>
  </si>
  <si>
    <t>Jun-86</t>
  </si>
  <si>
    <t>Jul-86</t>
  </si>
  <si>
    <t>Aug-86</t>
  </si>
  <si>
    <t>Sep-86</t>
  </si>
  <si>
    <t>Oct-86</t>
  </si>
  <si>
    <t>Nov-86</t>
  </si>
  <si>
    <t>Dec-86</t>
  </si>
  <si>
    <t>Jan-87</t>
  </si>
  <si>
    <t>Feb-87</t>
  </si>
  <si>
    <t>Mar-87</t>
  </si>
  <si>
    <t>Apr-87</t>
  </si>
  <si>
    <t>May-87</t>
  </si>
  <si>
    <t>Jun-87</t>
  </si>
  <si>
    <t>Jul-87</t>
  </si>
  <si>
    <t>Aug-87</t>
  </si>
  <si>
    <t>Sep-87</t>
  </si>
  <si>
    <t>Oct-87</t>
  </si>
  <si>
    <t>Nov-87</t>
  </si>
  <si>
    <t>Dec-87</t>
  </si>
  <si>
    <t>Jan-88</t>
  </si>
  <si>
    <t>Feb-88</t>
  </si>
  <si>
    <t>Mar-88</t>
  </si>
  <si>
    <t>Apr-88</t>
  </si>
  <si>
    <t>May-88</t>
  </si>
  <si>
    <t>Jun-88</t>
  </si>
  <si>
    <t>Jul-88</t>
  </si>
  <si>
    <t>Aug-88</t>
  </si>
  <si>
    <t>Sep-88</t>
  </si>
  <si>
    <t>Oct-88</t>
  </si>
  <si>
    <t>Nov-88</t>
  </si>
  <si>
    <t>Dec-88</t>
  </si>
  <si>
    <t>Jan-89</t>
  </si>
  <si>
    <t>Feb-89</t>
  </si>
  <si>
    <t>Mar-89</t>
  </si>
  <si>
    <t>Apr-89</t>
  </si>
  <si>
    <t>May-89</t>
  </si>
  <si>
    <t>Jun-89</t>
  </si>
  <si>
    <t>Jul-89</t>
  </si>
  <si>
    <t>Aug-89</t>
  </si>
  <si>
    <t>Sep-89</t>
  </si>
  <si>
    <t>Oct-89</t>
  </si>
  <si>
    <t>Nov-89</t>
  </si>
  <si>
    <t>Dec-89</t>
  </si>
  <si>
    <t>Jan-90</t>
  </si>
  <si>
    <t>Feb-90</t>
  </si>
  <si>
    <t>Mar-90</t>
  </si>
  <si>
    <t>Apr-90</t>
  </si>
  <si>
    <t>May-90</t>
  </si>
  <si>
    <t>Jun-90</t>
  </si>
  <si>
    <t>Jul-90</t>
  </si>
  <si>
    <t>Aug-90</t>
  </si>
  <si>
    <t>Sep-90</t>
  </si>
  <si>
    <t>Oct-90</t>
  </si>
  <si>
    <t>Nov-90</t>
  </si>
  <si>
    <t>Dec-90</t>
  </si>
  <si>
    <t>Jan-91</t>
  </si>
  <si>
    <t>Feb-91</t>
  </si>
  <si>
    <t>Mar-91</t>
  </si>
  <si>
    <t>Apr-91</t>
  </si>
  <si>
    <t>May-91</t>
  </si>
  <si>
    <t>Jun-91</t>
  </si>
  <si>
    <t>Jul-91</t>
  </si>
  <si>
    <t>Aug-91</t>
  </si>
  <si>
    <t>Sep-91</t>
  </si>
  <si>
    <t>Oct-91</t>
  </si>
  <si>
    <t>Nov-91</t>
  </si>
  <si>
    <t>Dec-91</t>
  </si>
  <si>
    <t>Jan-92</t>
  </si>
  <si>
    <t>Feb-92</t>
  </si>
  <si>
    <t>Mar-92</t>
  </si>
  <si>
    <t>Apr-92</t>
  </si>
  <si>
    <t>May-92</t>
  </si>
  <si>
    <t>Jun-92</t>
  </si>
  <si>
    <t>Jul-92</t>
  </si>
  <si>
    <t>Aug-92</t>
  </si>
  <si>
    <t>Sep-92</t>
  </si>
  <si>
    <t>Oct-92</t>
  </si>
  <si>
    <t>Nov-92</t>
  </si>
  <si>
    <t>Dec-92</t>
  </si>
  <si>
    <t>Jan-93</t>
  </si>
  <si>
    <t>Feb-93</t>
  </si>
  <si>
    <t>Mar-93</t>
  </si>
  <si>
    <t>Apr-93</t>
  </si>
  <si>
    <t>May-93</t>
  </si>
  <si>
    <t>Jun-93</t>
  </si>
  <si>
    <t>Jul-93</t>
  </si>
  <si>
    <t>Aug-93</t>
  </si>
  <si>
    <t>Sep-93</t>
  </si>
  <si>
    <t>Oct-93</t>
  </si>
  <si>
    <t>Nov-93</t>
  </si>
  <si>
    <t>Dec-93</t>
  </si>
  <si>
    <t>Jan-94</t>
  </si>
  <si>
    <t>Feb-94</t>
  </si>
  <si>
    <t>Mar-94</t>
  </si>
  <si>
    <t>Apr-94</t>
  </si>
  <si>
    <t>May-94</t>
  </si>
  <si>
    <t>Jun-94</t>
  </si>
  <si>
    <t>Jul-94</t>
  </si>
  <si>
    <t>Aug-94</t>
  </si>
  <si>
    <t>Sep-94</t>
  </si>
  <si>
    <t>Oct-94</t>
  </si>
  <si>
    <t>Nov-94</t>
  </si>
  <si>
    <t>Dec-94</t>
  </si>
  <si>
    <t>Jan-95</t>
  </si>
  <si>
    <t>Feb-95</t>
  </si>
  <si>
    <t>Mar-95</t>
  </si>
  <si>
    <t>Apr-95</t>
  </si>
  <si>
    <t>May-95</t>
  </si>
  <si>
    <t>Jun-95</t>
  </si>
  <si>
    <t>Jul-95</t>
  </si>
  <si>
    <t>Aug-95</t>
  </si>
  <si>
    <t>Sep-95</t>
  </si>
  <si>
    <t>Oct-95</t>
  </si>
  <si>
    <t>Nov-95</t>
  </si>
  <si>
    <t>Dec-95</t>
  </si>
  <si>
    <t>Jan-96</t>
  </si>
  <si>
    <t>Feb-96</t>
  </si>
  <si>
    <t>Mar-96</t>
  </si>
  <si>
    <t>Apr-96</t>
  </si>
  <si>
    <t>May-96</t>
  </si>
  <si>
    <t>Jun-96</t>
  </si>
  <si>
    <t>Jul-96</t>
  </si>
  <si>
    <t>Aug-96</t>
  </si>
  <si>
    <t>Sep-96</t>
  </si>
  <si>
    <t>Oct-96</t>
  </si>
  <si>
    <t>Nov-96</t>
  </si>
  <si>
    <t>Dec-96</t>
  </si>
  <si>
    <t>Jan-97</t>
  </si>
  <si>
    <t>Feb-97</t>
  </si>
  <si>
    <t>Mar-97</t>
  </si>
  <si>
    <t>Apr-97</t>
  </si>
  <si>
    <t>May-97</t>
  </si>
  <si>
    <t>Jun-97</t>
  </si>
  <si>
    <t>Jul-97</t>
  </si>
  <si>
    <t>Aug-97</t>
  </si>
  <si>
    <t>Sep-97</t>
  </si>
  <si>
    <t>Oct-97</t>
  </si>
  <si>
    <t>Nov-97</t>
  </si>
  <si>
    <t>Dec-97</t>
  </si>
  <si>
    <t>Jan-98</t>
  </si>
  <si>
    <t>Feb-98</t>
  </si>
  <si>
    <t>Mar-98</t>
  </si>
  <si>
    <t>Apr-98</t>
  </si>
  <si>
    <t>May-98</t>
  </si>
  <si>
    <t>Jun-98</t>
  </si>
  <si>
    <t>Jul-98</t>
  </si>
  <si>
    <t>Aug-98</t>
  </si>
  <si>
    <t>Sep-98</t>
  </si>
  <si>
    <t>Oct-98</t>
  </si>
  <si>
    <t>Nov-98</t>
  </si>
  <si>
    <t>Dec-98</t>
  </si>
  <si>
    <t>Jan-99</t>
  </si>
  <si>
    <t>Feb-99</t>
  </si>
  <si>
    <t>Mar-99</t>
  </si>
  <si>
    <t>Apr-99</t>
  </si>
  <si>
    <t>May-99</t>
  </si>
  <si>
    <t>Jun-99</t>
  </si>
  <si>
    <t>Jul-99</t>
  </si>
  <si>
    <t>Aug-99</t>
  </si>
  <si>
    <t>Sep-99</t>
  </si>
  <si>
    <t>Oct-99</t>
  </si>
  <si>
    <t>Nov-99</t>
  </si>
  <si>
    <t>Dec-99</t>
  </si>
  <si>
    <t>Jan-00</t>
  </si>
  <si>
    <t>Feb-00</t>
  </si>
  <si>
    <t>Mar-00</t>
  </si>
  <si>
    <t>Apr-00</t>
  </si>
  <si>
    <t>May-00</t>
  </si>
  <si>
    <t>Jun-00</t>
  </si>
  <si>
    <t>Jul-00</t>
  </si>
  <si>
    <t>Aug-00</t>
  </si>
  <si>
    <t>Sep-00</t>
  </si>
  <si>
    <t>Oct-00</t>
  </si>
  <si>
    <t>Nov-00</t>
  </si>
  <si>
    <t>Dec-00</t>
  </si>
  <si>
    <t>Sep-20</t>
  </si>
  <si>
    <t>Value of Deals</t>
  </si>
  <si>
    <t>Q1</t>
  </si>
  <si>
    <t>Q2</t>
  </si>
  <si>
    <t>Q3</t>
  </si>
  <si>
    <t>Q4</t>
  </si>
  <si>
    <t>2023/2022</t>
  </si>
  <si>
    <t>2022/2021</t>
  </si>
  <si>
    <t>2023/2021</t>
  </si>
  <si>
    <t>1stQuarter 1985</t>
  </si>
  <si>
    <t>2ndQuarter 1985</t>
  </si>
  <si>
    <t>3rdQuarter 1985</t>
  </si>
  <si>
    <t>4thQuarter 1985</t>
  </si>
  <si>
    <t>1stQuarter 1986</t>
  </si>
  <si>
    <t>2ndQuarter 1986</t>
  </si>
  <si>
    <t>3rdQuarter 1986</t>
  </si>
  <si>
    <t>4thQuarter 1986</t>
  </si>
  <si>
    <t>1stQuarter 1987</t>
  </si>
  <si>
    <t>2ndQuarter 1987</t>
  </si>
  <si>
    <t>3rdQuarter 1987</t>
  </si>
  <si>
    <t>4thQuarter 1987</t>
  </si>
  <si>
    <t>1stQuarter 1988</t>
  </si>
  <si>
    <t>2ndQuarter 1988</t>
  </si>
  <si>
    <t>3rdQuarter 1988</t>
  </si>
  <si>
    <t>4thQuarter 1988</t>
  </si>
  <si>
    <t>1stQuarter 1989</t>
  </si>
  <si>
    <t>2ndQuarter 1989</t>
  </si>
  <si>
    <t>3rdQuarter 1989</t>
  </si>
  <si>
    <t>4thQuarter 1989</t>
  </si>
  <si>
    <t>1stQuarter 1990</t>
  </si>
  <si>
    <t>2ndQuarter 1990</t>
  </si>
  <si>
    <t>3rdQuarter 1990</t>
  </si>
  <si>
    <t>4thQuarter 1990</t>
  </si>
  <si>
    <t>1stQuarter 1991</t>
  </si>
  <si>
    <t>2ndQuarter 1991</t>
  </si>
  <si>
    <t>3rdQuarter 1991</t>
  </si>
  <si>
    <t>4thQuarter 1991</t>
  </si>
  <si>
    <t>1stQuarter 1992</t>
  </si>
  <si>
    <t>2ndQuarter 1992</t>
  </si>
  <si>
    <t>3rdQuarter 1992</t>
  </si>
  <si>
    <t>4thQuarter 1992</t>
  </si>
  <si>
    <t>1stQuarter 1993</t>
  </si>
  <si>
    <t>2ndQuarter 1993</t>
  </si>
  <si>
    <t>3rdQuarter 1993</t>
  </si>
  <si>
    <t>4thQuarter 1993</t>
  </si>
  <si>
    <t>1stQuarter 1994</t>
  </si>
  <si>
    <t>2ndQuarter 1994</t>
  </si>
  <si>
    <t>3rdQuarter 1994</t>
  </si>
  <si>
    <t>4thQuarter 1994</t>
  </si>
  <si>
    <t>1stQuarter 1995</t>
  </si>
  <si>
    <t>2ndQuarter 1995</t>
  </si>
  <si>
    <t>3rdQuarter 1995</t>
  </si>
  <si>
    <t>4thQuarter 1995</t>
  </si>
  <si>
    <t>1stQuarter 1996</t>
  </si>
  <si>
    <t>2ndQuarter 1996</t>
  </si>
  <si>
    <t>3rdQuarter 1996</t>
  </si>
  <si>
    <t>4thQuarter 1996</t>
  </si>
  <si>
    <t>1stQuarter 1997</t>
  </si>
  <si>
    <t>2ndQuarter 1997</t>
  </si>
  <si>
    <t>3rdQuarter 1997</t>
  </si>
  <si>
    <t>4thQuarter 1997</t>
  </si>
  <si>
    <t>1stQuarter 1998</t>
  </si>
  <si>
    <t>2ndQuarter 1998</t>
  </si>
  <si>
    <t>3rdQuarter 1998</t>
  </si>
  <si>
    <t>4thQuarter 1998</t>
  </si>
  <si>
    <t>1stQuarter 1999</t>
  </si>
  <si>
    <t>2ndQuarter 1999</t>
  </si>
  <si>
    <t>3rdQuarter 1999</t>
  </si>
  <si>
    <t>4thQuarter 1999</t>
  </si>
  <si>
    <t>1stQuarter 2000</t>
  </si>
  <si>
    <t>2ndQuarter 2000</t>
  </si>
  <si>
    <t>3rdQuarter 2000</t>
  </si>
  <si>
    <t>4thQuarter 2000</t>
  </si>
  <si>
    <t>1stQuarter 2001</t>
  </si>
  <si>
    <t>2ndQuarter 2001</t>
  </si>
  <si>
    <t>3rdQuarter 2001</t>
  </si>
  <si>
    <t>4thQuarter 2001</t>
  </si>
  <si>
    <t>1stQuarter 2002</t>
  </si>
  <si>
    <t>2ndQuarter 2002</t>
  </si>
  <si>
    <t>3rdQuarter 2002</t>
  </si>
  <si>
    <t>4thQuarter 2002</t>
  </si>
  <si>
    <t>1stQuarter 2003</t>
  </si>
  <si>
    <t>2ndQuarter 2003</t>
  </si>
  <si>
    <t>3rdQuarter 2003</t>
  </si>
  <si>
    <t>4thQuarter 2003</t>
  </si>
  <si>
    <t>1stQuarter 2004</t>
  </si>
  <si>
    <t>2ndQuarter 2004</t>
  </si>
  <si>
    <t>3rdQuarter 2004</t>
  </si>
  <si>
    <t>4thQuarter 2004</t>
  </si>
  <si>
    <t>1stQuarter 2005</t>
  </si>
  <si>
    <t>2ndQuarter 2005</t>
  </si>
  <si>
    <t>3rdQuarter 2005</t>
  </si>
  <si>
    <t>4thQuarter 2005</t>
  </si>
  <si>
    <t>1stQuarter 2006</t>
  </si>
  <si>
    <t>2ndQuarter 2006</t>
  </si>
  <si>
    <t>3rdQuarter 2006</t>
  </si>
  <si>
    <t>4thQuarter 2006</t>
  </si>
  <si>
    <t>1stQuarter 2007</t>
  </si>
  <si>
    <t>2ndQuarter 2007</t>
  </si>
  <si>
    <t>3rdQuarter 2007</t>
  </si>
  <si>
    <t>4thQuarter 2007</t>
  </si>
  <si>
    <t>1stQuarter 2008</t>
  </si>
  <si>
    <t>2ndQuarter 2008</t>
  </si>
  <si>
    <t>3rdQuarter 2008</t>
  </si>
  <si>
    <t>4thQuarter 2008</t>
  </si>
  <si>
    <t>1stQuarter 2009</t>
  </si>
  <si>
    <t>2ndQuarter 2009</t>
  </si>
  <si>
    <t>3rdQuarter 2009</t>
  </si>
  <si>
    <t>4thQuarter 2009</t>
  </si>
  <si>
    <t>1stQuarter 2010</t>
  </si>
  <si>
    <t>2ndQuarter 2010</t>
  </si>
  <si>
    <t>3rdQuarter 2010</t>
  </si>
  <si>
    <t>4thQuarter 2010</t>
  </si>
  <si>
    <t>1stQuarter 2011</t>
  </si>
  <si>
    <t>2ndQuarter 2011</t>
  </si>
  <si>
    <t>3rdQuarter 2011</t>
  </si>
  <si>
    <t>4thQuarter 2011</t>
  </si>
  <si>
    <t>1stQuarter 2012</t>
  </si>
  <si>
    <t>2ndQuarter 2012</t>
  </si>
  <si>
    <t>3rdQuarter 2012</t>
  </si>
  <si>
    <t>4thQuarter 2012</t>
  </si>
  <si>
    <t>1stQuarter 2013</t>
  </si>
  <si>
    <t>2ndQuarter 2013</t>
  </si>
  <si>
    <t>3rdQuarter 2013</t>
  </si>
  <si>
    <t>4thQuarter 2013</t>
  </si>
  <si>
    <t>1stQuarter 2014</t>
  </si>
  <si>
    <t>2ndQuarter 2014</t>
  </si>
  <si>
    <t>3rdQuarter 2014</t>
  </si>
  <si>
    <t>4thQuarter 2014</t>
  </si>
  <si>
    <t>1stQuarter 2015</t>
  </si>
  <si>
    <t>2ndQuarter 2015</t>
  </si>
  <si>
    <t>3rdQuarter 2015</t>
  </si>
  <si>
    <t>4thQuarter 2015</t>
  </si>
  <si>
    <t>1stQuarter 2016</t>
  </si>
  <si>
    <t>2ndQuarter 2016</t>
  </si>
  <si>
    <t>3rdQuarter 2016</t>
  </si>
  <si>
    <t>4thQuarter 2016</t>
  </si>
  <si>
    <t>1stQuarter 2017</t>
  </si>
  <si>
    <t>2ndQuarter 2017</t>
  </si>
  <si>
    <t>3rdQuarter 2017</t>
  </si>
  <si>
    <t>4thQuarter 2017</t>
  </si>
  <si>
    <t>1stQuarter 2018</t>
  </si>
  <si>
    <t>2ndQuarter 2018</t>
  </si>
  <si>
    <t>3rdQuarter 2018</t>
  </si>
  <si>
    <t>4thQuarter 2018</t>
  </si>
  <si>
    <t>1stQuarter 2019</t>
  </si>
  <si>
    <t>2ndQuarter 2019</t>
  </si>
  <si>
    <t>3rdQuarter 2019</t>
  </si>
  <si>
    <t>4thQuarter 2019</t>
  </si>
  <si>
    <t>1stQuarter 2020</t>
  </si>
  <si>
    <t>2ndQuarter 2020</t>
  </si>
  <si>
    <t>3rdQuarter 2020</t>
  </si>
  <si>
    <t>4thQuarter 2020</t>
  </si>
  <si>
    <t>1stQuarter 2021</t>
  </si>
  <si>
    <t>2ndQuarter 2021</t>
  </si>
  <si>
    <t>3rdQuarter 2021</t>
  </si>
  <si>
    <t>4thQuarter 2021</t>
  </si>
  <si>
    <t>1stQuarter 2022</t>
  </si>
  <si>
    <t>2ndQuarter 2022</t>
  </si>
  <si>
    <t>3rdQuarter 2022</t>
  </si>
  <si>
    <t>4thQuarter 2022</t>
  </si>
  <si>
    <t>1stQuarter2023</t>
  </si>
  <si>
    <t>2ndQuarter2023</t>
  </si>
  <si>
    <t>3rdQuarter2023</t>
  </si>
  <si>
    <t>4thQuarter2023</t>
  </si>
  <si>
    <t>1stQuarter2024</t>
  </si>
  <si>
    <t>2ndQuarter2024</t>
  </si>
  <si>
    <t>3rdQuarter2024</t>
  </si>
  <si>
    <t>4thQuarter2024</t>
  </si>
  <si>
    <t>1stQuarter2025</t>
  </si>
  <si>
    <t>2ndQuarter2025</t>
  </si>
  <si>
    <t>3rdQuarter2025</t>
  </si>
  <si>
    <t>4thQuarter2025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</si>
</sst>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"/>
    <numFmt numFmtId="165" formatCode="mmm-dd"/>
    <numFmt numFmtId="166" formatCode="mmmm-dd"/>
    <numFmt numFmtId="167" formatCode="mmm-d"/>
    <numFmt numFmtId="168" formatCode="mmmm-d"/>
    <numFmt numFmtId="169" formatCode="mmm&quot;-&quot;yy"/>
    <numFmt numFmtId="170" formatCode="mmm 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color rgb="FF000000"/>
      <name val="Verdana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D8DDE1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4" xfId="0" applyAlignment="1" applyFont="1" applyNumberFormat="1">
      <alignment horizontal="center"/>
    </xf>
    <xf quotePrefix="1" borderId="0" fillId="0" fontId="1" numFmtId="0" xfId="0" applyFont="1"/>
    <xf borderId="0" fillId="0" fontId="2" numFmtId="3" xfId="0" applyAlignment="1" applyFont="1" applyNumberFormat="1">
      <alignment horizontal="right" shrinkToFit="0" vertical="top" wrapText="0"/>
    </xf>
    <xf borderId="0" fillId="0" fontId="2" numFmtId="4" xfId="0" applyAlignment="1" applyFont="1" applyNumberFormat="1">
      <alignment horizontal="right" vertical="top"/>
    </xf>
    <xf borderId="0" fillId="0" fontId="2" numFmtId="4" xfId="0" applyAlignment="1" applyFont="1" applyNumberFormat="1">
      <alignment horizontal="right" shrinkToFit="0" vertical="top" wrapText="0"/>
    </xf>
    <xf borderId="0" fillId="0" fontId="1" numFmtId="49" xfId="0" applyFont="1" applyNumberFormat="1"/>
    <xf borderId="0" fillId="0" fontId="2" numFmtId="49" xfId="0" applyAlignment="1" applyFont="1" applyNumberFormat="1">
      <alignment horizontal="left" vertical="top"/>
    </xf>
    <xf borderId="0" fillId="0" fontId="3" numFmtId="0" xfId="0" applyAlignment="1" applyFont="1">
      <alignment shrinkToFit="0" vertical="bottom" wrapText="0"/>
    </xf>
    <xf borderId="0" fillId="0" fontId="3" numFmtId="3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4" xfId="0" applyAlignment="1" applyFont="1" applyNumberFormat="1">
      <alignment horizontal="right" vertical="bottom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left" shrinkToFit="0" vertical="bottom" wrapText="0"/>
    </xf>
    <xf borderId="0" fillId="0" fontId="1" numFmtId="3" xfId="0" applyFont="1" applyNumberFormat="1"/>
    <xf borderId="0" fillId="0" fontId="1" numFmtId="4" xfId="0" applyFont="1" applyNumberFormat="1"/>
    <xf borderId="0" fillId="0" fontId="3" numFmtId="49" xfId="0" applyAlignment="1" applyFont="1" applyNumberFormat="1">
      <alignment vertical="bottom"/>
    </xf>
    <xf borderId="0" fillId="0" fontId="1" numFmtId="0" xfId="0" applyAlignment="1" applyFont="1">
      <alignment horizontal="right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2" numFmtId="3" xfId="0" applyAlignment="1" applyFont="1" applyNumberFormat="1">
      <alignment horizontal="right" shrinkToFit="0" vertical="bottom" wrapText="0"/>
    </xf>
    <xf borderId="0" fillId="0" fontId="2" numFmtId="164" xfId="0" applyAlignment="1" applyFont="1" applyNumberFormat="1">
      <alignment horizontal="right" shrinkToFit="0" vertical="bottom" wrapText="0"/>
    </xf>
    <xf borderId="0" fillId="0" fontId="2" numFmtId="165" xfId="0" applyAlignment="1" applyFont="1" applyNumberFormat="1">
      <alignment horizontal="right" shrinkToFit="0" vertical="bottom" wrapText="0"/>
    </xf>
    <xf borderId="0" fillId="0" fontId="2" numFmtId="166" xfId="0" applyAlignment="1" applyFont="1" applyNumberFormat="1">
      <alignment horizontal="right" shrinkToFit="0" vertical="bottom" wrapText="0"/>
    </xf>
    <xf borderId="0" fillId="0" fontId="2" numFmtId="167" xfId="0" applyAlignment="1" applyFont="1" applyNumberFormat="1">
      <alignment horizontal="right" shrinkToFit="0" vertical="bottom" wrapText="0"/>
    </xf>
    <xf borderId="0" fillId="0" fontId="2" numFmtId="168" xfId="0" applyAlignment="1" applyFont="1" applyNumberFormat="1">
      <alignment horizontal="right" shrinkToFit="0" vertical="bottom" wrapText="0"/>
    </xf>
    <xf borderId="0" fillId="2" fontId="2" numFmtId="0" xfId="0" applyAlignment="1" applyFill="1" applyFont="1">
      <alignment horizontal="right" shrinkToFit="0" vertical="bottom" wrapText="0"/>
    </xf>
    <xf borderId="0" fillId="2" fontId="2" numFmtId="3" xfId="0" applyAlignment="1" applyFont="1" applyNumberFormat="1">
      <alignment horizontal="right" shrinkToFit="0" vertical="bottom" wrapText="0"/>
    </xf>
    <xf borderId="0" fillId="2" fontId="2" numFmtId="164" xfId="0" applyAlignment="1" applyFont="1" applyNumberFormat="1">
      <alignment horizontal="right" shrinkToFit="0" vertical="bottom" wrapText="0"/>
    </xf>
    <xf borderId="0" fillId="2" fontId="1" numFmtId="0" xfId="0" applyFont="1"/>
    <xf borderId="0" fillId="0" fontId="2" numFmtId="164" xfId="0" applyAlignment="1" applyFont="1" applyNumberFormat="1">
      <alignment horizontal="right" vertical="bottom"/>
    </xf>
    <xf borderId="1" fillId="3" fontId="4" numFmtId="164" xfId="0" applyAlignment="1" applyBorder="1" applyFill="1" applyFont="1" applyNumberFormat="1">
      <alignment horizontal="right"/>
    </xf>
    <xf borderId="0" fillId="2" fontId="1" numFmtId="4" xfId="0" applyFont="1" applyNumberFormat="1"/>
    <xf borderId="0" fillId="0" fontId="1" numFmtId="167" xfId="0" applyFont="1" applyNumberFormat="1"/>
    <xf borderId="0" fillId="0" fontId="3" numFmtId="3" xfId="0" applyAlignment="1" applyFont="1" applyNumberFormat="1">
      <alignment horizontal="left" vertical="bottom"/>
    </xf>
    <xf borderId="0" fillId="0" fontId="3" numFmtId="4" xfId="0" applyAlignment="1" applyFont="1" applyNumberFormat="1">
      <alignment horizontal="left" vertical="bottom"/>
    </xf>
    <xf borderId="0" fillId="0" fontId="3" numFmtId="3" xfId="0" applyAlignment="1" applyFont="1" applyNumberFormat="1">
      <alignment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horizontal="left" vertical="bottom"/>
    </xf>
    <xf borderId="0" fillId="2" fontId="1" numFmtId="164" xfId="0" applyFont="1" applyNumberFormat="1"/>
    <xf borderId="0" fillId="0" fontId="1" numFmtId="0" xfId="0" applyAlignment="1" applyFont="1">
      <alignment horizontal="left"/>
    </xf>
    <xf borderId="0" fillId="0" fontId="1" numFmtId="168" xfId="0" applyFont="1" applyNumberFormat="1"/>
    <xf borderId="0" fillId="0" fontId="1" numFmtId="164" xfId="0" applyFont="1" applyNumberFormat="1"/>
    <xf borderId="0" fillId="0" fontId="3" numFmtId="168" xfId="0" applyAlignment="1" applyFont="1" applyNumberFormat="1">
      <alignment vertical="bottom"/>
    </xf>
    <xf borderId="0" fillId="0" fontId="3" numFmtId="167" xfId="0" applyAlignment="1" applyFont="1" applyNumberFormat="1">
      <alignment horizontal="right" vertical="bottom"/>
    </xf>
    <xf borderId="0" fillId="0" fontId="1" numFmtId="169" xfId="0" applyFont="1" applyNumberFormat="1"/>
    <xf borderId="0" fillId="0" fontId="1" numFmtId="2" xfId="0" applyFont="1" applyNumberFormat="1"/>
    <xf borderId="0" fillId="0" fontId="1" numFmtId="170" xfId="0" applyFont="1" applyNumberFormat="1"/>
    <xf borderId="0" fillId="0" fontId="2" numFmtId="4" xfId="0" applyAlignment="1" applyFont="1" applyNumberFormat="1">
      <alignment horizontal="right" shrinkToFit="0" vertical="bottom" wrapText="0"/>
    </xf>
    <xf borderId="0" fillId="2" fontId="2" numFmtId="0" xfId="0" applyAlignment="1" applyFont="1">
      <alignment shrinkToFit="0" vertical="bottom" wrapText="0"/>
    </xf>
    <xf borderId="0" fillId="2" fontId="2" numFmtId="4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000000"/>
                </a:solidFill>
                <a:latin typeface="Roboto"/>
              </a:defRPr>
            </a:pPr>
            <a:r>
              <a:rPr b="1" i="0" sz="1600">
                <a:solidFill>
                  <a:srgbClr val="000000"/>
                </a:solidFill>
                <a:latin typeface="Roboto"/>
              </a:rPr>
              <a:t>Mergers &amp; Acquisitions Worldwide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Annually!$B$1</c:f>
            </c:strRef>
          </c:tx>
          <c:spPr>
            <a:solidFill>
              <a:srgbClr val="3366CC"/>
            </a:solidFill>
            <a:ln cmpd="sng">
              <a:solidFill>
                <a:srgbClr val="000000"/>
              </a:solidFill>
            </a:ln>
          </c:spPr>
          <c:cat>
            <c:strRef>
              <c:f>Annually!$A$2:$A$48</c:f>
            </c:strRef>
          </c:cat>
          <c:val>
            <c:numRef>
              <c:f>Annually!$B$2:$B$48</c:f>
              <c:numCache/>
            </c:numRef>
          </c:val>
        </c:ser>
        <c:axId val="1946471225"/>
        <c:axId val="1158437040"/>
      </c:barChart>
      <c:lineChart>
        <c:varyColors val="0"/>
        <c:ser>
          <c:idx val="1"/>
          <c:order val="1"/>
          <c:tx>
            <c:strRef>
              <c:f>Annually!$C$1</c:f>
            </c:strRef>
          </c:tx>
          <c:spPr>
            <a:ln cmpd="sng" w="19050">
              <a:solidFill>
                <a:srgbClr val="DC3912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Annually!$A$2:$A$48</c:f>
            </c:strRef>
          </c:cat>
          <c:val>
            <c:numRef>
              <c:f>Annually!$C$2:$C$48</c:f>
              <c:numCache/>
            </c:numRef>
          </c:val>
          <c:smooth val="0"/>
        </c:ser>
        <c:axId val="1946471225"/>
        <c:axId val="1158437040"/>
      </c:lineChart>
      <c:catAx>
        <c:axId val="19464712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i="0" sz="1000">
                <a:solidFill>
                  <a:srgbClr val="222222"/>
                </a:solidFill>
                <a:latin typeface="Roboto"/>
              </a:defRPr>
            </a:pPr>
          </a:p>
        </c:txPr>
        <c:crossAx val="1158437040"/>
      </c:catAx>
      <c:valAx>
        <c:axId val="11584370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Roboto"/>
                  </a:defRPr>
                </a:pPr>
                <a:r>
                  <a:rPr b="0" i="0">
                    <a:solidFill>
                      <a:srgbClr val="000000"/>
                    </a:solidFill>
                    <a:latin typeface="Roboto"/>
                  </a:rPr>
                  <a:t>Number of Transactions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1946471225"/>
      </c:valAx>
    </c:plotArea>
    <c:legend>
      <c:legendPos val="t"/>
      <c:overlay val="0"/>
      <c:txPr>
        <a:bodyPr/>
        <a:lstStyle/>
        <a:p>
          <a:pPr lvl="0">
            <a:defRPr b="0" i="0" sz="1000">
              <a:solidFill>
                <a:srgbClr val="222222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962025</xdr:colOff>
      <xdr:row>3</xdr:row>
      <xdr:rowOff>19050</xdr:rowOff>
    </xdr:from>
    <xdr:ext cx="6981825" cy="3762375"/>
    <xdr:graphicFrame>
      <xdr:nvGraphicFramePr>
        <xdr:cNvPr id="62035120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5"/>
    <col customWidth="1" min="3" max="6" width="12.63"/>
    <col customWidth="1" min="7" max="7" width="15.13"/>
    <col customWidth="1" min="9" max="9" width="13.38"/>
    <col customWidth="1" min="10" max="10" width="14.5"/>
    <col customWidth="1" min="11" max="11" width="13.13"/>
  </cols>
  <sheetData>
    <row r="1" ht="15.75" customHeight="1">
      <c r="A1" s="1" t="s">
        <v>0</v>
      </c>
      <c r="B1" s="1" t="s">
        <v>1</v>
      </c>
      <c r="C1" s="2" t="s">
        <v>2</v>
      </c>
      <c r="G1" s="1" t="s">
        <v>3</v>
      </c>
    </row>
    <row r="2" ht="15.75" customHeight="1">
      <c r="C2" s="3" t="s">
        <v>4</v>
      </c>
      <c r="D2" s="3" t="s">
        <v>5</v>
      </c>
      <c r="E2" s="3" t="s">
        <v>6</v>
      </c>
      <c r="F2" s="3" t="s">
        <v>7</v>
      </c>
    </row>
    <row r="3" ht="15.75" customHeight="1">
      <c r="A3" s="4" t="s">
        <v>8</v>
      </c>
      <c r="B3" s="5">
        <v>2676.0</v>
      </c>
      <c r="C3" s="6">
        <v>347.0</v>
      </c>
      <c r="D3" s="7">
        <v>456.47</v>
      </c>
      <c r="E3" s="7">
        <v>269.66</v>
      </c>
      <c r="F3" s="7">
        <v>80103.44</v>
      </c>
      <c r="G3" s="1" t="s">
        <v>9</v>
      </c>
      <c r="H3" s="5"/>
    </row>
    <row r="4" ht="15.75" customHeight="1">
      <c r="A4" s="4" t="s">
        <v>10</v>
      </c>
      <c r="B4" s="5">
        <v>4228.0</v>
      </c>
      <c r="C4" s="6">
        <v>435.0</v>
      </c>
      <c r="D4" s="7">
        <v>441.71</v>
      </c>
      <c r="E4" s="7">
        <v>297.09</v>
      </c>
      <c r="F4" s="7">
        <v>71031.2</v>
      </c>
      <c r="G4" s="1" t="s">
        <v>9</v>
      </c>
      <c r="H4" s="5"/>
    </row>
    <row r="5" ht="15.75" customHeight="1">
      <c r="A5" s="4" t="s">
        <v>11</v>
      </c>
      <c r="B5" s="5">
        <v>5279.0</v>
      </c>
      <c r="C5" s="6">
        <v>506.0</v>
      </c>
      <c r="D5" s="7">
        <v>441.07</v>
      </c>
      <c r="E5" s="7">
        <v>310.79</v>
      </c>
      <c r="F5" s="7">
        <v>71584.62</v>
      </c>
      <c r="G5" s="1" t="s">
        <v>9</v>
      </c>
      <c r="H5" s="5"/>
    </row>
    <row r="6" ht="15.75" customHeight="1">
      <c r="A6" s="4" t="s">
        <v>12</v>
      </c>
      <c r="B6" s="5">
        <v>7440.0</v>
      </c>
      <c r="C6" s="6">
        <v>777.0</v>
      </c>
      <c r="D6" s="7">
        <v>661.87</v>
      </c>
      <c r="E6" s="7">
        <v>440.43</v>
      </c>
      <c r="F6" s="7">
        <v>99339.48</v>
      </c>
      <c r="G6" s="1" t="s">
        <v>9</v>
      </c>
      <c r="H6" s="5"/>
    </row>
    <row r="7" ht="15.75" customHeight="1">
      <c r="A7" s="4" t="s">
        <v>13</v>
      </c>
      <c r="B7" s="5">
        <v>10135.0</v>
      </c>
      <c r="C7" s="6">
        <v>758.0</v>
      </c>
      <c r="D7" s="7">
        <v>685.42</v>
      </c>
      <c r="E7" s="7">
        <v>461.88</v>
      </c>
      <c r="F7" s="7">
        <v>105967.85</v>
      </c>
      <c r="G7" s="1" t="s">
        <v>9</v>
      </c>
      <c r="H7" s="5"/>
    </row>
    <row r="8" ht="15.75" customHeight="1">
      <c r="A8" s="4" t="s">
        <v>14</v>
      </c>
      <c r="B8" s="5">
        <v>10814.0</v>
      </c>
      <c r="C8" s="6">
        <v>540.0</v>
      </c>
      <c r="D8" s="7">
        <v>423.4</v>
      </c>
      <c r="E8" s="7">
        <v>304.46</v>
      </c>
      <c r="F8" s="7">
        <v>77208.59</v>
      </c>
      <c r="G8" s="1" t="s">
        <v>9</v>
      </c>
      <c r="H8" s="5"/>
    </row>
    <row r="9" ht="15.75" customHeight="1">
      <c r="A9" s="4" t="s">
        <v>15</v>
      </c>
      <c r="B9" s="5">
        <v>14722.0</v>
      </c>
      <c r="C9" s="6">
        <v>397.0</v>
      </c>
      <c r="D9" s="7">
        <v>317.22</v>
      </c>
      <c r="E9" s="7">
        <v>225.61</v>
      </c>
      <c r="F9" s="7">
        <v>53167.05</v>
      </c>
      <c r="G9" s="1" t="s">
        <v>9</v>
      </c>
      <c r="H9" s="5"/>
    </row>
    <row r="10" ht="15.75" customHeight="1">
      <c r="A10" s="4" t="s">
        <v>16</v>
      </c>
      <c r="B10" s="5">
        <v>14102.0</v>
      </c>
      <c r="C10" s="6">
        <v>400.0</v>
      </c>
      <c r="D10" s="7">
        <v>308.94</v>
      </c>
      <c r="E10" s="7">
        <v>231.22</v>
      </c>
      <c r="F10" s="7">
        <v>50171.3</v>
      </c>
      <c r="G10" s="1" t="s">
        <v>9</v>
      </c>
      <c r="H10" s="5"/>
    </row>
    <row r="11" ht="15.75" customHeight="1">
      <c r="A11" s="4" t="s">
        <v>17</v>
      </c>
      <c r="B11" s="5">
        <v>14772.0</v>
      </c>
      <c r="C11" s="6">
        <v>516.0</v>
      </c>
      <c r="D11" s="7">
        <v>436.86</v>
      </c>
      <c r="E11" s="7">
        <v>338.72</v>
      </c>
      <c r="F11" s="7">
        <v>56189.72</v>
      </c>
      <c r="G11" s="1" t="s">
        <v>9</v>
      </c>
      <c r="H11" s="5"/>
    </row>
    <row r="12" ht="15.75" customHeight="1">
      <c r="A12" s="4" t="s">
        <v>18</v>
      </c>
      <c r="B12" s="5">
        <v>16816.0</v>
      </c>
      <c r="C12" s="6">
        <v>624.0</v>
      </c>
      <c r="D12" s="7">
        <v>521.34</v>
      </c>
      <c r="E12" s="7">
        <v>405.27</v>
      </c>
      <c r="F12" s="7">
        <v>63075.94</v>
      </c>
      <c r="G12" s="1" t="s">
        <v>9</v>
      </c>
      <c r="H12" s="5"/>
    </row>
    <row r="13" ht="15.75" customHeight="1">
      <c r="A13" s="4" t="s">
        <v>19</v>
      </c>
      <c r="B13" s="5">
        <v>20278.0</v>
      </c>
      <c r="C13" s="6">
        <v>1039.0</v>
      </c>
      <c r="D13" s="7">
        <v>810.47</v>
      </c>
      <c r="E13" s="7">
        <v>658.98</v>
      </c>
      <c r="F13" s="7">
        <v>98400.07</v>
      </c>
      <c r="G13" s="1" t="s">
        <v>9</v>
      </c>
      <c r="H13" s="5"/>
    </row>
    <row r="14" ht="15.75" customHeight="1">
      <c r="A14" s="4" t="s">
        <v>20</v>
      </c>
      <c r="B14" s="5">
        <v>24310.0</v>
      </c>
      <c r="C14" s="6">
        <v>1217.0</v>
      </c>
      <c r="D14" s="7">
        <v>971.2</v>
      </c>
      <c r="E14" s="7">
        <v>777.04</v>
      </c>
      <c r="F14" s="7">
        <v>133278.96</v>
      </c>
      <c r="G14" s="1" t="s">
        <v>9</v>
      </c>
      <c r="H14" s="5"/>
    </row>
    <row r="15" ht="15.75" customHeight="1">
      <c r="A15" s="4" t="s">
        <v>21</v>
      </c>
      <c r="B15" s="5">
        <v>26227.0</v>
      </c>
      <c r="C15" s="6">
        <v>1824.0</v>
      </c>
      <c r="D15" s="7">
        <v>1606.58</v>
      </c>
      <c r="E15" s="7">
        <v>1114.74</v>
      </c>
      <c r="F15" s="7">
        <v>221474.77</v>
      </c>
      <c r="G15" s="1" t="s">
        <v>9</v>
      </c>
      <c r="H15" s="5"/>
    </row>
    <row r="16" ht="15.75" customHeight="1">
      <c r="A16" s="4" t="s">
        <v>22</v>
      </c>
      <c r="B16" s="5">
        <v>30218.0</v>
      </c>
      <c r="C16" s="6">
        <v>2678.0</v>
      </c>
      <c r="D16" s="7">
        <v>2399.35</v>
      </c>
      <c r="E16" s="7">
        <v>1617.52</v>
      </c>
      <c r="F16" s="7">
        <v>367549.08</v>
      </c>
      <c r="G16" s="1" t="s">
        <v>9</v>
      </c>
      <c r="H16" s="5"/>
    </row>
    <row r="17" ht="15.75" customHeight="1">
      <c r="A17" s="4" t="s">
        <v>23</v>
      </c>
      <c r="B17" s="5">
        <v>33132.0</v>
      </c>
      <c r="C17" s="6">
        <v>4116.0</v>
      </c>
      <c r="D17" s="7">
        <v>3912.92</v>
      </c>
      <c r="E17" s="7">
        <v>2548.1</v>
      </c>
      <c r="F17" s="7">
        <v>464865.25</v>
      </c>
      <c r="G17" s="1" t="s">
        <v>9</v>
      </c>
      <c r="H17" s="5"/>
    </row>
    <row r="18" ht="15.75" customHeight="1">
      <c r="A18" s="4" t="s">
        <v>24</v>
      </c>
      <c r="B18" s="5">
        <v>39783.0</v>
      </c>
      <c r="C18" s="6">
        <v>3623.0</v>
      </c>
      <c r="D18" s="7">
        <v>3895.68</v>
      </c>
      <c r="E18" s="7">
        <v>2377.37</v>
      </c>
      <c r="F18" s="7">
        <v>391037.72</v>
      </c>
      <c r="G18" s="1" t="s">
        <v>9</v>
      </c>
      <c r="H18" s="5"/>
    </row>
    <row r="19" ht="15.75" customHeight="1">
      <c r="A19" s="4" t="s">
        <v>25</v>
      </c>
      <c r="B19" s="5">
        <v>31047.0</v>
      </c>
      <c r="C19" s="6">
        <v>1866.0</v>
      </c>
      <c r="D19" s="7">
        <v>2087.73</v>
      </c>
      <c r="E19" s="7">
        <v>1295.14</v>
      </c>
      <c r="F19" s="7">
        <v>227834.55</v>
      </c>
      <c r="G19" s="1" t="s">
        <v>9</v>
      </c>
      <c r="H19" s="5"/>
    </row>
    <row r="20" ht="15.75" customHeight="1">
      <c r="A20" s="4" t="s">
        <v>26</v>
      </c>
      <c r="B20" s="5">
        <v>27201.0</v>
      </c>
      <c r="C20" s="6">
        <v>1242.0</v>
      </c>
      <c r="D20" s="7">
        <v>1302.99</v>
      </c>
      <c r="E20" s="7">
        <v>823.28</v>
      </c>
      <c r="F20" s="7">
        <v>154328.46</v>
      </c>
      <c r="G20" s="1" t="s">
        <v>9</v>
      </c>
      <c r="H20" s="5"/>
    </row>
    <row r="21" ht="15.75" customHeight="1">
      <c r="A21" s="4" t="s">
        <v>27</v>
      </c>
      <c r="B21" s="5">
        <v>29573.0</v>
      </c>
      <c r="C21" s="6">
        <v>1411.0</v>
      </c>
      <c r="D21" s="7">
        <v>1237.37</v>
      </c>
      <c r="E21" s="7">
        <v>857.01</v>
      </c>
      <c r="F21" s="7">
        <v>161487.9</v>
      </c>
      <c r="G21" s="1" t="s">
        <v>9</v>
      </c>
      <c r="H21" s="5"/>
    </row>
    <row r="22" ht="15.75" customHeight="1">
      <c r="A22" s="4" t="s">
        <v>28</v>
      </c>
      <c r="B22" s="5">
        <v>32953.0</v>
      </c>
      <c r="C22" s="6">
        <v>2145.0</v>
      </c>
      <c r="D22" s="7">
        <v>1712.73</v>
      </c>
      <c r="E22" s="7">
        <v>1164.87</v>
      </c>
      <c r="F22" s="7">
        <v>231327.94</v>
      </c>
      <c r="G22" s="1" t="s">
        <v>9</v>
      </c>
      <c r="H22" s="5"/>
    </row>
    <row r="23" ht="15.75" customHeight="1">
      <c r="A23" s="4" t="s">
        <v>29</v>
      </c>
      <c r="B23" s="5">
        <v>36025.0</v>
      </c>
      <c r="C23" s="6">
        <v>2794.0</v>
      </c>
      <c r="D23" s="7">
        <v>2249.21</v>
      </c>
      <c r="E23" s="7">
        <v>1537.23</v>
      </c>
      <c r="F23" s="7">
        <v>310794.8</v>
      </c>
      <c r="G23" s="1" t="s">
        <v>9</v>
      </c>
      <c r="H23" s="5"/>
    </row>
    <row r="24" ht="15.75" customHeight="1">
      <c r="A24" s="4" t="s">
        <v>30</v>
      </c>
      <c r="B24" s="5">
        <v>41407.0</v>
      </c>
      <c r="C24" s="6">
        <v>4023.0</v>
      </c>
      <c r="D24" s="7">
        <v>3178.04</v>
      </c>
      <c r="E24" s="7">
        <v>2167.94</v>
      </c>
      <c r="F24" s="7">
        <v>468574.84</v>
      </c>
      <c r="G24" s="1" t="s">
        <v>9</v>
      </c>
      <c r="H24" s="5"/>
    </row>
    <row r="25" ht="15.75" customHeight="1">
      <c r="A25" s="4" t="s">
        <v>31</v>
      </c>
      <c r="B25" s="5">
        <v>47455.0</v>
      </c>
      <c r="C25" s="6">
        <v>4920.0</v>
      </c>
      <c r="D25" s="7">
        <v>3570.67</v>
      </c>
      <c r="E25" s="7">
        <v>2467.89</v>
      </c>
      <c r="F25" s="7">
        <v>575515.96</v>
      </c>
      <c r="G25" s="1" t="s">
        <v>9</v>
      </c>
      <c r="H25" s="5"/>
    </row>
    <row r="26" ht="15.75" customHeight="1">
      <c r="A26" s="4" t="s">
        <v>32</v>
      </c>
      <c r="B26" s="5">
        <v>45173.0</v>
      </c>
      <c r="C26" s="6">
        <v>3075.0</v>
      </c>
      <c r="D26" s="7">
        <v>2090.78</v>
      </c>
      <c r="E26" s="7">
        <v>1658.98</v>
      </c>
      <c r="F26" s="7">
        <v>317418.37</v>
      </c>
      <c r="G26" s="1" t="s">
        <v>9</v>
      </c>
      <c r="H26" s="5"/>
    </row>
    <row r="27" ht="15.75" customHeight="1">
      <c r="A27" s="4" t="s">
        <v>33</v>
      </c>
      <c r="B27" s="5">
        <v>40710.0</v>
      </c>
      <c r="C27" s="6">
        <v>2187.0</v>
      </c>
      <c r="D27" s="7">
        <v>1572.54</v>
      </c>
      <c r="E27" s="7">
        <v>1399.16</v>
      </c>
      <c r="F27" s="7">
        <v>203193.5</v>
      </c>
      <c r="G27" s="1" t="s">
        <v>9</v>
      </c>
      <c r="H27" s="5"/>
    </row>
    <row r="28" ht="15.75" customHeight="1">
      <c r="A28" s="4" t="s">
        <v>34</v>
      </c>
      <c r="B28" s="5">
        <v>44844.0</v>
      </c>
      <c r="C28" s="6">
        <v>2750.0</v>
      </c>
      <c r="D28" s="7">
        <v>2072.3939</v>
      </c>
      <c r="E28" s="7">
        <v>1774.2248</v>
      </c>
      <c r="F28" s="7">
        <v>238500.0</v>
      </c>
      <c r="G28" s="1" t="s">
        <v>9</v>
      </c>
      <c r="H28" s="5"/>
    </row>
    <row r="29" ht="15.75" customHeight="1">
      <c r="A29" s="4" t="s">
        <v>35</v>
      </c>
      <c r="B29" s="5">
        <v>43976.0</v>
      </c>
      <c r="C29" s="6">
        <v>2668.0</v>
      </c>
      <c r="D29" s="7">
        <v>1922.9369</v>
      </c>
      <c r="E29" s="7">
        <v>1664.4314</v>
      </c>
      <c r="F29" s="7">
        <v>213797.76</v>
      </c>
      <c r="G29" s="1" t="s">
        <v>9</v>
      </c>
      <c r="H29" s="5"/>
    </row>
    <row r="30" ht="15.75" customHeight="1">
      <c r="A30" s="4" t="s">
        <v>36</v>
      </c>
      <c r="B30" s="5">
        <v>41480.0</v>
      </c>
      <c r="C30" s="6">
        <v>2533.0</v>
      </c>
      <c r="D30" s="7">
        <v>1961.4662</v>
      </c>
      <c r="E30" s="7">
        <v>1596.2725</v>
      </c>
      <c r="F30" s="7">
        <v>206860.57</v>
      </c>
      <c r="G30" s="1" t="s">
        <v>9</v>
      </c>
      <c r="H30" s="5"/>
    </row>
    <row r="31" ht="15.75" customHeight="1">
      <c r="A31" s="4" t="s">
        <v>37</v>
      </c>
      <c r="B31" s="5">
        <v>39568.0</v>
      </c>
      <c r="C31" s="6">
        <v>2536.0</v>
      </c>
      <c r="D31" s="7">
        <v>1909.8037</v>
      </c>
      <c r="E31" s="7">
        <v>1616.5477</v>
      </c>
      <c r="F31" s="7">
        <v>250481.57</v>
      </c>
      <c r="G31" s="1" t="s">
        <v>9</v>
      </c>
      <c r="H31" s="5"/>
      <c r="N31" s="1"/>
    </row>
    <row r="32" ht="15.75" customHeight="1">
      <c r="A32" s="4" t="s">
        <v>38</v>
      </c>
      <c r="B32" s="5">
        <v>43847.0</v>
      </c>
      <c r="C32" s="6">
        <v>3960.0</v>
      </c>
      <c r="D32" s="7">
        <v>3005.639</v>
      </c>
      <c r="E32" s="7">
        <v>2413.0425</v>
      </c>
      <c r="F32" s="7">
        <v>424793.8</v>
      </c>
      <c r="G32" s="1" t="s">
        <v>9</v>
      </c>
      <c r="H32" s="5"/>
    </row>
    <row r="33" ht="15.75" customHeight="1">
      <c r="A33" s="4" t="s">
        <v>39</v>
      </c>
      <c r="B33" s="5">
        <v>48052.0</v>
      </c>
      <c r="C33" s="6">
        <v>4779.0</v>
      </c>
      <c r="D33" s="7">
        <v>4296.8024</v>
      </c>
      <c r="E33" s="7">
        <v>3146.4867</v>
      </c>
      <c r="F33" s="7">
        <v>575428.68</v>
      </c>
      <c r="G33" s="1" t="s">
        <v>9</v>
      </c>
      <c r="H33" s="5"/>
    </row>
    <row r="34" ht="15.75" customHeight="1">
      <c r="A34" s="8" t="s">
        <v>40</v>
      </c>
      <c r="B34" s="5">
        <v>49991.0</v>
      </c>
      <c r="C34" s="6">
        <v>3646.0</v>
      </c>
      <c r="D34" s="7">
        <v>3293.8265</v>
      </c>
      <c r="E34" s="7">
        <v>2710.3185</v>
      </c>
      <c r="F34" s="7">
        <v>396564.79</v>
      </c>
      <c r="G34" s="1" t="s">
        <v>9</v>
      </c>
      <c r="H34" s="5"/>
    </row>
    <row r="35" ht="15.75" customHeight="1">
      <c r="A35" s="9" t="s">
        <v>41</v>
      </c>
      <c r="B35" s="5">
        <v>53302.0</v>
      </c>
      <c r="C35" s="6">
        <v>3777.0</v>
      </c>
      <c r="D35" s="7">
        <v>3339.5644</v>
      </c>
      <c r="E35" s="7">
        <v>2923.6767</v>
      </c>
      <c r="F35" s="7">
        <v>423152.82</v>
      </c>
      <c r="G35" s="1" t="s">
        <v>9</v>
      </c>
      <c r="H35" s="5"/>
    </row>
    <row r="36" ht="15.75" customHeight="1">
      <c r="A36" s="9" t="s">
        <v>42</v>
      </c>
      <c r="B36" s="5">
        <f>SUM(Quaterly!B136:B139)</f>
        <v>56382</v>
      </c>
      <c r="C36" s="7">
        <f>SUM(Quaterly!C136:C139)</f>
        <v>3939.272932</v>
      </c>
      <c r="D36" s="7">
        <f>SUM(Quaterly!D136:D139)</f>
        <v>3322.572999</v>
      </c>
      <c r="E36" s="7">
        <f>SUM(Quaterly!E136:E139)</f>
        <v>2845.245063</v>
      </c>
      <c r="F36" s="7">
        <f>SUM(Quaterly!F136:F139)</f>
        <v>402886.7385</v>
      </c>
      <c r="G36" s="1" t="s">
        <v>43</v>
      </c>
      <c r="H36" s="5"/>
      <c r="I36" s="10" t="s">
        <v>44</v>
      </c>
      <c r="J36" s="11" t="s">
        <v>1</v>
      </c>
      <c r="K36" s="11" t="s">
        <v>45</v>
      </c>
    </row>
    <row r="37" ht="15.75" customHeight="1">
      <c r="A37" s="9" t="s">
        <v>46</v>
      </c>
      <c r="B37" s="5">
        <f>SUM(Quaterly!B141:B144)</f>
        <v>53594</v>
      </c>
      <c r="C37" s="7">
        <f>SUM(Quaterly!C141:C144)</f>
        <v>3893.91291</v>
      </c>
      <c r="D37" s="7">
        <f>SUM(Quaterly!D141:D144)</f>
        <v>3476.891635</v>
      </c>
      <c r="E37" s="7">
        <f>SUM(Quaterly!E141:E144)</f>
        <v>3040.721227</v>
      </c>
      <c r="F37" s="7">
        <f>SUM(Quaterly!F141:F144)</f>
        <v>425121.396</v>
      </c>
      <c r="G37" s="1" t="s">
        <v>43</v>
      </c>
      <c r="H37" s="5"/>
      <c r="I37" s="12"/>
      <c r="J37" s="11">
        <f t="shared" ref="J37:K37" si="1">SUM(B3:B44)</f>
        <v>1363221</v>
      </c>
      <c r="K37" s="13">
        <f t="shared" si="1"/>
        <v>100171.2748</v>
      </c>
    </row>
    <row r="38" ht="15.75" customHeight="1">
      <c r="A38" s="14">
        <v>2020.0</v>
      </c>
      <c r="B38" s="5">
        <f>SUM(Quaterly!B146:B149)</f>
        <v>47307</v>
      </c>
      <c r="C38" s="7">
        <f>SUM(Quaterly!C146:C149)</f>
        <v>3268.4942</v>
      </c>
      <c r="D38" s="7">
        <f>SUM(Quaterly!D146:D149)</f>
        <v>2822.119147</v>
      </c>
      <c r="E38" s="7">
        <f>SUM(Quaterly!E146:E149)</f>
        <v>2524.013802</v>
      </c>
      <c r="F38" s="7">
        <f>SUM(Quaterly!F146:F149)</f>
        <v>347129.2414</v>
      </c>
      <c r="G38" s="1" t="s">
        <v>43</v>
      </c>
      <c r="H38" s="5"/>
    </row>
    <row r="39" ht="15.75" customHeight="1">
      <c r="A39" s="15">
        <v>2021.0</v>
      </c>
      <c r="B39" s="5">
        <f>SUM(Quaterly!B151:B154)</f>
        <v>58308</v>
      </c>
      <c r="C39" s="7">
        <f>SUM(Quaterly!C151:C154)</f>
        <v>5235.6476</v>
      </c>
      <c r="D39" s="7">
        <f>SUM(Quaterly!D151:D154)</f>
        <v>4422.527486</v>
      </c>
      <c r="E39" s="7">
        <f>SUM(Quaterly!E151:E154)</f>
        <v>3802.045387</v>
      </c>
      <c r="F39" s="7">
        <f>SUM(Quaterly!F151:F154)</f>
        <v>575006.9671</v>
      </c>
      <c r="G39" s="1" t="s">
        <v>43</v>
      </c>
    </row>
    <row r="40" ht="15.75" customHeight="1">
      <c r="A40" s="9">
        <v>2022.0</v>
      </c>
      <c r="B40" s="5">
        <f>SUM(Quaterly!B156:B159)</f>
        <v>50763</v>
      </c>
      <c r="C40" s="7">
        <f>SUM(Quaterly!C156:C159)</f>
        <v>3383.7938</v>
      </c>
      <c r="D40" s="7">
        <f>SUM(Quaterly!D156:D159)</f>
        <v>3188.295924</v>
      </c>
      <c r="E40" s="7">
        <f>SUM(Quaterly!E156:E159)</f>
        <v>2708.541283</v>
      </c>
      <c r="F40" s="7">
        <f>SUM(Quaterly!F156:F159)</f>
        <v>438472.3066</v>
      </c>
      <c r="G40" s="1" t="s">
        <v>43</v>
      </c>
    </row>
    <row r="41" ht="15.75" customHeight="1">
      <c r="A41" s="14">
        <v>2023.0</v>
      </c>
      <c r="B41" s="16">
        <f>SUM(Monthly!B465:B476)</f>
        <v>39603</v>
      </c>
      <c r="C41" s="17">
        <f>SUM(Monthly!C465:C476)</f>
        <v>2495.0571</v>
      </c>
      <c r="D41" s="17">
        <f>SUM(Monthly!D465:D476)</f>
        <v>2308.754932</v>
      </c>
      <c r="E41" s="17">
        <f>SUM(Monthly!E465:E476)</f>
        <v>2009.949931</v>
      </c>
      <c r="F41" s="17">
        <f>SUM(Monthly!F465:F476)</f>
        <v>345565.384</v>
      </c>
      <c r="G41" s="1" t="s">
        <v>43</v>
      </c>
    </row>
    <row r="42" ht="15.75" customHeight="1">
      <c r="A42" s="15">
        <v>2024.0</v>
      </c>
      <c r="B42" s="16">
        <f>SUM(Monthly!B478:B489)</f>
        <v>36067</v>
      </c>
      <c r="C42" s="17">
        <f>SUM(Monthly!C478:C489)</f>
        <v>2626.88799</v>
      </c>
      <c r="D42" s="17">
        <f>SUM(Monthly!D478:D489)</f>
        <v>2432.749223</v>
      </c>
      <c r="E42" s="17">
        <f>SUM(Monthly!E478:E489)</f>
        <v>2054.179354</v>
      </c>
      <c r="F42" s="17">
        <f>SUM(Monthly!F478:F489)</f>
        <v>397404.475</v>
      </c>
      <c r="G42" s="1" t="s">
        <v>43</v>
      </c>
    </row>
    <row r="43" ht="15.75" customHeight="1">
      <c r="A43" s="18" t="s">
        <v>47</v>
      </c>
      <c r="B43" s="11">
        <f>SUM(Monthly!B491:B502)</f>
        <v>39494</v>
      </c>
      <c r="C43" s="13">
        <f>SUM(Monthly!C491:C502)</f>
        <v>4036.8502</v>
      </c>
      <c r="D43" s="13">
        <f>SUM(Monthly!D491:D502)</f>
        <v>3557.909743</v>
      </c>
      <c r="E43" s="13">
        <f>SUM(Monthly!E491:E502)</f>
        <v>3052.789976</v>
      </c>
      <c r="F43" s="13">
        <f>SUM(Monthly!F491:F502)</f>
        <v>605393.291</v>
      </c>
      <c r="G43" s="1" t="s">
        <v>43</v>
      </c>
    </row>
    <row r="44" ht="15.75" customHeight="1">
      <c r="A44" s="18" t="s">
        <v>48</v>
      </c>
      <c r="B44" s="11">
        <f>SUM(Monthly!B504:B506)</f>
        <v>10167</v>
      </c>
      <c r="C44" s="13">
        <f>SUM(Monthly!C504:C506)</f>
        <v>1182.3581</v>
      </c>
      <c r="D44" s="13">
        <f>SUM(Monthly!D504:D506)</f>
        <v>1014.896335</v>
      </c>
      <c r="E44" s="13">
        <f>SUM(Monthly!E504:E506)</f>
        <v>921.5154434</v>
      </c>
      <c r="F44" s="13">
        <f>SUM(Monthly!F504:F506)</f>
        <v>185410.2895</v>
      </c>
      <c r="G44" s="1" t="s">
        <v>43</v>
      </c>
    </row>
    <row r="45" ht="15.75" customHeight="1">
      <c r="A45" s="18" t="s">
        <v>49</v>
      </c>
      <c r="B45" s="11">
        <f t="shared" ref="B45:F45" si="2">B44/3*12</f>
        <v>40668</v>
      </c>
      <c r="C45" s="13">
        <f t="shared" si="2"/>
        <v>4729.4324</v>
      </c>
      <c r="D45" s="13">
        <f t="shared" si="2"/>
        <v>4059.58534</v>
      </c>
      <c r="E45" s="13">
        <f t="shared" si="2"/>
        <v>3686.061774</v>
      </c>
      <c r="F45" s="13">
        <f t="shared" si="2"/>
        <v>741641.1578</v>
      </c>
      <c r="G45" s="1" t="s">
        <v>43</v>
      </c>
    </row>
    <row r="46" ht="15.75" customHeight="1">
      <c r="C46" s="19"/>
    </row>
    <row r="47" ht="15.75" customHeight="1">
      <c r="C47" s="19"/>
    </row>
    <row r="48" ht="15.75" customHeight="1">
      <c r="C48" s="19"/>
    </row>
    <row r="49" ht="15.75" customHeight="1">
      <c r="C49" s="19"/>
    </row>
    <row r="50" ht="15.75" customHeight="1">
      <c r="C50" s="19"/>
    </row>
    <row r="51" ht="15.75" customHeight="1">
      <c r="C51" s="19"/>
    </row>
    <row r="52" ht="15.75" customHeight="1">
      <c r="C52" s="19"/>
    </row>
    <row r="53" ht="15.75" customHeight="1">
      <c r="C53" s="19"/>
    </row>
    <row r="54" ht="15.75" customHeight="1">
      <c r="C54" s="19"/>
    </row>
    <row r="55" ht="15.75" customHeight="1">
      <c r="C55" s="19"/>
    </row>
    <row r="56" ht="15.75" customHeight="1">
      <c r="C56" s="19"/>
    </row>
    <row r="57" ht="15.75" customHeight="1">
      <c r="C57" s="19"/>
    </row>
    <row r="58" ht="15.75" customHeight="1">
      <c r="C58" s="19"/>
    </row>
    <row r="59" ht="15.75" customHeight="1">
      <c r="C59" s="19"/>
    </row>
    <row r="60" ht="15.75" customHeight="1">
      <c r="C60" s="19"/>
    </row>
    <row r="61" ht="15.75" customHeight="1">
      <c r="C61" s="19"/>
    </row>
    <row r="62" ht="15.75" customHeight="1">
      <c r="C62" s="19"/>
    </row>
    <row r="63" ht="15.75" customHeight="1">
      <c r="C63" s="19"/>
    </row>
    <row r="64" ht="15.75" customHeight="1">
      <c r="C64" s="19"/>
    </row>
    <row r="65" ht="15.75" customHeight="1">
      <c r="C65" s="19"/>
    </row>
    <row r="66" ht="15.75" customHeight="1">
      <c r="C66" s="19"/>
    </row>
    <row r="67" ht="15.75" customHeight="1">
      <c r="C67" s="19"/>
    </row>
    <row r="68" ht="15.75" customHeight="1">
      <c r="C68" s="19"/>
    </row>
    <row r="69" ht="15.75" customHeight="1">
      <c r="C69" s="19"/>
    </row>
    <row r="70" ht="15.75" customHeight="1">
      <c r="C70" s="19"/>
    </row>
    <row r="71" ht="15.75" customHeight="1">
      <c r="C71" s="19"/>
    </row>
    <row r="72" ht="15.75" customHeight="1">
      <c r="C72" s="19"/>
    </row>
    <row r="73" ht="15.75" customHeight="1">
      <c r="C73" s="19"/>
    </row>
    <row r="74" ht="15.75" customHeight="1">
      <c r="C74" s="19"/>
    </row>
    <row r="75" ht="15.75" customHeight="1">
      <c r="C75" s="19"/>
    </row>
    <row r="76" ht="15.75" customHeight="1">
      <c r="C76" s="19"/>
    </row>
    <row r="77" ht="15.75" customHeight="1">
      <c r="C77" s="19"/>
    </row>
    <row r="78" ht="15.75" customHeight="1">
      <c r="C78" s="19"/>
    </row>
    <row r="79" ht="15.75" customHeight="1">
      <c r="C79" s="19"/>
    </row>
    <row r="80" ht="15.75" customHeight="1">
      <c r="C80" s="19"/>
    </row>
    <row r="81" ht="15.75" customHeight="1">
      <c r="C81" s="19"/>
    </row>
    <row r="82" ht="15.75" customHeight="1">
      <c r="C82" s="19"/>
    </row>
    <row r="83" ht="15.75" customHeight="1">
      <c r="C83" s="19"/>
    </row>
    <row r="84" ht="15.75" customHeight="1">
      <c r="C84" s="19"/>
    </row>
    <row r="85" ht="15.75" customHeight="1">
      <c r="C85" s="19"/>
    </row>
    <row r="86" ht="15.75" customHeight="1">
      <c r="C86" s="19"/>
    </row>
    <row r="87" ht="15.75" customHeight="1">
      <c r="C87" s="19"/>
    </row>
    <row r="88" ht="15.75" customHeight="1">
      <c r="C88" s="19"/>
    </row>
    <row r="89" ht="15.75" customHeight="1">
      <c r="C89" s="19"/>
    </row>
    <row r="90" ht="15.75" customHeight="1">
      <c r="C90" s="19"/>
    </row>
    <row r="91" ht="15.75" customHeight="1">
      <c r="C91" s="19"/>
    </row>
    <row r="92" ht="15.75" customHeight="1">
      <c r="C92" s="19"/>
    </row>
    <row r="93" ht="15.75" customHeight="1">
      <c r="C93" s="19"/>
    </row>
    <row r="94" ht="15.75" customHeight="1">
      <c r="C94" s="19"/>
    </row>
    <row r="95" ht="15.75" customHeight="1">
      <c r="C95" s="19"/>
    </row>
    <row r="96" ht="15.75" customHeight="1">
      <c r="C96" s="19"/>
    </row>
    <row r="97" ht="15.75" customHeight="1">
      <c r="C97" s="19"/>
    </row>
    <row r="98" ht="15.75" customHeight="1">
      <c r="C98" s="19"/>
    </row>
    <row r="99" ht="15.75" customHeight="1">
      <c r="C99" s="19"/>
    </row>
    <row r="100" ht="15.75" customHeight="1">
      <c r="C100" s="19"/>
    </row>
    <row r="101" ht="15.75" customHeight="1">
      <c r="C101" s="19"/>
    </row>
    <row r="102" ht="15.75" customHeight="1">
      <c r="C102" s="19"/>
    </row>
    <row r="103" ht="15.75" customHeight="1">
      <c r="C103" s="19"/>
    </row>
    <row r="104" ht="15.75" customHeight="1">
      <c r="C104" s="19"/>
    </row>
    <row r="105" ht="15.75" customHeight="1">
      <c r="C105" s="19"/>
    </row>
    <row r="106" ht="15.75" customHeight="1">
      <c r="C106" s="19"/>
    </row>
    <row r="107" ht="15.75" customHeight="1">
      <c r="C107" s="19"/>
    </row>
    <row r="108" ht="15.75" customHeight="1">
      <c r="C108" s="19"/>
    </row>
    <row r="109" ht="15.75" customHeight="1">
      <c r="C109" s="19"/>
    </row>
    <row r="110" ht="15.75" customHeight="1">
      <c r="C110" s="19"/>
    </row>
    <row r="111" ht="15.75" customHeight="1">
      <c r="C111" s="19"/>
    </row>
    <row r="112" ht="15.75" customHeight="1">
      <c r="C112" s="19"/>
    </row>
    <row r="113" ht="15.75" customHeight="1">
      <c r="C113" s="19"/>
    </row>
    <row r="114" ht="15.75" customHeight="1">
      <c r="C114" s="19"/>
    </row>
    <row r="115" ht="15.75" customHeight="1">
      <c r="C115" s="19"/>
    </row>
    <row r="116" ht="15.75" customHeight="1">
      <c r="C116" s="19"/>
    </row>
    <row r="117" ht="15.75" customHeight="1">
      <c r="C117" s="19"/>
    </row>
    <row r="118" ht="15.75" customHeight="1">
      <c r="C118" s="19"/>
    </row>
    <row r="119" ht="15.75" customHeight="1">
      <c r="C119" s="19"/>
    </row>
    <row r="120" ht="15.75" customHeight="1">
      <c r="C120" s="19"/>
    </row>
    <row r="121" ht="15.75" customHeight="1">
      <c r="C121" s="19"/>
    </row>
    <row r="122" ht="15.75" customHeight="1">
      <c r="C122" s="19"/>
    </row>
    <row r="123" ht="15.75" customHeight="1">
      <c r="C123" s="19"/>
    </row>
    <row r="124" ht="15.75" customHeight="1">
      <c r="C124" s="19"/>
    </row>
    <row r="125" ht="15.75" customHeight="1">
      <c r="C125" s="19"/>
    </row>
    <row r="126" ht="15.75" customHeight="1">
      <c r="C126" s="19"/>
    </row>
    <row r="127" ht="15.75" customHeight="1">
      <c r="C127" s="19"/>
    </row>
    <row r="128" ht="15.75" customHeight="1">
      <c r="C128" s="19"/>
    </row>
    <row r="129" ht="15.75" customHeight="1">
      <c r="C129" s="19"/>
    </row>
    <row r="130" ht="15.75" customHeight="1">
      <c r="C130" s="19"/>
    </row>
    <row r="131" ht="15.75" customHeight="1">
      <c r="C131" s="19"/>
    </row>
    <row r="132" ht="15.75" customHeight="1">
      <c r="C132" s="19"/>
    </row>
    <row r="133" ht="15.75" customHeight="1">
      <c r="C133" s="19"/>
    </row>
    <row r="134" ht="15.75" customHeight="1">
      <c r="C134" s="19"/>
    </row>
    <row r="135" ht="15.75" customHeight="1">
      <c r="C135" s="19"/>
    </row>
    <row r="136" ht="15.75" customHeight="1">
      <c r="C136" s="19"/>
    </row>
    <row r="137" ht="15.75" customHeight="1">
      <c r="C137" s="19"/>
    </row>
    <row r="138" ht="15.75" customHeight="1">
      <c r="C138" s="19"/>
    </row>
    <row r="139" ht="15.75" customHeight="1">
      <c r="C139" s="19"/>
    </row>
    <row r="140" ht="15.75" customHeight="1">
      <c r="C140" s="19"/>
    </row>
    <row r="141" ht="15.75" customHeight="1">
      <c r="C141" s="19"/>
    </row>
    <row r="142" ht="15.75" customHeight="1">
      <c r="C142" s="19"/>
    </row>
    <row r="143" ht="15.75" customHeight="1">
      <c r="C143" s="19"/>
    </row>
    <row r="144" ht="15.75" customHeight="1">
      <c r="C144" s="19"/>
    </row>
    <row r="145" ht="15.75" customHeight="1">
      <c r="C145" s="19"/>
    </row>
    <row r="146" ht="15.75" customHeight="1">
      <c r="C146" s="19"/>
    </row>
    <row r="147" ht="15.75" customHeight="1">
      <c r="C147" s="19"/>
    </row>
    <row r="148" ht="15.75" customHeight="1">
      <c r="C148" s="19"/>
    </row>
    <row r="149" ht="15.75" customHeight="1">
      <c r="C149" s="19"/>
    </row>
    <row r="150" ht="15.75" customHeight="1">
      <c r="C150" s="19"/>
    </row>
    <row r="151" ht="15.75" customHeight="1">
      <c r="C151" s="19"/>
    </row>
    <row r="152" ht="15.75" customHeight="1">
      <c r="C152" s="19"/>
    </row>
    <row r="153" ht="15.75" customHeight="1">
      <c r="C153" s="19"/>
    </row>
    <row r="154" ht="15.75" customHeight="1">
      <c r="C154" s="19"/>
    </row>
    <row r="155" ht="15.75" customHeight="1">
      <c r="C155" s="19"/>
    </row>
    <row r="156" ht="15.75" customHeight="1">
      <c r="C156" s="19"/>
    </row>
    <row r="157" ht="15.75" customHeight="1">
      <c r="C157" s="19"/>
    </row>
    <row r="158" ht="15.75" customHeight="1">
      <c r="C158" s="19"/>
    </row>
    <row r="159" ht="15.75" customHeight="1">
      <c r="C159" s="19"/>
    </row>
    <row r="160" ht="15.75" customHeight="1">
      <c r="C160" s="19"/>
    </row>
    <row r="161" ht="15.75" customHeight="1">
      <c r="C161" s="19"/>
    </row>
    <row r="162" ht="15.75" customHeight="1">
      <c r="C162" s="19"/>
    </row>
    <row r="163" ht="15.75" customHeight="1">
      <c r="C163" s="19"/>
    </row>
    <row r="164" ht="15.75" customHeight="1">
      <c r="C164" s="19"/>
    </row>
    <row r="165" ht="15.75" customHeight="1">
      <c r="C165" s="19"/>
    </row>
    <row r="166" ht="15.75" customHeight="1">
      <c r="C166" s="19"/>
    </row>
    <row r="167" ht="15.75" customHeight="1">
      <c r="C167" s="19"/>
    </row>
    <row r="168" ht="15.75" customHeight="1">
      <c r="C168" s="19"/>
    </row>
    <row r="169" ht="15.75" customHeight="1">
      <c r="C169" s="19"/>
    </row>
    <row r="170" ht="15.75" customHeight="1">
      <c r="C170" s="19"/>
    </row>
    <row r="171" ht="15.75" customHeight="1">
      <c r="C171" s="19"/>
    </row>
    <row r="172" ht="15.75" customHeight="1">
      <c r="C172" s="19"/>
    </row>
    <row r="173" ht="15.75" customHeight="1">
      <c r="C173" s="19"/>
    </row>
    <row r="174" ht="15.75" customHeight="1">
      <c r="C174" s="19"/>
    </row>
    <row r="175" ht="15.75" customHeight="1">
      <c r="C175" s="19"/>
    </row>
    <row r="176" ht="15.75" customHeight="1">
      <c r="C176" s="19"/>
    </row>
    <row r="177" ht="15.75" customHeight="1">
      <c r="C177" s="19"/>
    </row>
    <row r="178" ht="15.75" customHeight="1">
      <c r="C178" s="19"/>
    </row>
    <row r="179" ht="15.75" customHeight="1">
      <c r="C179" s="19"/>
    </row>
    <row r="180" ht="15.75" customHeight="1">
      <c r="C180" s="19"/>
    </row>
    <row r="181" ht="15.75" customHeight="1">
      <c r="C181" s="19"/>
    </row>
    <row r="182" ht="15.75" customHeight="1">
      <c r="C182" s="19"/>
    </row>
    <row r="183" ht="15.75" customHeight="1">
      <c r="C183" s="19"/>
    </row>
    <row r="184" ht="15.75" customHeight="1">
      <c r="C184" s="19"/>
    </row>
    <row r="185" ht="15.75" customHeight="1">
      <c r="C185" s="19"/>
    </row>
    <row r="186" ht="15.75" customHeight="1">
      <c r="C186" s="19"/>
    </row>
    <row r="187" ht="15.75" customHeight="1">
      <c r="C187" s="19"/>
    </row>
    <row r="188" ht="15.75" customHeight="1">
      <c r="C188" s="19"/>
    </row>
    <row r="189" ht="15.75" customHeight="1">
      <c r="C189" s="19"/>
    </row>
    <row r="190" ht="15.75" customHeight="1">
      <c r="C190" s="19"/>
    </row>
    <row r="191" ht="15.75" customHeight="1">
      <c r="C191" s="19"/>
    </row>
    <row r="192" ht="15.75" customHeight="1">
      <c r="C192" s="19"/>
    </row>
    <row r="193" ht="15.75" customHeight="1">
      <c r="C193" s="19"/>
    </row>
    <row r="194" ht="15.75" customHeight="1">
      <c r="C194" s="19"/>
    </row>
    <row r="195" ht="15.75" customHeight="1">
      <c r="C195" s="19"/>
    </row>
    <row r="196" ht="15.75" customHeight="1">
      <c r="C196" s="19"/>
    </row>
    <row r="197" ht="15.75" customHeight="1">
      <c r="C197" s="19"/>
    </row>
    <row r="198" ht="15.75" customHeight="1">
      <c r="C198" s="19"/>
    </row>
    <row r="199" ht="15.75" customHeight="1">
      <c r="C199" s="19"/>
    </row>
    <row r="200" ht="15.75" customHeight="1">
      <c r="C200" s="19"/>
    </row>
    <row r="201" ht="15.75" customHeight="1">
      <c r="C201" s="19"/>
    </row>
    <row r="202" ht="15.75" customHeight="1">
      <c r="C202" s="19"/>
    </row>
    <row r="203" ht="15.75" customHeight="1">
      <c r="C203" s="19"/>
    </row>
    <row r="204" ht="15.75" customHeight="1">
      <c r="C204" s="19"/>
    </row>
    <row r="205" ht="15.75" customHeight="1">
      <c r="C205" s="19"/>
    </row>
    <row r="206" ht="15.75" customHeight="1">
      <c r="C206" s="19"/>
    </row>
    <row r="207" ht="15.75" customHeight="1">
      <c r="C207" s="19"/>
    </row>
    <row r="208" ht="15.75" customHeight="1">
      <c r="C208" s="19"/>
    </row>
    <row r="209" ht="15.75" customHeight="1">
      <c r="C209" s="19"/>
    </row>
    <row r="210" ht="15.75" customHeight="1">
      <c r="C210" s="19"/>
    </row>
    <row r="211" ht="15.75" customHeight="1">
      <c r="C211" s="19"/>
    </row>
    <row r="212" ht="15.75" customHeight="1">
      <c r="C212" s="19"/>
    </row>
    <row r="213" ht="15.75" customHeight="1">
      <c r="C213" s="19"/>
    </row>
    <row r="214" ht="15.75" customHeight="1">
      <c r="C214" s="19"/>
    </row>
    <row r="215" ht="15.75" customHeight="1">
      <c r="C215" s="19"/>
    </row>
    <row r="216" ht="15.75" customHeight="1">
      <c r="C216" s="19"/>
    </row>
    <row r="217" ht="15.75" customHeight="1">
      <c r="C217" s="19"/>
    </row>
    <row r="218" ht="15.75" customHeight="1">
      <c r="C218" s="19"/>
    </row>
    <row r="219" ht="15.75" customHeight="1">
      <c r="C219" s="19"/>
    </row>
    <row r="220" ht="15.75" customHeight="1">
      <c r="C220" s="19"/>
    </row>
    <row r="221" ht="15.75" customHeight="1">
      <c r="C221" s="19"/>
    </row>
    <row r="222" ht="15.75" customHeight="1">
      <c r="C222" s="19"/>
    </row>
    <row r="223" ht="15.75" customHeight="1">
      <c r="C223" s="19"/>
    </row>
    <row r="224" ht="15.75" customHeight="1">
      <c r="C224" s="19"/>
    </row>
    <row r="225" ht="15.75" customHeight="1">
      <c r="C225" s="19"/>
    </row>
    <row r="226" ht="15.75" customHeight="1">
      <c r="C226" s="19"/>
    </row>
    <row r="227" ht="15.75" customHeight="1">
      <c r="C227" s="19"/>
    </row>
    <row r="228" ht="15.75" customHeight="1">
      <c r="C228" s="19"/>
    </row>
    <row r="229" ht="15.75" customHeight="1">
      <c r="C229" s="19"/>
    </row>
    <row r="230" ht="15.75" customHeight="1">
      <c r="C230" s="19"/>
    </row>
    <row r="231" ht="15.75" customHeight="1">
      <c r="C231" s="19"/>
    </row>
    <row r="232" ht="15.75" customHeight="1">
      <c r="C232" s="19"/>
    </row>
    <row r="233" ht="15.75" customHeight="1">
      <c r="C233" s="19"/>
    </row>
    <row r="234" ht="15.75" customHeight="1">
      <c r="C234" s="19"/>
    </row>
    <row r="235" ht="15.75" customHeight="1">
      <c r="C235" s="19"/>
    </row>
    <row r="236" ht="15.75" customHeight="1">
      <c r="C236" s="19"/>
    </row>
    <row r="237" ht="15.75" customHeight="1">
      <c r="C237" s="19"/>
    </row>
    <row r="238" ht="15.75" customHeight="1">
      <c r="C238" s="19"/>
    </row>
    <row r="239" ht="15.75" customHeight="1">
      <c r="C239" s="19"/>
    </row>
    <row r="240" ht="15.75" customHeight="1">
      <c r="C240" s="19"/>
    </row>
    <row r="241" ht="15.75" customHeight="1">
      <c r="C241" s="19"/>
    </row>
    <row r="242" ht="15.75" customHeight="1">
      <c r="C242" s="19"/>
    </row>
    <row r="243" ht="15.75" customHeight="1">
      <c r="C243" s="19"/>
    </row>
    <row r="244" ht="15.75" customHeight="1">
      <c r="C244" s="19"/>
    </row>
    <row r="245" ht="15.75" customHeight="1">
      <c r="C245" s="19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15.13"/>
    <col customWidth="1" min="10" max="10" width="14.75"/>
  </cols>
  <sheetData>
    <row r="1" ht="15.75" customHeight="1">
      <c r="A1" s="20" t="s">
        <v>50</v>
      </c>
      <c r="B1" s="10" t="s">
        <v>51</v>
      </c>
      <c r="C1" s="10" t="s">
        <v>2</v>
      </c>
      <c r="D1" s="10"/>
      <c r="E1" s="20"/>
      <c r="F1" s="20"/>
    </row>
    <row r="2" ht="15.75" customHeight="1">
      <c r="A2" s="20"/>
      <c r="B2" s="20"/>
      <c r="C2" s="21" t="s">
        <v>4</v>
      </c>
      <c r="D2" s="10" t="s">
        <v>5</v>
      </c>
      <c r="E2" s="10" t="s">
        <v>6</v>
      </c>
      <c r="F2" s="10" t="s">
        <v>7</v>
      </c>
    </row>
    <row r="3" ht="15.75" customHeight="1">
      <c r="A3" s="21" t="s">
        <v>52</v>
      </c>
      <c r="B3" s="22">
        <v>225.0</v>
      </c>
      <c r="C3" s="23">
        <v>18.26768</v>
      </c>
      <c r="D3" s="23">
        <v>25.59808</v>
      </c>
      <c r="E3" s="23">
        <v>15.73745</v>
      </c>
      <c r="F3" s="23">
        <v>4605.21049</v>
      </c>
      <c r="G3" s="1" t="s">
        <v>9</v>
      </c>
    </row>
    <row r="4" ht="15.75" customHeight="1">
      <c r="A4" s="21" t="s">
        <v>53</v>
      </c>
      <c r="B4" s="22">
        <v>188.0</v>
      </c>
      <c r="C4" s="23">
        <v>19.17313</v>
      </c>
      <c r="D4" s="23">
        <v>27.35183</v>
      </c>
      <c r="E4" s="23">
        <v>16.63414</v>
      </c>
      <c r="F4" s="23">
        <v>4958.39945</v>
      </c>
      <c r="G4" s="1" t="s">
        <v>9</v>
      </c>
    </row>
    <row r="5" ht="15.75" customHeight="1">
      <c r="A5" s="21" t="s">
        <v>54</v>
      </c>
      <c r="B5" s="22">
        <v>212.0</v>
      </c>
      <c r="C5" s="23">
        <v>30.17555</v>
      </c>
      <c r="D5" s="23">
        <v>43.93405</v>
      </c>
      <c r="E5" s="23">
        <v>26.6221</v>
      </c>
      <c r="F5" s="23">
        <v>7737.39458</v>
      </c>
      <c r="G5" s="1" t="s">
        <v>9</v>
      </c>
    </row>
    <row r="6" ht="15.75" customHeight="1">
      <c r="A6" s="21" t="s">
        <v>55</v>
      </c>
      <c r="B6" s="22">
        <v>244.0</v>
      </c>
      <c r="C6" s="23">
        <v>46.18231</v>
      </c>
      <c r="D6" s="23">
        <v>65.04246</v>
      </c>
      <c r="E6" s="23">
        <v>38.76813</v>
      </c>
      <c r="F6" s="23">
        <v>11487.03138</v>
      </c>
      <c r="G6" s="1" t="s">
        <v>9</v>
      </c>
    </row>
    <row r="7" ht="15.75" customHeight="1">
      <c r="A7" s="21" t="s">
        <v>56</v>
      </c>
      <c r="B7" s="22">
        <v>196.0</v>
      </c>
      <c r="C7" s="23">
        <v>33.12994</v>
      </c>
      <c r="D7" s="23">
        <v>45.28524</v>
      </c>
      <c r="E7" s="23">
        <v>26.36187</v>
      </c>
      <c r="F7" s="23">
        <v>8030.27159</v>
      </c>
      <c r="G7" s="1" t="s">
        <v>9</v>
      </c>
    </row>
    <row r="8" ht="15.75" customHeight="1">
      <c r="A8" s="21" t="s">
        <v>57</v>
      </c>
      <c r="B8" s="22">
        <v>191.0</v>
      </c>
      <c r="C8" s="23">
        <v>28.95511</v>
      </c>
      <c r="D8" s="23">
        <v>39.68053</v>
      </c>
      <c r="E8" s="23">
        <v>22.87232</v>
      </c>
      <c r="F8" s="23">
        <v>7018.34726</v>
      </c>
      <c r="G8" s="1" t="s">
        <v>9</v>
      </c>
    </row>
    <row r="9" ht="15.75" customHeight="1">
      <c r="A9" s="21" t="s">
        <v>58</v>
      </c>
      <c r="B9" s="22">
        <v>204.0</v>
      </c>
      <c r="C9" s="23">
        <v>21.73952</v>
      </c>
      <c r="D9" s="23">
        <v>28.92675</v>
      </c>
      <c r="E9" s="23">
        <v>16.48867</v>
      </c>
      <c r="F9" s="23">
        <v>5190.28126</v>
      </c>
      <c r="G9" s="1" t="s">
        <v>9</v>
      </c>
    </row>
    <row r="10" ht="15.75" customHeight="1">
      <c r="A10" s="21" t="s">
        <v>59</v>
      </c>
      <c r="B10" s="22">
        <v>207.0</v>
      </c>
      <c r="C10" s="23">
        <v>21.84764</v>
      </c>
      <c r="D10" s="23">
        <v>27.48604</v>
      </c>
      <c r="E10" s="23">
        <v>15.79906</v>
      </c>
      <c r="F10" s="23">
        <v>4929.0663</v>
      </c>
      <c r="G10" s="1" t="s">
        <v>9</v>
      </c>
    </row>
    <row r="11" ht="15.75" customHeight="1">
      <c r="A11" s="21" t="s">
        <v>60</v>
      </c>
      <c r="B11" s="22">
        <v>188.0</v>
      </c>
      <c r="C11" s="23">
        <v>23.13002</v>
      </c>
      <c r="D11" s="23">
        <v>29.08697</v>
      </c>
      <c r="E11" s="23">
        <v>16.80667</v>
      </c>
      <c r="F11" s="23">
        <v>5241.13629</v>
      </c>
      <c r="G11" s="1" t="s">
        <v>9</v>
      </c>
    </row>
    <row r="12" ht="15.75" customHeight="1">
      <c r="A12" s="21" t="s">
        <v>61</v>
      </c>
      <c r="B12" s="22">
        <v>240.0</v>
      </c>
      <c r="C12" s="23">
        <v>35.07567</v>
      </c>
      <c r="D12" s="23">
        <v>42.94418</v>
      </c>
      <c r="E12" s="23">
        <v>25.14846</v>
      </c>
      <c r="F12" s="23">
        <v>7288.81245</v>
      </c>
      <c r="G12" s="1" t="s">
        <v>9</v>
      </c>
    </row>
    <row r="13" ht="15.75" customHeight="1">
      <c r="A13" s="21" t="s">
        <v>62</v>
      </c>
      <c r="B13" s="22">
        <v>189.0</v>
      </c>
      <c r="C13" s="23">
        <v>21.58458</v>
      </c>
      <c r="D13" s="23">
        <v>25.91556</v>
      </c>
      <c r="E13" s="23">
        <v>15.20765</v>
      </c>
      <c r="F13" s="23">
        <v>4204.11364</v>
      </c>
      <c r="G13" s="1" t="s">
        <v>9</v>
      </c>
    </row>
    <row r="14" ht="15.75" customHeight="1">
      <c r="A14" s="21" t="s">
        <v>63</v>
      </c>
      <c r="B14" s="22">
        <v>392.0</v>
      </c>
      <c r="C14" s="23">
        <v>48.01459</v>
      </c>
      <c r="D14" s="23">
        <v>55.21873</v>
      </c>
      <c r="E14" s="23">
        <v>33.21738</v>
      </c>
      <c r="F14" s="23">
        <v>9406.6434</v>
      </c>
      <c r="G14" s="1" t="s">
        <v>9</v>
      </c>
    </row>
    <row r="15" ht="15.75" customHeight="1">
      <c r="A15" s="21" t="s">
        <v>64</v>
      </c>
      <c r="B15" s="22">
        <v>235.0</v>
      </c>
      <c r="C15" s="23">
        <v>18.49372</v>
      </c>
      <c r="D15" s="23">
        <v>20.3415</v>
      </c>
      <c r="E15" s="23">
        <v>12.92577</v>
      </c>
      <c r="F15" s="23">
        <v>3453.56348</v>
      </c>
      <c r="G15" s="1" t="s">
        <v>9</v>
      </c>
    </row>
    <row r="16" ht="15.75" customHeight="1">
      <c r="A16" s="21" t="s">
        <v>65</v>
      </c>
      <c r="B16" s="22">
        <v>227.0</v>
      </c>
      <c r="C16" s="23">
        <v>26.69797</v>
      </c>
      <c r="D16" s="23">
        <v>28.92682</v>
      </c>
      <c r="E16" s="23">
        <v>18.58148</v>
      </c>
      <c r="F16" s="23">
        <v>4692.61238</v>
      </c>
      <c r="G16" s="1" t="s">
        <v>9</v>
      </c>
    </row>
    <row r="17" ht="15.75" customHeight="1">
      <c r="A17" s="21" t="s">
        <v>66</v>
      </c>
      <c r="B17" s="22">
        <v>275.0</v>
      </c>
      <c r="C17" s="23">
        <v>32.9202</v>
      </c>
      <c r="D17" s="23">
        <v>35.35505</v>
      </c>
      <c r="E17" s="23">
        <v>22.49419</v>
      </c>
      <c r="F17" s="23">
        <v>5766.08695</v>
      </c>
      <c r="G17" s="1" t="s">
        <v>9</v>
      </c>
    </row>
    <row r="18" ht="15.75" customHeight="1">
      <c r="A18" s="21" t="s">
        <v>67</v>
      </c>
      <c r="B18" s="22">
        <v>271.0</v>
      </c>
      <c r="C18" s="23">
        <v>34.56594</v>
      </c>
      <c r="D18" s="23">
        <v>37.17313</v>
      </c>
      <c r="E18" s="23">
        <v>23.29853</v>
      </c>
      <c r="F18" s="23">
        <v>5912.41594</v>
      </c>
      <c r="G18" s="1" t="s">
        <v>9</v>
      </c>
    </row>
    <row r="19" ht="15.75" customHeight="1">
      <c r="A19" s="21" t="s">
        <v>68</v>
      </c>
      <c r="B19" s="22">
        <v>311.0</v>
      </c>
      <c r="C19" s="23">
        <v>31.62219</v>
      </c>
      <c r="D19" s="23">
        <v>32.58585</v>
      </c>
      <c r="E19" s="23">
        <v>20.93362</v>
      </c>
      <c r="F19" s="23">
        <v>5210.01526</v>
      </c>
      <c r="G19" s="1" t="s">
        <v>9</v>
      </c>
    </row>
    <row r="20" ht="15.75" customHeight="1">
      <c r="A20" s="21" t="s">
        <v>69</v>
      </c>
      <c r="B20" s="22">
        <v>345.0</v>
      </c>
      <c r="C20" s="23">
        <v>32.00388</v>
      </c>
      <c r="D20" s="23">
        <v>33.13903</v>
      </c>
      <c r="E20" s="23">
        <v>21.25844</v>
      </c>
      <c r="F20" s="23">
        <v>5150.14803</v>
      </c>
      <c r="G20" s="1" t="s">
        <v>9</v>
      </c>
    </row>
    <row r="21" ht="15.75" customHeight="1">
      <c r="A21" s="21" t="s">
        <v>70</v>
      </c>
      <c r="B21" s="22">
        <v>311.0</v>
      </c>
      <c r="C21" s="23">
        <v>32.93743</v>
      </c>
      <c r="D21" s="23">
        <v>34.33813</v>
      </c>
      <c r="E21" s="23">
        <v>22.23584</v>
      </c>
      <c r="F21" s="23">
        <v>5199.0817</v>
      </c>
      <c r="G21" s="1" t="s">
        <v>9</v>
      </c>
    </row>
    <row r="22" ht="15.75" customHeight="1">
      <c r="A22" s="21" t="s">
        <v>71</v>
      </c>
      <c r="B22" s="22">
        <v>294.0</v>
      </c>
      <c r="C22" s="23">
        <v>25.32796</v>
      </c>
      <c r="D22" s="23">
        <v>25.40408</v>
      </c>
      <c r="E22" s="23">
        <v>16.99882</v>
      </c>
      <c r="F22" s="23">
        <v>3937.44771</v>
      </c>
      <c r="G22" s="1" t="s">
        <v>9</v>
      </c>
    </row>
    <row r="23" ht="15.75" customHeight="1">
      <c r="A23" s="21" t="s">
        <v>72</v>
      </c>
      <c r="B23" s="22">
        <v>318.0</v>
      </c>
      <c r="C23" s="23">
        <v>40.39775</v>
      </c>
      <c r="D23" s="23">
        <v>39.79594</v>
      </c>
      <c r="E23" s="23">
        <v>27.51889</v>
      </c>
      <c r="F23" s="23">
        <v>6266.75456</v>
      </c>
      <c r="G23" s="1" t="s">
        <v>9</v>
      </c>
    </row>
    <row r="24" ht="15.75" customHeight="1">
      <c r="A24" s="21" t="s">
        <v>73</v>
      </c>
      <c r="B24" s="22">
        <v>366.0</v>
      </c>
      <c r="C24" s="23">
        <v>51.29122</v>
      </c>
      <c r="D24" s="23">
        <v>49.81549</v>
      </c>
      <c r="E24" s="23">
        <v>35.24022</v>
      </c>
      <c r="F24" s="23">
        <v>7975.52555</v>
      </c>
      <c r="G24" s="1" t="s">
        <v>9</v>
      </c>
    </row>
    <row r="25" ht="15.75" customHeight="1">
      <c r="A25" s="21" t="s">
        <v>74</v>
      </c>
      <c r="B25" s="22">
        <v>417.0</v>
      </c>
      <c r="C25" s="23">
        <v>60.70824</v>
      </c>
      <c r="D25" s="23">
        <v>59.08067</v>
      </c>
      <c r="E25" s="23">
        <v>42.48951</v>
      </c>
      <c r="F25" s="23">
        <v>9815.35328</v>
      </c>
      <c r="G25" s="1" t="s">
        <v>9</v>
      </c>
    </row>
    <row r="26" ht="15.75" customHeight="1">
      <c r="A26" s="21" t="s">
        <v>75</v>
      </c>
      <c r="B26" s="22">
        <v>859.0</v>
      </c>
      <c r="C26" s="23">
        <v>47.77905</v>
      </c>
      <c r="D26" s="23">
        <v>45.75217</v>
      </c>
      <c r="E26" s="23">
        <v>33.11804</v>
      </c>
      <c r="F26" s="23">
        <v>7653.45452</v>
      </c>
      <c r="G26" s="1" t="s">
        <v>9</v>
      </c>
    </row>
    <row r="27" ht="15.75" customHeight="1">
      <c r="A27" s="21" t="s">
        <v>76</v>
      </c>
      <c r="B27" s="22">
        <v>405.0</v>
      </c>
      <c r="C27" s="23">
        <v>35.77352</v>
      </c>
      <c r="D27" s="23">
        <v>32.13577</v>
      </c>
      <c r="E27" s="23">
        <v>23.61431</v>
      </c>
      <c r="F27" s="23">
        <v>5390.52354</v>
      </c>
      <c r="G27" s="1" t="s">
        <v>9</v>
      </c>
    </row>
    <row r="28" ht="15.75" customHeight="1">
      <c r="A28" s="21" t="s">
        <v>77</v>
      </c>
      <c r="B28" s="22">
        <v>363.0</v>
      </c>
      <c r="C28" s="23">
        <v>25.03155</v>
      </c>
      <c r="D28" s="23">
        <v>22.25943</v>
      </c>
      <c r="E28" s="23">
        <v>16.3893</v>
      </c>
      <c r="F28" s="23">
        <v>3729.29563</v>
      </c>
      <c r="G28" s="1" t="s">
        <v>9</v>
      </c>
    </row>
    <row r="29" ht="15.75" customHeight="1">
      <c r="A29" s="21" t="s">
        <v>78</v>
      </c>
      <c r="B29" s="22">
        <v>395.0</v>
      </c>
      <c r="C29" s="23">
        <v>42.78249</v>
      </c>
      <c r="D29" s="23">
        <v>37.95745</v>
      </c>
      <c r="E29" s="23">
        <v>26.98662</v>
      </c>
      <c r="F29" s="23">
        <v>6254.25772</v>
      </c>
      <c r="G29" s="1" t="s">
        <v>9</v>
      </c>
    </row>
    <row r="30" ht="15.75" customHeight="1">
      <c r="A30" s="21" t="s">
        <v>79</v>
      </c>
      <c r="B30" s="22">
        <v>381.0</v>
      </c>
      <c r="C30" s="23">
        <v>48.3583</v>
      </c>
      <c r="D30" s="23">
        <v>42.56205</v>
      </c>
      <c r="E30" s="23">
        <v>30.15891</v>
      </c>
      <c r="F30" s="23">
        <v>6841.00172</v>
      </c>
      <c r="G30" s="1" t="s">
        <v>9</v>
      </c>
    </row>
    <row r="31" ht="15.75" customHeight="1">
      <c r="A31" s="21" t="s">
        <v>80</v>
      </c>
      <c r="B31" s="22">
        <v>315.0</v>
      </c>
      <c r="C31" s="23">
        <v>41.34523</v>
      </c>
      <c r="D31" s="23">
        <v>35.56006</v>
      </c>
      <c r="E31" s="23">
        <v>25.082</v>
      </c>
      <c r="F31" s="23">
        <v>5855.68117</v>
      </c>
      <c r="G31" s="1" t="s">
        <v>9</v>
      </c>
    </row>
    <row r="32" ht="15.75" customHeight="1">
      <c r="A32" s="21" t="s">
        <v>81</v>
      </c>
      <c r="B32" s="22">
        <v>511.0</v>
      </c>
      <c r="C32" s="23">
        <v>42.27657</v>
      </c>
      <c r="D32" s="23">
        <v>37.42033</v>
      </c>
      <c r="E32" s="23">
        <v>26.28489</v>
      </c>
      <c r="F32" s="23">
        <v>6098.0309</v>
      </c>
      <c r="G32" s="1" t="s">
        <v>9</v>
      </c>
    </row>
    <row r="33" ht="15.75" customHeight="1">
      <c r="A33" s="21" t="s">
        <v>82</v>
      </c>
      <c r="B33" s="22">
        <v>350.0</v>
      </c>
      <c r="C33" s="23">
        <v>38.62017</v>
      </c>
      <c r="D33" s="23">
        <v>34.42294</v>
      </c>
      <c r="E33" s="23">
        <v>24.05739</v>
      </c>
      <c r="F33" s="23">
        <v>5705.75236</v>
      </c>
      <c r="G33" s="1" t="s">
        <v>9</v>
      </c>
    </row>
    <row r="34" ht="15.75" customHeight="1">
      <c r="A34" s="21" t="s">
        <v>83</v>
      </c>
      <c r="B34" s="22">
        <v>371.0</v>
      </c>
      <c r="C34" s="23">
        <v>44.64436</v>
      </c>
      <c r="D34" s="23">
        <v>39.96831</v>
      </c>
      <c r="E34" s="23">
        <v>27.86909</v>
      </c>
      <c r="F34" s="23">
        <v>6456.56081</v>
      </c>
      <c r="G34" s="1" t="s">
        <v>9</v>
      </c>
    </row>
    <row r="35" ht="15.75" customHeight="1">
      <c r="A35" s="21" t="s">
        <v>84</v>
      </c>
      <c r="B35" s="22">
        <v>488.0</v>
      </c>
      <c r="C35" s="23">
        <v>55.43767</v>
      </c>
      <c r="D35" s="23">
        <v>48.78613</v>
      </c>
      <c r="E35" s="23">
        <v>34.05457</v>
      </c>
      <c r="F35" s="23">
        <v>7774.13353</v>
      </c>
      <c r="G35" s="1" t="s">
        <v>9</v>
      </c>
    </row>
    <row r="36" ht="15.75" customHeight="1">
      <c r="A36" s="21" t="s">
        <v>85</v>
      </c>
      <c r="B36" s="22">
        <v>442.0</v>
      </c>
      <c r="C36" s="23">
        <v>42.87874</v>
      </c>
      <c r="D36" s="23">
        <v>37.35878</v>
      </c>
      <c r="E36" s="23">
        <v>25.94262</v>
      </c>
      <c r="F36" s="23">
        <v>5910.15431</v>
      </c>
      <c r="G36" s="1" t="s">
        <v>9</v>
      </c>
    </row>
    <row r="37" ht="15.75" customHeight="1">
      <c r="A37" s="21" t="s">
        <v>86</v>
      </c>
      <c r="B37" s="22">
        <v>383.0</v>
      </c>
      <c r="C37" s="23">
        <v>32.90541</v>
      </c>
      <c r="D37" s="23">
        <v>27.16517</v>
      </c>
      <c r="E37" s="23">
        <v>18.74789</v>
      </c>
      <c r="F37" s="23">
        <v>4343.06315</v>
      </c>
      <c r="G37" s="1" t="s">
        <v>9</v>
      </c>
    </row>
    <row r="38" ht="15.75" customHeight="1">
      <c r="A38" s="21" t="s">
        <v>87</v>
      </c>
      <c r="B38" s="22">
        <v>876.0</v>
      </c>
      <c r="C38" s="23">
        <v>55.89491</v>
      </c>
      <c r="D38" s="23">
        <v>45.60148</v>
      </c>
      <c r="E38" s="23">
        <v>31.69522</v>
      </c>
      <c r="F38" s="23">
        <v>7249.52862</v>
      </c>
      <c r="G38" s="1" t="s">
        <v>9</v>
      </c>
    </row>
    <row r="39" ht="15.75" customHeight="1">
      <c r="A39" s="21" t="s">
        <v>88</v>
      </c>
      <c r="B39" s="22">
        <v>520.0</v>
      </c>
      <c r="C39" s="23">
        <v>63.9219</v>
      </c>
      <c r="D39" s="23">
        <v>53.2098</v>
      </c>
      <c r="E39" s="23">
        <v>36.66896</v>
      </c>
      <c r="F39" s="23">
        <v>8224.20488</v>
      </c>
      <c r="G39" s="1" t="s">
        <v>9</v>
      </c>
    </row>
    <row r="40" ht="15.75" customHeight="1">
      <c r="A40" s="21" t="s">
        <v>89</v>
      </c>
      <c r="B40" s="22">
        <v>512.0</v>
      </c>
      <c r="C40" s="23">
        <v>51.5402</v>
      </c>
      <c r="D40" s="23">
        <v>42.598</v>
      </c>
      <c r="E40" s="23">
        <v>29.21747</v>
      </c>
      <c r="F40" s="23">
        <v>6606.40075</v>
      </c>
      <c r="G40" s="1" t="s">
        <v>9</v>
      </c>
    </row>
    <row r="41" ht="15.75" customHeight="1">
      <c r="A41" s="21" t="s">
        <v>90</v>
      </c>
      <c r="B41" s="22">
        <v>591.0</v>
      </c>
      <c r="C41" s="23">
        <v>80.71431</v>
      </c>
      <c r="D41" s="23">
        <v>65.50016</v>
      </c>
      <c r="E41" s="23">
        <v>44.8791</v>
      </c>
      <c r="F41" s="23">
        <v>10305.20305</v>
      </c>
      <c r="G41" s="1" t="s">
        <v>9</v>
      </c>
    </row>
    <row r="42" ht="15.75" customHeight="1">
      <c r="A42" s="21" t="s">
        <v>91</v>
      </c>
      <c r="B42" s="22">
        <v>559.0</v>
      </c>
      <c r="C42" s="23">
        <v>46.93412</v>
      </c>
      <c r="D42" s="23">
        <v>38.6975</v>
      </c>
      <c r="E42" s="23">
        <v>25.74942</v>
      </c>
      <c r="F42" s="23">
        <v>5936.54763</v>
      </c>
      <c r="G42" s="1" t="s">
        <v>9</v>
      </c>
    </row>
    <row r="43" ht="15.75" customHeight="1">
      <c r="A43" s="21" t="s">
        <v>92</v>
      </c>
      <c r="B43" s="22">
        <v>579.0</v>
      </c>
      <c r="C43" s="23">
        <v>45.00167</v>
      </c>
      <c r="D43" s="23">
        <v>36.03263</v>
      </c>
      <c r="E43" s="23">
        <v>24.43115</v>
      </c>
      <c r="F43" s="23">
        <v>5719.68712</v>
      </c>
      <c r="G43" s="1" t="s">
        <v>9</v>
      </c>
    </row>
    <row r="44" ht="15.75" customHeight="1">
      <c r="A44" s="21" t="s">
        <v>93</v>
      </c>
      <c r="B44" s="22">
        <v>668.0</v>
      </c>
      <c r="C44" s="23">
        <v>47.31092</v>
      </c>
      <c r="D44" s="23">
        <v>39.76938</v>
      </c>
      <c r="E44" s="23">
        <v>26.56281</v>
      </c>
      <c r="F44" s="23">
        <v>6054.59496</v>
      </c>
      <c r="G44" s="1" t="s">
        <v>9</v>
      </c>
    </row>
    <row r="45" ht="15.75" customHeight="1">
      <c r="A45" s="21" t="s">
        <v>94</v>
      </c>
      <c r="B45" s="22">
        <v>624.0</v>
      </c>
      <c r="C45" s="23">
        <v>59.22442</v>
      </c>
      <c r="D45" s="23">
        <v>52.4129</v>
      </c>
      <c r="E45" s="23">
        <v>34.5431</v>
      </c>
      <c r="F45" s="23">
        <v>7774.55645</v>
      </c>
      <c r="G45" s="1" t="s">
        <v>9</v>
      </c>
    </row>
    <row r="46" ht="15.75" customHeight="1">
      <c r="A46" s="21" t="s">
        <v>95</v>
      </c>
      <c r="B46" s="22">
        <v>683.0</v>
      </c>
      <c r="C46" s="23">
        <v>46.54357</v>
      </c>
      <c r="D46" s="23">
        <v>41.30283</v>
      </c>
      <c r="E46" s="23">
        <v>26.9791</v>
      </c>
      <c r="F46" s="23">
        <v>6180.73923</v>
      </c>
      <c r="G46" s="1" t="s">
        <v>9</v>
      </c>
    </row>
    <row r="47" ht="15.75" customHeight="1">
      <c r="A47" s="21" t="s">
        <v>96</v>
      </c>
      <c r="B47" s="22">
        <v>543.0</v>
      </c>
      <c r="C47" s="23">
        <v>62.08537</v>
      </c>
      <c r="D47" s="23">
        <v>55.24001</v>
      </c>
      <c r="E47" s="23">
        <v>36.61846</v>
      </c>
      <c r="F47" s="23">
        <v>8282.18889</v>
      </c>
      <c r="G47" s="1" t="s">
        <v>9</v>
      </c>
    </row>
    <row r="48" ht="15.75" customHeight="1">
      <c r="A48" s="21" t="s">
        <v>97</v>
      </c>
      <c r="B48" s="22">
        <v>587.0</v>
      </c>
      <c r="C48" s="23">
        <v>146.33814</v>
      </c>
      <c r="D48" s="23">
        <v>128.30985</v>
      </c>
      <c r="E48" s="23">
        <v>83.7354</v>
      </c>
      <c r="F48" s="23">
        <v>18335.78575</v>
      </c>
      <c r="G48" s="1" t="s">
        <v>9</v>
      </c>
    </row>
    <row r="49" ht="15.75" customHeight="1">
      <c r="A49" s="21" t="s">
        <v>98</v>
      </c>
      <c r="B49" s="22">
        <v>610.0</v>
      </c>
      <c r="C49" s="23">
        <v>80.47817</v>
      </c>
      <c r="D49" s="23">
        <v>69.31209</v>
      </c>
      <c r="E49" s="23">
        <v>45.30368</v>
      </c>
      <c r="F49" s="23">
        <v>10050.53491</v>
      </c>
      <c r="G49" s="1" t="s">
        <v>9</v>
      </c>
    </row>
    <row r="50" ht="15.75" customHeight="1">
      <c r="A50" s="21" t="s">
        <v>99</v>
      </c>
      <c r="B50" s="22">
        <v>963.0</v>
      </c>
      <c r="C50" s="23">
        <v>46.47218</v>
      </c>
      <c r="D50" s="23">
        <v>39.43234</v>
      </c>
      <c r="E50" s="23">
        <v>25.70889</v>
      </c>
      <c r="F50" s="23">
        <v>5859.68348</v>
      </c>
      <c r="G50" s="1" t="s">
        <v>9</v>
      </c>
    </row>
    <row r="51" ht="15.75" customHeight="1">
      <c r="A51" s="21" t="s">
        <v>100</v>
      </c>
      <c r="B51" s="22">
        <v>857.0</v>
      </c>
      <c r="C51" s="23">
        <v>55.51414</v>
      </c>
      <c r="D51" s="23">
        <v>49.22416</v>
      </c>
      <c r="E51" s="23">
        <v>31.60949</v>
      </c>
      <c r="F51" s="23">
        <v>7175.6688</v>
      </c>
      <c r="G51" s="1" t="s">
        <v>9</v>
      </c>
    </row>
    <row r="52" ht="15.75" customHeight="1">
      <c r="A52" s="21" t="s">
        <v>101</v>
      </c>
      <c r="B52" s="22">
        <v>749.0</v>
      </c>
      <c r="C52" s="23">
        <v>29.45716</v>
      </c>
      <c r="D52" s="23">
        <v>26.18169</v>
      </c>
      <c r="E52" s="23">
        <v>16.85921</v>
      </c>
      <c r="F52" s="23">
        <v>3796.08505</v>
      </c>
      <c r="G52" s="1" t="s">
        <v>9</v>
      </c>
    </row>
    <row r="53" ht="15.75" customHeight="1">
      <c r="A53" s="21" t="s">
        <v>102</v>
      </c>
      <c r="B53" s="22">
        <v>827.0</v>
      </c>
      <c r="C53" s="23">
        <v>87.24684</v>
      </c>
      <c r="D53" s="23">
        <v>77.69664</v>
      </c>
      <c r="E53" s="23">
        <v>50.94158</v>
      </c>
      <c r="F53" s="23">
        <v>11832.67797</v>
      </c>
      <c r="G53" s="1" t="s">
        <v>9</v>
      </c>
    </row>
    <row r="54" ht="15.75" customHeight="1">
      <c r="A54" s="21" t="s">
        <v>103</v>
      </c>
      <c r="B54" s="22">
        <v>734.0</v>
      </c>
      <c r="C54" s="23">
        <v>45.49864</v>
      </c>
      <c r="D54" s="23">
        <v>40.85331</v>
      </c>
      <c r="E54" s="23">
        <v>27.08098</v>
      </c>
      <c r="F54" s="23">
        <v>6160.9989</v>
      </c>
      <c r="G54" s="1" t="s">
        <v>9</v>
      </c>
    </row>
    <row r="55" ht="15.75" customHeight="1">
      <c r="A55" s="21" t="s">
        <v>104</v>
      </c>
      <c r="B55" s="22">
        <v>755.0</v>
      </c>
      <c r="C55" s="23">
        <v>45.78669</v>
      </c>
      <c r="D55" s="23">
        <v>41.96548</v>
      </c>
      <c r="E55" s="23">
        <v>27.73894</v>
      </c>
      <c r="F55" s="23">
        <v>6365.74448</v>
      </c>
      <c r="G55" s="1" t="s">
        <v>9</v>
      </c>
    </row>
    <row r="56" ht="15.75" customHeight="1">
      <c r="A56" s="21" t="s">
        <v>105</v>
      </c>
      <c r="B56" s="22">
        <v>927.0</v>
      </c>
      <c r="C56" s="23">
        <v>79.61607</v>
      </c>
      <c r="D56" s="23">
        <v>73.44995</v>
      </c>
      <c r="E56" s="23">
        <v>49.41805</v>
      </c>
      <c r="F56" s="23">
        <v>11352.04717</v>
      </c>
      <c r="G56" s="1" t="s">
        <v>9</v>
      </c>
    </row>
    <row r="57" ht="15.75" customHeight="1">
      <c r="A57" s="21" t="s">
        <v>106</v>
      </c>
      <c r="B57" s="22">
        <v>799.0</v>
      </c>
      <c r="C57" s="23">
        <v>92.3697</v>
      </c>
      <c r="D57" s="23">
        <v>83.7861</v>
      </c>
      <c r="E57" s="23">
        <v>56.59911</v>
      </c>
      <c r="F57" s="23">
        <v>12992.87957</v>
      </c>
      <c r="G57" s="1" t="s">
        <v>9</v>
      </c>
    </row>
    <row r="58" ht="15.75" customHeight="1">
      <c r="A58" s="21" t="s">
        <v>107</v>
      </c>
      <c r="B58" s="22">
        <v>779.0</v>
      </c>
      <c r="C58" s="23">
        <v>96.55722</v>
      </c>
      <c r="D58" s="23">
        <v>89.54664</v>
      </c>
      <c r="E58" s="23">
        <v>60.35356</v>
      </c>
      <c r="F58" s="23">
        <v>13840.28116</v>
      </c>
      <c r="G58" s="1" t="s">
        <v>9</v>
      </c>
    </row>
    <row r="59" ht="15.75" customHeight="1">
      <c r="A59" s="21" t="s">
        <v>108</v>
      </c>
      <c r="B59" s="22">
        <v>823.0</v>
      </c>
      <c r="C59" s="23">
        <v>68.9753</v>
      </c>
      <c r="D59" s="23">
        <v>63.22654</v>
      </c>
      <c r="E59" s="23">
        <v>42.73808</v>
      </c>
      <c r="F59" s="23">
        <v>10001.36079</v>
      </c>
      <c r="G59" s="1" t="s">
        <v>9</v>
      </c>
    </row>
    <row r="60" ht="15.75" customHeight="1">
      <c r="A60" s="21" t="s">
        <v>109</v>
      </c>
      <c r="B60" s="22">
        <v>904.0</v>
      </c>
      <c r="C60" s="23">
        <v>61.2904</v>
      </c>
      <c r="D60" s="23">
        <v>56.26269</v>
      </c>
      <c r="E60" s="23">
        <v>38.63221</v>
      </c>
      <c r="F60" s="23">
        <v>8748.87684</v>
      </c>
      <c r="G60" s="1" t="s">
        <v>9</v>
      </c>
    </row>
    <row r="61" ht="15.75" customHeight="1">
      <c r="A61" s="21" t="s">
        <v>110</v>
      </c>
      <c r="B61" s="22">
        <v>770.0</v>
      </c>
      <c r="C61" s="23">
        <v>41.44536</v>
      </c>
      <c r="D61" s="23">
        <v>37.12996</v>
      </c>
      <c r="E61" s="23">
        <v>26.25384</v>
      </c>
      <c r="F61" s="23">
        <v>5935.92855</v>
      </c>
      <c r="G61" s="1" t="s">
        <v>9</v>
      </c>
    </row>
    <row r="62" ht="15.75" customHeight="1">
      <c r="A62" s="21" t="s">
        <v>111</v>
      </c>
      <c r="B62" s="22">
        <v>1212.0</v>
      </c>
      <c r="C62" s="23">
        <v>53.95236</v>
      </c>
      <c r="D62" s="23">
        <v>46.10313</v>
      </c>
      <c r="E62" s="23">
        <v>33.66469</v>
      </c>
      <c r="F62" s="23">
        <v>7766.26245</v>
      </c>
      <c r="G62" s="1" t="s">
        <v>9</v>
      </c>
    </row>
    <row r="63" ht="15.75" customHeight="1">
      <c r="A63" s="21" t="s">
        <v>112</v>
      </c>
      <c r="B63" s="22">
        <v>951.0</v>
      </c>
      <c r="C63" s="23">
        <v>36.95004</v>
      </c>
      <c r="D63" s="23">
        <v>30.66108</v>
      </c>
      <c r="E63" s="23">
        <v>22.2285</v>
      </c>
      <c r="F63" s="23">
        <v>5372.93195</v>
      </c>
      <c r="G63" s="1" t="s">
        <v>9</v>
      </c>
    </row>
    <row r="64" ht="15.75" customHeight="1">
      <c r="A64" s="21" t="s">
        <v>113</v>
      </c>
      <c r="B64" s="22">
        <v>770.0</v>
      </c>
      <c r="C64" s="23">
        <v>29.16954</v>
      </c>
      <c r="D64" s="23">
        <v>24.04389</v>
      </c>
      <c r="E64" s="23">
        <v>17.29171</v>
      </c>
      <c r="F64" s="23">
        <v>4230.89892</v>
      </c>
      <c r="G64" s="1" t="s">
        <v>9</v>
      </c>
    </row>
    <row r="65" ht="15.75" customHeight="1">
      <c r="A65" s="21" t="s">
        <v>114</v>
      </c>
      <c r="B65" s="22">
        <v>908.0</v>
      </c>
      <c r="C65" s="23">
        <v>42.8119</v>
      </c>
      <c r="D65" s="23">
        <v>35.8192</v>
      </c>
      <c r="E65" s="23">
        <v>26.0013</v>
      </c>
      <c r="F65" s="23">
        <v>6530.94547</v>
      </c>
      <c r="G65" s="1" t="s">
        <v>9</v>
      </c>
    </row>
    <row r="66" ht="15.75" customHeight="1">
      <c r="A66" s="21" t="s">
        <v>115</v>
      </c>
      <c r="B66" s="22">
        <v>875.0</v>
      </c>
      <c r="C66" s="23">
        <v>48.35717</v>
      </c>
      <c r="D66" s="23">
        <v>40.97319</v>
      </c>
      <c r="E66" s="23">
        <v>29.56089</v>
      </c>
      <c r="F66" s="23">
        <v>7624.53314</v>
      </c>
      <c r="G66" s="1" t="s">
        <v>9</v>
      </c>
    </row>
    <row r="67" ht="15.75" customHeight="1">
      <c r="A67" s="21" t="s">
        <v>116</v>
      </c>
      <c r="B67" s="22">
        <v>959.0</v>
      </c>
      <c r="C67" s="23">
        <v>42.25881</v>
      </c>
      <c r="D67" s="23">
        <v>33.16416</v>
      </c>
      <c r="E67" s="23">
        <v>25.03533</v>
      </c>
      <c r="F67" s="23">
        <v>6460.82901</v>
      </c>
      <c r="G67" s="1" t="s">
        <v>9</v>
      </c>
    </row>
    <row r="68" ht="15.75" customHeight="1">
      <c r="A68" s="21" t="s">
        <v>117</v>
      </c>
      <c r="B68" s="22">
        <v>1040.0</v>
      </c>
      <c r="C68" s="23">
        <v>44.08785</v>
      </c>
      <c r="D68" s="23">
        <v>35.19804</v>
      </c>
      <c r="E68" s="23">
        <v>25.40657</v>
      </c>
      <c r="F68" s="23">
        <v>6628.2527</v>
      </c>
      <c r="G68" s="1" t="s">
        <v>9</v>
      </c>
    </row>
    <row r="69" ht="15.75" customHeight="1">
      <c r="A69" s="21" t="s">
        <v>118</v>
      </c>
      <c r="B69" s="22">
        <v>815.0</v>
      </c>
      <c r="C69" s="23">
        <v>68.03412</v>
      </c>
      <c r="D69" s="23">
        <v>53.80735</v>
      </c>
      <c r="E69" s="23">
        <v>38.38056</v>
      </c>
      <c r="F69" s="23">
        <v>9912.09892</v>
      </c>
      <c r="G69" s="1" t="s">
        <v>9</v>
      </c>
    </row>
    <row r="70" ht="15.75" customHeight="1">
      <c r="A70" s="21" t="s">
        <v>119</v>
      </c>
      <c r="B70" s="22">
        <v>752.0</v>
      </c>
      <c r="C70" s="23">
        <v>26.68192</v>
      </c>
      <c r="D70" s="23">
        <v>20.74058</v>
      </c>
      <c r="E70" s="23">
        <v>14.49285</v>
      </c>
      <c r="F70" s="23">
        <v>3863.58247</v>
      </c>
      <c r="G70" s="1" t="s">
        <v>9</v>
      </c>
    </row>
    <row r="71" ht="15.75" customHeight="1">
      <c r="A71" s="21" t="s">
        <v>120</v>
      </c>
      <c r="B71" s="22">
        <v>839.0</v>
      </c>
      <c r="C71" s="23">
        <v>45.95881</v>
      </c>
      <c r="D71" s="23">
        <v>35.40954</v>
      </c>
      <c r="E71" s="23">
        <v>24.68754</v>
      </c>
      <c r="F71" s="23">
        <v>6319.84274</v>
      </c>
      <c r="G71" s="1" t="s">
        <v>9</v>
      </c>
    </row>
    <row r="72" ht="15.75" customHeight="1">
      <c r="A72" s="21" t="s">
        <v>121</v>
      </c>
      <c r="B72" s="22">
        <v>874.0</v>
      </c>
      <c r="C72" s="23">
        <v>58.71382</v>
      </c>
      <c r="D72" s="23">
        <v>41.98662</v>
      </c>
      <c r="E72" s="23">
        <v>30.4251</v>
      </c>
      <c r="F72" s="23">
        <v>7605.48766</v>
      </c>
      <c r="G72" s="1" t="s">
        <v>9</v>
      </c>
    </row>
    <row r="73" ht="15.75" customHeight="1">
      <c r="A73" s="21" t="s">
        <v>122</v>
      </c>
      <c r="B73" s="22">
        <v>891.0</v>
      </c>
      <c r="C73" s="23">
        <v>55.87108</v>
      </c>
      <c r="D73" s="23">
        <v>41.15292</v>
      </c>
      <c r="E73" s="23">
        <v>29.2943</v>
      </c>
      <c r="F73" s="23">
        <v>7264.0597</v>
      </c>
      <c r="G73" s="1" t="s">
        <v>9</v>
      </c>
    </row>
    <row r="74" ht="15.75" customHeight="1">
      <c r="A74" s="21" t="s">
        <v>123</v>
      </c>
      <c r="B74" s="22">
        <v>1279.0</v>
      </c>
      <c r="C74" s="23">
        <v>41.94911</v>
      </c>
      <c r="D74" s="23">
        <v>30.93837</v>
      </c>
      <c r="E74" s="23">
        <v>22.01045</v>
      </c>
      <c r="F74" s="23">
        <v>5595.00271</v>
      </c>
      <c r="G74" s="1" t="s">
        <v>9</v>
      </c>
    </row>
    <row r="75" ht="15.75" customHeight="1">
      <c r="A75" s="21" t="s">
        <v>124</v>
      </c>
      <c r="B75" s="22">
        <v>1441.0</v>
      </c>
      <c r="C75" s="23">
        <v>31.05195</v>
      </c>
      <c r="D75" s="23">
        <v>23.45124</v>
      </c>
      <c r="E75" s="23">
        <v>16.46684</v>
      </c>
      <c r="F75" s="23">
        <v>4168.16358</v>
      </c>
      <c r="G75" s="1" t="s">
        <v>9</v>
      </c>
    </row>
    <row r="76" ht="15.75" customHeight="1">
      <c r="A76" s="21" t="s">
        <v>125</v>
      </c>
      <c r="B76" s="22">
        <v>1049.0</v>
      </c>
      <c r="C76" s="23">
        <v>30.17547</v>
      </c>
      <c r="D76" s="23">
        <v>21.82896</v>
      </c>
      <c r="E76" s="23">
        <v>15.65942</v>
      </c>
      <c r="F76" s="23">
        <v>3962.28352</v>
      </c>
      <c r="G76" s="1" t="s">
        <v>9</v>
      </c>
    </row>
    <row r="77" ht="15.75" customHeight="1">
      <c r="A77" s="21" t="s">
        <v>126</v>
      </c>
      <c r="B77" s="22">
        <v>1223.0</v>
      </c>
      <c r="C77" s="23">
        <v>27.72437</v>
      </c>
      <c r="D77" s="23">
        <v>21.86677</v>
      </c>
      <c r="E77" s="23">
        <v>15.36559</v>
      </c>
      <c r="F77" s="23">
        <v>3794.8469</v>
      </c>
      <c r="G77" s="1" t="s">
        <v>9</v>
      </c>
    </row>
    <row r="78" ht="15.75" customHeight="1">
      <c r="A78" s="21" t="s">
        <v>127</v>
      </c>
      <c r="B78" s="22">
        <v>1197.0</v>
      </c>
      <c r="C78" s="23">
        <v>42.23772</v>
      </c>
      <c r="D78" s="23">
        <v>34.10079</v>
      </c>
      <c r="E78" s="23">
        <v>24.3618</v>
      </c>
      <c r="F78" s="23">
        <v>5730.72458</v>
      </c>
      <c r="G78" s="1" t="s">
        <v>9</v>
      </c>
    </row>
    <row r="79" ht="15.75" customHeight="1">
      <c r="A79" s="21" t="s">
        <v>128</v>
      </c>
      <c r="B79" s="22">
        <v>1221.0</v>
      </c>
      <c r="C79" s="23">
        <v>35.47781</v>
      </c>
      <c r="D79" s="23">
        <v>28.56441</v>
      </c>
      <c r="E79" s="23">
        <v>20.39017</v>
      </c>
      <c r="F79" s="23">
        <v>4883.00336</v>
      </c>
      <c r="G79" s="1" t="s">
        <v>9</v>
      </c>
    </row>
    <row r="80" ht="15.75" customHeight="1">
      <c r="A80" s="21" t="s">
        <v>129</v>
      </c>
      <c r="B80" s="22">
        <v>1309.0</v>
      </c>
      <c r="C80" s="23">
        <v>29.01114</v>
      </c>
      <c r="D80" s="23">
        <v>24.51963</v>
      </c>
      <c r="E80" s="23">
        <v>17.30892</v>
      </c>
      <c r="F80" s="23">
        <v>4031.49695</v>
      </c>
      <c r="G80" s="1" t="s">
        <v>9</v>
      </c>
    </row>
    <row r="81" ht="15.75" customHeight="1">
      <c r="A81" s="21" t="s">
        <v>130</v>
      </c>
      <c r="B81" s="22">
        <v>1318.0</v>
      </c>
      <c r="C81" s="23">
        <v>30.46608</v>
      </c>
      <c r="D81" s="23">
        <v>24.96774</v>
      </c>
      <c r="E81" s="23">
        <v>18.01777</v>
      </c>
      <c r="F81" s="23">
        <v>4159.74327</v>
      </c>
      <c r="G81" s="1" t="s">
        <v>9</v>
      </c>
    </row>
    <row r="82" ht="15.75" customHeight="1">
      <c r="A82" s="21" t="s">
        <v>131</v>
      </c>
      <c r="B82" s="22">
        <v>1035.0</v>
      </c>
      <c r="C82" s="23">
        <v>30.39349</v>
      </c>
      <c r="D82" s="23">
        <v>25.23675</v>
      </c>
      <c r="E82" s="23">
        <v>17.79226</v>
      </c>
      <c r="F82" s="23">
        <v>4121.88461</v>
      </c>
      <c r="G82" s="1" t="s">
        <v>9</v>
      </c>
    </row>
    <row r="83" ht="15.75" customHeight="1">
      <c r="A83" s="21" t="s">
        <v>132</v>
      </c>
      <c r="B83" s="22">
        <v>1257.0</v>
      </c>
      <c r="C83" s="23">
        <v>37.39414</v>
      </c>
      <c r="D83" s="23">
        <v>30.56816</v>
      </c>
      <c r="E83" s="23">
        <v>21.61677</v>
      </c>
      <c r="F83" s="23">
        <v>4974.44426</v>
      </c>
      <c r="G83" s="1" t="s">
        <v>9</v>
      </c>
    </row>
    <row r="84" ht="15.75" customHeight="1">
      <c r="A84" s="21" t="s">
        <v>133</v>
      </c>
      <c r="B84" s="22">
        <v>1259.0</v>
      </c>
      <c r="C84" s="23">
        <v>37.27249</v>
      </c>
      <c r="D84" s="23">
        <v>30.149</v>
      </c>
      <c r="E84" s="23">
        <v>21.60479</v>
      </c>
      <c r="F84" s="23">
        <v>4840.75186</v>
      </c>
      <c r="G84" s="1" t="s">
        <v>9</v>
      </c>
    </row>
    <row r="85" ht="15.75" customHeight="1">
      <c r="A85" s="21" t="s">
        <v>134</v>
      </c>
      <c r="B85" s="22">
        <v>1092.0</v>
      </c>
      <c r="C85" s="23">
        <v>37.29837</v>
      </c>
      <c r="D85" s="23">
        <v>29.70721</v>
      </c>
      <c r="E85" s="23">
        <v>21.02921</v>
      </c>
      <c r="F85" s="23">
        <v>4813.19154</v>
      </c>
      <c r="G85" s="1" t="s">
        <v>9</v>
      </c>
    </row>
    <row r="86" ht="15.75" customHeight="1">
      <c r="A86" s="21" t="s">
        <v>135</v>
      </c>
      <c r="B86" s="22">
        <v>1566.0</v>
      </c>
      <c r="C86" s="23">
        <v>30.01135</v>
      </c>
      <c r="D86" s="23">
        <v>23.21856</v>
      </c>
      <c r="E86" s="23">
        <v>16.65996</v>
      </c>
      <c r="F86" s="23">
        <v>3851.18955</v>
      </c>
      <c r="G86" s="1" t="s">
        <v>9</v>
      </c>
    </row>
    <row r="87" ht="15.75" customHeight="1">
      <c r="A87" s="21" t="s">
        <v>136</v>
      </c>
      <c r="B87" s="22">
        <v>1428.0</v>
      </c>
      <c r="C87" s="23">
        <v>36.38795</v>
      </c>
      <c r="D87" s="23">
        <v>28.4364</v>
      </c>
      <c r="E87" s="23">
        <v>20.5588</v>
      </c>
      <c r="F87" s="23">
        <v>4585.46683</v>
      </c>
      <c r="G87" s="1" t="s">
        <v>9</v>
      </c>
    </row>
    <row r="88" ht="15.75" customHeight="1">
      <c r="A88" s="21" t="s">
        <v>137</v>
      </c>
      <c r="B88" s="22">
        <v>1111.0</v>
      </c>
      <c r="C88" s="23">
        <v>21.57902</v>
      </c>
      <c r="D88" s="23">
        <v>17.17236</v>
      </c>
      <c r="E88" s="23">
        <v>12.3063</v>
      </c>
      <c r="F88" s="23">
        <v>2757.7541</v>
      </c>
      <c r="G88" s="1" t="s">
        <v>9</v>
      </c>
    </row>
    <row r="89" ht="15.75" customHeight="1">
      <c r="A89" s="21" t="s">
        <v>138</v>
      </c>
      <c r="B89" s="22">
        <v>1224.0</v>
      </c>
      <c r="C89" s="23">
        <v>39.1661</v>
      </c>
      <c r="D89" s="23">
        <v>31.4834</v>
      </c>
      <c r="E89" s="23">
        <v>22.51052</v>
      </c>
      <c r="F89" s="23">
        <v>5148.18506</v>
      </c>
      <c r="G89" s="1" t="s">
        <v>9</v>
      </c>
    </row>
    <row r="90" ht="15.75" customHeight="1">
      <c r="A90" s="21" t="s">
        <v>139</v>
      </c>
      <c r="B90" s="22">
        <v>1099.0</v>
      </c>
      <c r="C90" s="23">
        <v>37.64245</v>
      </c>
      <c r="D90" s="23">
        <v>29.91541</v>
      </c>
      <c r="E90" s="23">
        <v>21.65492</v>
      </c>
      <c r="F90" s="23">
        <v>4870.15149</v>
      </c>
      <c r="G90" s="1" t="s">
        <v>9</v>
      </c>
    </row>
    <row r="91" ht="15.75" customHeight="1">
      <c r="A91" s="21" t="s">
        <v>140</v>
      </c>
      <c r="B91" s="22">
        <v>1060.0</v>
      </c>
      <c r="C91" s="23">
        <v>25.56705</v>
      </c>
      <c r="D91" s="23">
        <v>20.01611</v>
      </c>
      <c r="E91" s="23">
        <v>14.12458</v>
      </c>
      <c r="F91" s="23">
        <v>3315.54148</v>
      </c>
      <c r="G91" s="1" t="s">
        <v>9</v>
      </c>
    </row>
    <row r="92" ht="15.75" customHeight="1">
      <c r="A92" s="21" t="s">
        <v>141</v>
      </c>
      <c r="B92" s="22">
        <v>1281.0</v>
      </c>
      <c r="C92" s="23">
        <v>39.24168</v>
      </c>
      <c r="D92" s="23">
        <v>29.77603</v>
      </c>
      <c r="E92" s="23">
        <v>21.58295</v>
      </c>
      <c r="F92" s="23">
        <v>4909.55106</v>
      </c>
      <c r="G92" s="1" t="s">
        <v>9</v>
      </c>
    </row>
    <row r="93" ht="15.75" customHeight="1">
      <c r="A93" s="21" t="s">
        <v>142</v>
      </c>
      <c r="B93" s="22">
        <v>1196.0</v>
      </c>
      <c r="C93" s="23">
        <v>38.24099</v>
      </c>
      <c r="D93" s="23">
        <v>27.8651</v>
      </c>
      <c r="E93" s="23">
        <v>21.07443</v>
      </c>
      <c r="F93" s="23">
        <v>4675.72749</v>
      </c>
      <c r="G93" s="1" t="s">
        <v>9</v>
      </c>
    </row>
    <row r="94" ht="15.75" customHeight="1">
      <c r="A94" s="21" t="s">
        <v>143</v>
      </c>
      <c r="B94" s="22">
        <v>963.0</v>
      </c>
      <c r="C94" s="23">
        <v>19.34455</v>
      </c>
      <c r="D94" s="23">
        <v>14.06192</v>
      </c>
      <c r="E94" s="23">
        <v>10.33324</v>
      </c>
      <c r="F94" s="23">
        <v>2423.28189</v>
      </c>
      <c r="G94" s="1" t="s">
        <v>9</v>
      </c>
    </row>
    <row r="95" ht="15.75" customHeight="1">
      <c r="A95" s="21" t="s">
        <v>144</v>
      </c>
      <c r="B95" s="22">
        <v>1104.0</v>
      </c>
      <c r="C95" s="23">
        <v>36.39019</v>
      </c>
      <c r="D95" s="23">
        <v>26.20175</v>
      </c>
      <c r="E95" s="23">
        <v>20.07888</v>
      </c>
      <c r="F95" s="23">
        <v>4467.9908</v>
      </c>
      <c r="G95" s="1" t="s">
        <v>9</v>
      </c>
    </row>
    <row r="96" ht="15.75" customHeight="1">
      <c r="A96" s="21" t="s">
        <v>145</v>
      </c>
      <c r="B96" s="22">
        <v>1140.0</v>
      </c>
      <c r="C96" s="23">
        <v>41.1368</v>
      </c>
      <c r="D96" s="23">
        <v>31.56282</v>
      </c>
      <c r="E96" s="23">
        <v>25.21382</v>
      </c>
      <c r="F96" s="23">
        <v>4946.06401</v>
      </c>
      <c r="G96" s="1" t="s">
        <v>9</v>
      </c>
    </row>
    <row r="97" ht="15.75" customHeight="1">
      <c r="A97" s="21" t="s">
        <v>146</v>
      </c>
      <c r="B97" s="22">
        <v>1165.0</v>
      </c>
      <c r="C97" s="23">
        <v>33.40594</v>
      </c>
      <c r="D97" s="23">
        <v>26.69805</v>
      </c>
      <c r="E97" s="23">
        <v>21.17843</v>
      </c>
      <c r="F97" s="23">
        <v>4089.09687</v>
      </c>
      <c r="G97" s="1" t="s">
        <v>9</v>
      </c>
    </row>
    <row r="98" ht="15.75" customHeight="1">
      <c r="A98" s="21" t="s">
        <v>147</v>
      </c>
      <c r="B98" s="22">
        <v>1577.0</v>
      </c>
      <c r="C98" s="23">
        <v>33.24233</v>
      </c>
      <c r="D98" s="23">
        <v>26.44452</v>
      </c>
      <c r="E98" s="23">
        <v>21.10216</v>
      </c>
      <c r="F98" s="23">
        <v>4108.98445</v>
      </c>
      <c r="G98" s="1" t="s">
        <v>9</v>
      </c>
    </row>
    <row r="99" ht="15.75" customHeight="1">
      <c r="A99" s="21" t="s">
        <v>148</v>
      </c>
      <c r="B99" s="22">
        <v>1297.0</v>
      </c>
      <c r="C99" s="23">
        <v>26.96528</v>
      </c>
      <c r="D99" s="23">
        <v>22.04451</v>
      </c>
      <c r="E99" s="23">
        <v>17.20925</v>
      </c>
      <c r="F99" s="23">
        <v>3298.80647</v>
      </c>
      <c r="G99" s="1" t="s">
        <v>9</v>
      </c>
    </row>
    <row r="100" ht="15.75" customHeight="1">
      <c r="A100" s="21" t="s">
        <v>149</v>
      </c>
      <c r="B100" s="22">
        <v>1078.0</v>
      </c>
      <c r="C100" s="23">
        <v>27.96083</v>
      </c>
      <c r="D100" s="23">
        <v>23.31166</v>
      </c>
      <c r="E100" s="23">
        <v>18.95286</v>
      </c>
      <c r="F100" s="23">
        <v>3347.52995</v>
      </c>
      <c r="G100" s="1" t="s">
        <v>9</v>
      </c>
    </row>
    <row r="101" ht="15.75" customHeight="1">
      <c r="A101" s="21" t="s">
        <v>150</v>
      </c>
      <c r="B101" s="22">
        <v>1253.0</v>
      </c>
      <c r="C101" s="23">
        <v>25.34603</v>
      </c>
      <c r="D101" s="23">
        <v>21.10979</v>
      </c>
      <c r="E101" s="23">
        <v>16.9406</v>
      </c>
      <c r="F101" s="23">
        <v>2930.7673</v>
      </c>
      <c r="G101" s="1" t="s">
        <v>9</v>
      </c>
    </row>
    <row r="102" ht="15.75" customHeight="1">
      <c r="A102" s="21" t="s">
        <v>151</v>
      </c>
      <c r="B102" s="22">
        <v>1131.0</v>
      </c>
      <c r="C102" s="23">
        <v>26.3581</v>
      </c>
      <c r="D102" s="23">
        <v>21.65922</v>
      </c>
      <c r="E102" s="23">
        <v>16.92253</v>
      </c>
      <c r="F102" s="23">
        <v>2943.22168</v>
      </c>
      <c r="G102" s="1" t="s">
        <v>9</v>
      </c>
    </row>
    <row r="103" ht="15.75" customHeight="1">
      <c r="A103" s="21" t="s">
        <v>152</v>
      </c>
      <c r="B103" s="22">
        <v>1205.0</v>
      </c>
      <c r="C103" s="23">
        <v>40.16854</v>
      </c>
      <c r="D103" s="23">
        <v>33.11271</v>
      </c>
      <c r="E103" s="23">
        <v>25.94917</v>
      </c>
      <c r="F103" s="23">
        <v>4424.60829</v>
      </c>
      <c r="G103" s="1" t="s">
        <v>9</v>
      </c>
    </row>
    <row r="104" ht="15.75" customHeight="1">
      <c r="A104" s="21" t="s">
        <v>153</v>
      </c>
      <c r="B104" s="22">
        <v>1318.0</v>
      </c>
      <c r="C104" s="23">
        <v>61.95217</v>
      </c>
      <c r="D104" s="23">
        <v>52.21806</v>
      </c>
      <c r="E104" s="23">
        <v>40.20978</v>
      </c>
      <c r="F104" s="23">
        <v>6637.55209</v>
      </c>
      <c r="G104" s="1" t="s">
        <v>9</v>
      </c>
    </row>
    <row r="105" ht="15.75" customHeight="1">
      <c r="A105" s="21" t="s">
        <v>154</v>
      </c>
      <c r="B105" s="22">
        <v>1234.0</v>
      </c>
      <c r="C105" s="23">
        <v>37.06483</v>
      </c>
      <c r="D105" s="23">
        <v>32.42938</v>
      </c>
      <c r="E105" s="23">
        <v>24.67707</v>
      </c>
      <c r="F105" s="23">
        <v>3979.62539</v>
      </c>
      <c r="G105" s="1" t="s">
        <v>9</v>
      </c>
    </row>
    <row r="106" ht="15.75" customHeight="1">
      <c r="A106" s="21" t="s">
        <v>155</v>
      </c>
      <c r="B106" s="22">
        <v>1164.0</v>
      </c>
      <c r="C106" s="23">
        <v>46.87346</v>
      </c>
      <c r="D106" s="23">
        <v>39.6705</v>
      </c>
      <c r="E106" s="23">
        <v>30.72844</v>
      </c>
      <c r="F106" s="23">
        <v>4836.21082</v>
      </c>
      <c r="G106" s="1" t="s">
        <v>9</v>
      </c>
    </row>
    <row r="107" ht="15.75" customHeight="1">
      <c r="A107" s="21" t="s">
        <v>156</v>
      </c>
      <c r="B107" s="22">
        <v>1248.0</v>
      </c>
      <c r="C107" s="23">
        <v>58.04156</v>
      </c>
      <c r="D107" s="23">
        <v>49.00489</v>
      </c>
      <c r="E107" s="23">
        <v>37.43042</v>
      </c>
      <c r="F107" s="23">
        <v>6112.8411</v>
      </c>
      <c r="G107" s="1" t="s">
        <v>9</v>
      </c>
    </row>
    <row r="108" ht="15.75" customHeight="1">
      <c r="A108" s="21" t="s">
        <v>157</v>
      </c>
      <c r="B108" s="22">
        <v>1302.0</v>
      </c>
      <c r="C108" s="23">
        <v>77.08813</v>
      </c>
      <c r="D108" s="23">
        <v>65.83215</v>
      </c>
      <c r="E108" s="23">
        <v>50.96086</v>
      </c>
      <c r="F108" s="23">
        <v>8193.84252</v>
      </c>
      <c r="G108" s="1" t="s">
        <v>9</v>
      </c>
    </row>
    <row r="109" ht="15.75" customHeight="1">
      <c r="A109" s="21" t="s">
        <v>158</v>
      </c>
      <c r="B109" s="22">
        <v>1287.0</v>
      </c>
      <c r="C109" s="23">
        <v>42.28245</v>
      </c>
      <c r="D109" s="23">
        <v>37.01686</v>
      </c>
      <c r="E109" s="23">
        <v>28.275</v>
      </c>
      <c r="F109" s="23">
        <v>4546.03926</v>
      </c>
      <c r="G109" s="1" t="s">
        <v>9</v>
      </c>
    </row>
    <row r="110" ht="15.75" customHeight="1">
      <c r="A110" s="21" t="s">
        <v>159</v>
      </c>
      <c r="B110" s="22">
        <v>1581.0</v>
      </c>
      <c r="C110" s="23">
        <v>47.74804</v>
      </c>
      <c r="D110" s="23">
        <v>41.33905</v>
      </c>
      <c r="E110" s="23">
        <v>31.92746</v>
      </c>
      <c r="F110" s="23">
        <v>5210.23866</v>
      </c>
      <c r="G110" s="1" t="s">
        <v>9</v>
      </c>
    </row>
    <row r="111" ht="15.75" customHeight="1">
      <c r="A111" s="21" t="s">
        <v>160</v>
      </c>
      <c r="B111" s="22">
        <v>1393.0</v>
      </c>
      <c r="C111" s="23">
        <v>43.79514</v>
      </c>
      <c r="D111" s="23">
        <v>38.38151</v>
      </c>
      <c r="E111" s="23">
        <v>29.04525</v>
      </c>
      <c r="F111" s="23">
        <v>4826.34455</v>
      </c>
      <c r="G111" s="1" t="s">
        <v>9</v>
      </c>
    </row>
    <row r="112" ht="15.75" customHeight="1">
      <c r="A112" s="21" t="s">
        <v>161</v>
      </c>
      <c r="B112" s="22">
        <v>1168.0</v>
      </c>
      <c r="C112" s="23">
        <v>29.27177</v>
      </c>
      <c r="D112" s="23">
        <v>25.85637</v>
      </c>
      <c r="E112" s="23">
        <v>19.65599</v>
      </c>
      <c r="F112" s="23">
        <v>3081.51861</v>
      </c>
      <c r="G112" s="1" t="s">
        <v>9</v>
      </c>
    </row>
    <row r="113" ht="15.75" customHeight="1">
      <c r="A113" s="21" t="s">
        <v>162</v>
      </c>
      <c r="B113" s="22">
        <v>1470.0</v>
      </c>
      <c r="C113" s="23">
        <v>40.68362</v>
      </c>
      <c r="D113" s="23">
        <v>35.45782</v>
      </c>
      <c r="E113" s="23">
        <v>27.16872</v>
      </c>
      <c r="F113" s="23">
        <v>4281.75937</v>
      </c>
      <c r="G113" s="1" t="s">
        <v>9</v>
      </c>
    </row>
    <row r="114" ht="15.75" customHeight="1">
      <c r="A114" s="21" t="s">
        <v>163</v>
      </c>
      <c r="B114" s="22">
        <v>1369.0</v>
      </c>
      <c r="C114" s="23">
        <v>38.84931</v>
      </c>
      <c r="D114" s="23">
        <v>33.27419</v>
      </c>
      <c r="E114" s="23">
        <v>25.80458</v>
      </c>
      <c r="F114" s="23">
        <v>3969.20238</v>
      </c>
      <c r="G114" s="1" t="s">
        <v>9</v>
      </c>
    </row>
    <row r="115" ht="15.75" customHeight="1">
      <c r="A115" s="21" t="s">
        <v>164</v>
      </c>
      <c r="B115" s="22">
        <v>1409.0</v>
      </c>
      <c r="C115" s="23">
        <v>47.30188</v>
      </c>
      <c r="D115" s="23">
        <v>40.25254</v>
      </c>
      <c r="E115" s="23">
        <v>31.28739</v>
      </c>
      <c r="F115" s="23">
        <v>4851.65351</v>
      </c>
      <c r="G115" s="1" t="s">
        <v>9</v>
      </c>
    </row>
    <row r="116" ht="15.75" customHeight="1">
      <c r="A116" s="21" t="s">
        <v>165</v>
      </c>
      <c r="B116" s="22">
        <v>1576.0</v>
      </c>
      <c r="C116" s="23">
        <v>62.37137</v>
      </c>
      <c r="D116" s="23">
        <v>52.63952</v>
      </c>
      <c r="E116" s="23">
        <v>40.8198</v>
      </c>
      <c r="F116" s="23">
        <v>6340.39999</v>
      </c>
      <c r="G116" s="1" t="s">
        <v>9</v>
      </c>
    </row>
    <row r="117" ht="15.75" customHeight="1">
      <c r="A117" s="21" t="s">
        <v>166</v>
      </c>
      <c r="B117" s="22">
        <v>1350.0</v>
      </c>
      <c r="C117" s="23">
        <v>57.47411</v>
      </c>
      <c r="D117" s="23">
        <v>47.1808</v>
      </c>
      <c r="E117" s="23">
        <v>37.21525</v>
      </c>
      <c r="F117" s="23">
        <v>5666.33526</v>
      </c>
      <c r="G117" s="1" t="s">
        <v>9</v>
      </c>
    </row>
    <row r="118" ht="15.75" customHeight="1">
      <c r="A118" s="21" t="s">
        <v>167</v>
      </c>
      <c r="B118" s="22">
        <v>1376.0</v>
      </c>
      <c r="C118" s="23">
        <v>63.89403</v>
      </c>
      <c r="D118" s="23">
        <v>52.7412</v>
      </c>
      <c r="E118" s="23">
        <v>41.49654</v>
      </c>
      <c r="F118" s="23">
        <v>6382.8244</v>
      </c>
      <c r="G118" s="1" t="s">
        <v>9</v>
      </c>
    </row>
    <row r="119" ht="15.75" customHeight="1">
      <c r="A119" s="21" t="s">
        <v>168</v>
      </c>
      <c r="B119" s="22">
        <v>1415.0</v>
      </c>
      <c r="C119" s="23">
        <v>45.9123</v>
      </c>
      <c r="D119" s="23">
        <v>37.25555</v>
      </c>
      <c r="E119" s="23">
        <v>29.30447</v>
      </c>
      <c r="F119" s="23">
        <v>4516.41116</v>
      </c>
      <c r="G119" s="1" t="s">
        <v>9</v>
      </c>
    </row>
    <row r="120" ht="15.75" customHeight="1">
      <c r="A120" s="21" t="s">
        <v>169</v>
      </c>
      <c r="B120" s="22">
        <v>1505.0</v>
      </c>
      <c r="C120" s="23">
        <v>65.07559</v>
      </c>
      <c r="D120" s="23">
        <v>52.47158</v>
      </c>
      <c r="E120" s="23">
        <v>41.10105</v>
      </c>
      <c r="F120" s="23">
        <v>6379.86944</v>
      </c>
      <c r="G120" s="1" t="s">
        <v>9</v>
      </c>
    </row>
    <row r="121" ht="15.75" customHeight="1">
      <c r="A121" s="21" t="s">
        <v>170</v>
      </c>
      <c r="B121" s="22">
        <v>1446.0</v>
      </c>
      <c r="C121" s="23">
        <v>65.63729</v>
      </c>
      <c r="D121" s="23">
        <v>53.08457</v>
      </c>
      <c r="E121" s="23">
        <v>41.40664</v>
      </c>
      <c r="F121" s="23">
        <v>6421.57025</v>
      </c>
      <c r="G121" s="1" t="s">
        <v>9</v>
      </c>
    </row>
    <row r="122" ht="15.75" customHeight="1">
      <c r="A122" s="21" t="s">
        <v>171</v>
      </c>
      <c r="B122" s="22">
        <v>1654.0</v>
      </c>
      <c r="C122" s="23">
        <v>66.04547</v>
      </c>
      <c r="D122" s="23">
        <v>54.39746</v>
      </c>
      <c r="E122" s="23">
        <v>42.26623</v>
      </c>
      <c r="F122" s="23">
        <v>6586.59065</v>
      </c>
      <c r="G122" s="1" t="s">
        <v>9</v>
      </c>
    </row>
    <row r="123" ht="15.75" customHeight="1">
      <c r="A123" s="21" t="s">
        <v>172</v>
      </c>
      <c r="B123" s="22">
        <v>1731.0</v>
      </c>
      <c r="C123" s="23">
        <v>60.55296</v>
      </c>
      <c r="D123" s="23">
        <v>48.59261</v>
      </c>
      <c r="E123" s="23">
        <v>38.4203</v>
      </c>
      <c r="F123" s="23">
        <v>5997.95467</v>
      </c>
      <c r="G123" s="1" t="s">
        <v>9</v>
      </c>
    </row>
    <row r="124" ht="15.75" customHeight="1">
      <c r="A124" s="21" t="s">
        <v>173</v>
      </c>
      <c r="B124" s="22">
        <v>1369.0</v>
      </c>
      <c r="C124" s="23">
        <v>49.72581</v>
      </c>
      <c r="D124" s="23">
        <v>39.70699</v>
      </c>
      <c r="E124" s="23">
        <v>31.54941</v>
      </c>
      <c r="F124" s="23">
        <v>4802.31026</v>
      </c>
      <c r="G124" s="1" t="s">
        <v>9</v>
      </c>
    </row>
    <row r="125" ht="15.75" customHeight="1">
      <c r="A125" s="21" t="s">
        <v>174</v>
      </c>
      <c r="B125" s="22">
        <v>1709.0</v>
      </c>
      <c r="C125" s="23">
        <v>94.09492</v>
      </c>
      <c r="D125" s="23">
        <v>73.13671</v>
      </c>
      <c r="E125" s="23">
        <v>59.13527</v>
      </c>
      <c r="F125" s="23">
        <v>8533.56106</v>
      </c>
      <c r="G125" s="1" t="s">
        <v>9</v>
      </c>
    </row>
    <row r="126" ht="15.75" customHeight="1">
      <c r="A126" s="21" t="s">
        <v>175</v>
      </c>
      <c r="B126" s="22">
        <v>1530.0</v>
      </c>
      <c r="C126" s="23">
        <v>97.20527</v>
      </c>
      <c r="D126" s="23">
        <v>80.27596</v>
      </c>
      <c r="E126" s="23">
        <v>60.77513</v>
      </c>
      <c r="F126" s="23">
        <v>8417.07614</v>
      </c>
      <c r="G126" s="1" t="s">
        <v>9</v>
      </c>
    </row>
    <row r="127" ht="15.75" customHeight="1">
      <c r="A127" s="21" t="s">
        <v>176</v>
      </c>
      <c r="B127" s="22">
        <v>1686.0</v>
      </c>
      <c r="C127" s="23">
        <v>61.24881</v>
      </c>
      <c r="D127" s="23">
        <v>47.19163</v>
      </c>
      <c r="E127" s="23">
        <v>38.54106</v>
      </c>
      <c r="F127" s="23">
        <v>5277.16718</v>
      </c>
      <c r="G127" s="1" t="s">
        <v>9</v>
      </c>
    </row>
    <row r="128" ht="15.75" customHeight="1">
      <c r="A128" s="21" t="s">
        <v>177</v>
      </c>
      <c r="B128" s="22">
        <v>1741.0</v>
      </c>
      <c r="C128" s="23">
        <v>85.80204</v>
      </c>
      <c r="D128" s="23">
        <v>65.81979</v>
      </c>
      <c r="E128" s="23">
        <v>53.81585</v>
      </c>
      <c r="F128" s="23">
        <v>7285.73148</v>
      </c>
      <c r="G128" s="1" t="s">
        <v>9</v>
      </c>
    </row>
    <row r="129" ht="15.75" customHeight="1">
      <c r="A129" s="21" t="s">
        <v>178</v>
      </c>
      <c r="B129" s="22">
        <v>1685.0</v>
      </c>
      <c r="C129" s="23">
        <v>97.19496</v>
      </c>
      <c r="D129" s="23">
        <v>73.20062</v>
      </c>
      <c r="E129" s="23">
        <v>61.04437</v>
      </c>
      <c r="F129" s="23">
        <v>8625.97104</v>
      </c>
      <c r="G129" s="1" t="s">
        <v>9</v>
      </c>
    </row>
    <row r="130" ht="15.75" customHeight="1">
      <c r="A130" s="21" t="s">
        <v>179</v>
      </c>
      <c r="B130" s="22">
        <v>1708.0</v>
      </c>
      <c r="C130" s="23">
        <v>132.14191</v>
      </c>
      <c r="D130" s="23">
        <v>101.93398</v>
      </c>
      <c r="E130" s="23">
        <v>84.1987</v>
      </c>
      <c r="F130" s="23">
        <v>12520.09048</v>
      </c>
      <c r="G130" s="1" t="s">
        <v>9</v>
      </c>
    </row>
    <row r="131" ht="15.75" customHeight="1">
      <c r="A131" s="21" t="s">
        <v>180</v>
      </c>
      <c r="B131" s="22">
        <v>1911.0</v>
      </c>
      <c r="C131" s="23">
        <v>90.80004</v>
      </c>
      <c r="D131" s="23">
        <v>70.74496</v>
      </c>
      <c r="E131" s="23">
        <v>58.22386</v>
      </c>
      <c r="F131" s="23">
        <v>9284.4946</v>
      </c>
      <c r="G131" s="1" t="s">
        <v>9</v>
      </c>
    </row>
    <row r="132" ht="15.75" customHeight="1">
      <c r="A132" s="21" t="s">
        <v>181</v>
      </c>
      <c r="B132" s="22">
        <v>1939.0</v>
      </c>
      <c r="C132" s="23">
        <v>94.92894</v>
      </c>
      <c r="D132" s="23">
        <v>73.38308</v>
      </c>
      <c r="E132" s="23">
        <v>60.27949</v>
      </c>
      <c r="F132" s="23">
        <v>9596.75562</v>
      </c>
      <c r="G132" s="1" t="s">
        <v>9</v>
      </c>
    </row>
    <row r="133" ht="15.75" customHeight="1">
      <c r="A133" s="21" t="s">
        <v>182</v>
      </c>
      <c r="B133" s="22">
        <v>1738.0</v>
      </c>
      <c r="C133" s="23">
        <v>106.06239</v>
      </c>
      <c r="D133" s="23">
        <v>81.86064</v>
      </c>
      <c r="E133" s="23">
        <v>67.97289</v>
      </c>
      <c r="F133" s="23">
        <v>10859.95022</v>
      </c>
      <c r="G133" s="1" t="s">
        <v>9</v>
      </c>
    </row>
    <row r="134" ht="15.75" customHeight="1">
      <c r="A134" s="21" t="s">
        <v>183</v>
      </c>
      <c r="B134" s="22">
        <v>1925.0</v>
      </c>
      <c r="C134" s="23">
        <v>72.96024</v>
      </c>
      <c r="D134" s="23">
        <v>57.29507</v>
      </c>
      <c r="E134" s="23">
        <v>47.22211</v>
      </c>
      <c r="F134" s="23">
        <v>7501.07247</v>
      </c>
      <c r="G134" s="1" t="s">
        <v>9</v>
      </c>
    </row>
    <row r="135" ht="15.75" customHeight="1">
      <c r="A135" s="21" t="s">
        <v>184</v>
      </c>
      <c r="B135" s="22">
        <v>2238.0</v>
      </c>
      <c r="C135" s="23">
        <v>86.0664</v>
      </c>
      <c r="D135" s="23">
        <v>68.4772</v>
      </c>
      <c r="E135" s="23">
        <v>55.85255</v>
      </c>
      <c r="F135" s="23">
        <v>9206.16456</v>
      </c>
      <c r="G135" s="1" t="s">
        <v>9</v>
      </c>
    </row>
    <row r="136" ht="15.75" customHeight="1">
      <c r="A136" s="21" t="s">
        <v>185</v>
      </c>
      <c r="B136" s="22">
        <v>1863.0</v>
      </c>
      <c r="C136" s="23">
        <v>92.15843</v>
      </c>
      <c r="D136" s="23">
        <v>72.98778</v>
      </c>
      <c r="E136" s="23">
        <v>59.70172</v>
      </c>
      <c r="F136" s="23">
        <v>9747.6234</v>
      </c>
      <c r="G136" s="1" t="s">
        <v>9</v>
      </c>
    </row>
    <row r="137" ht="15.75" customHeight="1">
      <c r="A137" s="21" t="s">
        <v>186</v>
      </c>
      <c r="B137" s="22">
        <v>2094.0</v>
      </c>
      <c r="C137" s="23">
        <v>101.24431</v>
      </c>
      <c r="D137" s="23">
        <v>80.46378</v>
      </c>
      <c r="E137" s="23">
        <v>66.15033</v>
      </c>
      <c r="F137" s="23">
        <v>10739.40075</v>
      </c>
      <c r="G137" s="1" t="s">
        <v>9</v>
      </c>
    </row>
    <row r="138" ht="15.75" customHeight="1">
      <c r="A138" s="21" t="s">
        <v>187</v>
      </c>
      <c r="B138" s="22">
        <v>1971.0</v>
      </c>
      <c r="C138" s="23">
        <v>134.80798</v>
      </c>
      <c r="D138" s="23">
        <v>107.67557</v>
      </c>
      <c r="E138" s="23">
        <v>88.45597</v>
      </c>
      <c r="F138" s="23">
        <v>14478.58424</v>
      </c>
      <c r="G138" s="1" t="s">
        <v>9</v>
      </c>
    </row>
    <row r="139" ht="15.75" customHeight="1">
      <c r="A139" s="21" t="s">
        <v>188</v>
      </c>
      <c r="B139" s="22">
        <v>2070.0</v>
      </c>
      <c r="C139" s="23">
        <v>85.08106</v>
      </c>
      <c r="D139" s="23">
        <v>68.72983</v>
      </c>
      <c r="E139" s="23">
        <v>55.78668</v>
      </c>
      <c r="F139" s="23">
        <v>9076.4484</v>
      </c>
      <c r="G139" s="1" t="s">
        <v>9</v>
      </c>
    </row>
    <row r="140" ht="15.75" customHeight="1">
      <c r="A140" s="21" t="s">
        <v>189</v>
      </c>
      <c r="B140" s="22">
        <v>2114.0</v>
      </c>
      <c r="C140" s="23">
        <v>84.00383</v>
      </c>
      <c r="D140" s="23">
        <v>67.43389</v>
      </c>
      <c r="E140" s="23">
        <v>54.41429</v>
      </c>
      <c r="F140" s="23">
        <v>9164.71539</v>
      </c>
      <c r="G140" s="1" t="s">
        <v>9</v>
      </c>
    </row>
    <row r="141" ht="15.75" customHeight="1">
      <c r="A141" s="21" t="s">
        <v>190</v>
      </c>
      <c r="B141" s="22">
        <v>2333.0</v>
      </c>
      <c r="C141" s="23">
        <v>71.73172</v>
      </c>
      <c r="D141" s="23">
        <v>56.8765</v>
      </c>
      <c r="E141" s="23">
        <v>46.18254</v>
      </c>
      <c r="F141" s="23">
        <v>7828.40057</v>
      </c>
      <c r="G141" s="1" t="s">
        <v>9</v>
      </c>
    </row>
    <row r="142" ht="15.75" customHeight="1">
      <c r="A142" s="21" t="s">
        <v>191</v>
      </c>
      <c r="B142" s="22">
        <v>1872.0</v>
      </c>
      <c r="C142" s="23">
        <v>100.60239</v>
      </c>
      <c r="D142" s="23">
        <v>79.2685</v>
      </c>
      <c r="E142" s="23">
        <v>64.75036</v>
      </c>
      <c r="F142" s="23">
        <v>10871.20826</v>
      </c>
      <c r="G142" s="1" t="s">
        <v>9</v>
      </c>
    </row>
    <row r="143" ht="15.75" customHeight="1">
      <c r="A143" s="21" t="s">
        <v>192</v>
      </c>
      <c r="B143" s="22">
        <v>1963.0</v>
      </c>
      <c r="C143" s="23">
        <v>87.36734</v>
      </c>
      <c r="D143" s="23">
        <v>69.4551</v>
      </c>
      <c r="E143" s="23">
        <v>55.96323</v>
      </c>
      <c r="F143" s="23">
        <v>9637.39322</v>
      </c>
      <c r="G143" s="1" t="s">
        <v>9</v>
      </c>
    </row>
    <row r="144" ht="15.75" customHeight="1">
      <c r="A144" s="21" t="s">
        <v>193</v>
      </c>
      <c r="B144" s="22">
        <v>2159.0</v>
      </c>
      <c r="C144" s="23">
        <v>142.68237</v>
      </c>
      <c r="D144" s="23">
        <v>114.36516</v>
      </c>
      <c r="E144" s="23">
        <v>89.71055</v>
      </c>
      <c r="F144" s="23">
        <v>16060.05246</v>
      </c>
      <c r="G144" s="1" t="s">
        <v>9</v>
      </c>
    </row>
    <row r="145" ht="15.75" customHeight="1">
      <c r="A145" s="21" t="s">
        <v>194</v>
      </c>
      <c r="B145" s="22">
        <v>1936.0</v>
      </c>
      <c r="C145" s="23">
        <v>117.05595</v>
      </c>
      <c r="D145" s="23">
        <v>92.72995</v>
      </c>
      <c r="E145" s="23">
        <v>71.06556</v>
      </c>
      <c r="F145" s="23">
        <v>13252.23701</v>
      </c>
      <c r="G145" s="1" t="s">
        <v>9</v>
      </c>
    </row>
    <row r="146" ht="15.75" customHeight="1">
      <c r="A146" s="21" t="s">
        <v>195</v>
      </c>
      <c r="B146" s="22">
        <v>2092.0</v>
      </c>
      <c r="C146" s="23">
        <v>118.9471</v>
      </c>
      <c r="D146" s="23">
        <v>96.1686</v>
      </c>
      <c r="E146" s="23">
        <v>71.73088</v>
      </c>
      <c r="F146" s="23">
        <v>13644.45415</v>
      </c>
      <c r="G146" s="1" t="s">
        <v>9</v>
      </c>
    </row>
    <row r="147" ht="15.75" customHeight="1">
      <c r="A147" s="21" t="s">
        <v>196</v>
      </c>
      <c r="B147" s="22">
        <v>2179.0</v>
      </c>
      <c r="C147" s="23">
        <v>132.63956</v>
      </c>
      <c r="D147" s="23">
        <v>109.51919</v>
      </c>
      <c r="E147" s="23">
        <v>80.27392</v>
      </c>
      <c r="F147" s="23">
        <v>15647.38079</v>
      </c>
      <c r="G147" s="1" t="s">
        <v>9</v>
      </c>
    </row>
    <row r="148" ht="15.75" customHeight="1">
      <c r="A148" s="21" t="s">
        <v>197</v>
      </c>
      <c r="B148" s="22">
        <v>1787.0</v>
      </c>
      <c r="C148" s="23">
        <v>111.34888</v>
      </c>
      <c r="D148" s="23">
        <v>95.59246</v>
      </c>
      <c r="E148" s="23">
        <v>68.50151</v>
      </c>
      <c r="F148" s="23">
        <v>13672.94696</v>
      </c>
      <c r="G148" s="1" t="s">
        <v>9</v>
      </c>
    </row>
    <row r="149" ht="15.75" customHeight="1">
      <c r="A149" s="21" t="s">
        <v>198</v>
      </c>
      <c r="B149" s="22">
        <v>2045.0</v>
      </c>
      <c r="C149" s="23">
        <v>117.06586</v>
      </c>
      <c r="D149" s="23">
        <v>100.60166</v>
      </c>
      <c r="E149" s="23">
        <v>73.03575</v>
      </c>
      <c r="F149" s="23">
        <v>14382.36551</v>
      </c>
      <c r="G149" s="1" t="s">
        <v>9</v>
      </c>
    </row>
    <row r="150" ht="15.75" customHeight="1">
      <c r="A150" s="21" t="s">
        <v>199</v>
      </c>
      <c r="B150" s="22">
        <v>2042.0</v>
      </c>
      <c r="C150" s="23">
        <v>97.18043</v>
      </c>
      <c r="D150" s="23">
        <v>84.83405</v>
      </c>
      <c r="E150" s="23">
        <v>59.65783</v>
      </c>
      <c r="F150" s="23">
        <v>12211.52207</v>
      </c>
      <c r="G150" s="1" t="s">
        <v>9</v>
      </c>
    </row>
    <row r="151" ht="15.75" customHeight="1">
      <c r="A151" s="21" t="s">
        <v>200</v>
      </c>
      <c r="B151" s="22">
        <v>1967.0</v>
      </c>
      <c r="C151" s="23">
        <v>158.46301</v>
      </c>
      <c r="D151" s="23">
        <v>138.9556</v>
      </c>
      <c r="E151" s="23">
        <v>97.21983</v>
      </c>
      <c r="F151" s="23">
        <v>18984.18553</v>
      </c>
      <c r="G151" s="1" t="s">
        <v>9</v>
      </c>
    </row>
    <row r="152" ht="15.75" customHeight="1">
      <c r="A152" s="21" t="s">
        <v>201</v>
      </c>
      <c r="B152" s="22">
        <v>2186.0</v>
      </c>
      <c r="C152" s="23">
        <v>136.19794</v>
      </c>
      <c r="D152" s="23">
        <v>120.8793</v>
      </c>
      <c r="E152" s="23">
        <v>82.59678</v>
      </c>
      <c r="F152" s="23">
        <v>15751.45345</v>
      </c>
      <c r="G152" s="1" t="s">
        <v>9</v>
      </c>
    </row>
    <row r="153" ht="15.75" customHeight="1">
      <c r="A153" s="21" t="s">
        <v>202</v>
      </c>
      <c r="B153" s="22">
        <v>2523.0</v>
      </c>
      <c r="C153" s="23">
        <v>148.22885</v>
      </c>
      <c r="D153" s="23">
        <v>134.50308</v>
      </c>
      <c r="E153" s="23">
        <v>89.15352</v>
      </c>
      <c r="F153" s="23">
        <v>17302.95353</v>
      </c>
      <c r="G153" s="1" t="s">
        <v>9</v>
      </c>
    </row>
    <row r="154" ht="15.75" customHeight="1">
      <c r="A154" s="21" t="s">
        <v>203</v>
      </c>
      <c r="B154" s="22">
        <v>2154.0</v>
      </c>
      <c r="C154" s="23">
        <v>133.30462</v>
      </c>
      <c r="D154" s="23">
        <v>123.81178</v>
      </c>
      <c r="E154" s="23">
        <v>83.05706</v>
      </c>
      <c r="F154" s="23">
        <v>15716.51773</v>
      </c>
      <c r="G154" s="1" t="s">
        <v>9</v>
      </c>
    </row>
    <row r="155" ht="15.75" customHeight="1">
      <c r="A155" s="21" t="s">
        <v>204</v>
      </c>
      <c r="B155" s="22">
        <v>2424.0</v>
      </c>
      <c r="C155" s="23">
        <v>157.22253</v>
      </c>
      <c r="D155" s="23">
        <v>143.03696</v>
      </c>
      <c r="E155" s="23">
        <v>97.87094</v>
      </c>
      <c r="F155" s="23">
        <v>19036.71948</v>
      </c>
      <c r="G155" s="1" t="s">
        <v>9</v>
      </c>
    </row>
    <row r="156" ht="15.75" customHeight="1">
      <c r="A156" s="21" t="s">
        <v>205</v>
      </c>
      <c r="B156" s="22">
        <v>2439.0</v>
      </c>
      <c r="C156" s="23">
        <v>317.63827</v>
      </c>
      <c r="D156" s="23">
        <v>275.19041</v>
      </c>
      <c r="E156" s="23">
        <v>194.54608</v>
      </c>
      <c r="F156" s="23">
        <v>38510.6744</v>
      </c>
      <c r="G156" s="1" t="s">
        <v>9</v>
      </c>
    </row>
    <row r="157" ht="15.75" customHeight="1">
      <c r="A157" s="21" t="s">
        <v>206</v>
      </c>
      <c r="B157" s="22">
        <v>2100.0</v>
      </c>
      <c r="C157" s="23">
        <v>147.76165</v>
      </c>
      <c r="D157" s="23">
        <v>129.94132</v>
      </c>
      <c r="E157" s="23">
        <v>87.85977</v>
      </c>
      <c r="F157" s="23">
        <v>18578.89746</v>
      </c>
      <c r="G157" s="1" t="s">
        <v>9</v>
      </c>
    </row>
    <row r="158" ht="15.75" customHeight="1">
      <c r="A158" s="21" t="s">
        <v>207</v>
      </c>
      <c r="B158" s="22">
        <v>2662.0</v>
      </c>
      <c r="C158" s="23">
        <v>172.08054</v>
      </c>
      <c r="D158" s="23">
        <v>154.30872</v>
      </c>
      <c r="E158" s="23">
        <v>104.10002</v>
      </c>
      <c r="F158" s="23">
        <v>22300.24185</v>
      </c>
      <c r="G158" s="1" t="s">
        <v>9</v>
      </c>
    </row>
    <row r="159" ht="15.75" customHeight="1">
      <c r="A159" s="21" t="s">
        <v>208</v>
      </c>
      <c r="B159" s="22">
        <v>2517.0</v>
      </c>
      <c r="C159" s="23">
        <v>175.3437</v>
      </c>
      <c r="D159" s="23">
        <v>160.71895</v>
      </c>
      <c r="E159" s="23">
        <v>106.61979</v>
      </c>
      <c r="F159" s="23">
        <v>22673.43577</v>
      </c>
      <c r="G159" s="1" t="s">
        <v>9</v>
      </c>
    </row>
    <row r="160" ht="15.75" customHeight="1">
      <c r="A160" s="21" t="s">
        <v>209</v>
      </c>
      <c r="B160" s="22">
        <v>2053.0</v>
      </c>
      <c r="C160" s="23">
        <v>145.47476</v>
      </c>
      <c r="D160" s="23">
        <v>133.24248</v>
      </c>
      <c r="E160" s="23">
        <v>88.68393</v>
      </c>
      <c r="F160" s="23">
        <v>18397.84138</v>
      </c>
      <c r="G160" s="1" t="s">
        <v>9</v>
      </c>
    </row>
    <row r="161" ht="15.75" customHeight="1">
      <c r="A161" s="21" t="s">
        <v>210</v>
      </c>
      <c r="B161" s="22">
        <v>2643.0</v>
      </c>
      <c r="C161" s="23">
        <v>210.75228</v>
      </c>
      <c r="D161" s="23">
        <v>194.1598</v>
      </c>
      <c r="E161" s="23">
        <v>127.14471</v>
      </c>
      <c r="F161" s="23">
        <v>27462.90384</v>
      </c>
      <c r="G161" s="1" t="s">
        <v>9</v>
      </c>
    </row>
    <row r="162" ht="15.75" customHeight="1">
      <c r="A162" s="21" t="s">
        <v>211</v>
      </c>
      <c r="B162" s="22">
        <v>2607.0</v>
      </c>
      <c r="C162" s="23">
        <v>372.56647</v>
      </c>
      <c r="D162" s="23">
        <v>340.69707</v>
      </c>
      <c r="E162" s="23">
        <v>223.45461</v>
      </c>
      <c r="F162" s="23">
        <v>49230.84815</v>
      </c>
      <c r="G162" s="1" t="s">
        <v>9</v>
      </c>
    </row>
    <row r="163" ht="15.75" customHeight="1">
      <c r="A163" s="21" t="s">
        <v>212</v>
      </c>
      <c r="B163" s="22">
        <v>2564.0</v>
      </c>
      <c r="C163" s="23">
        <v>300.76472</v>
      </c>
      <c r="D163" s="23">
        <v>271.41061</v>
      </c>
      <c r="E163" s="23">
        <v>183.53658</v>
      </c>
      <c r="F163" s="23">
        <v>40475.58915</v>
      </c>
      <c r="G163" s="1" t="s">
        <v>9</v>
      </c>
    </row>
    <row r="164" ht="15.75" customHeight="1">
      <c r="A164" s="21" t="s">
        <v>213</v>
      </c>
      <c r="B164" s="22">
        <v>2678.0</v>
      </c>
      <c r="C164" s="23">
        <v>317.2196</v>
      </c>
      <c r="D164" s="23">
        <v>287.7773</v>
      </c>
      <c r="E164" s="23">
        <v>192.02786</v>
      </c>
      <c r="F164" s="23">
        <v>44389.4326</v>
      </c>
      <c r="G164" s="1" t="s">
        <v>9</v>
      </c>
    </row>
    <row r="165" ht="15.75" customHeight="1">
      <c r="A165" s="21" t="s">
        <v>214</v>
      </c>
      <c r="B165" s="22">
        <v>2766.0</v>
      </c>
      <c r="C165" s="23">
        <v>221.15304</v>
      </c>
      <c r="D165" s="23">
        <v>200.5259</v>
      </c>
      <c r="E165" s="23">
        <v>134.07613</v>
      </c>
      <c r="F165" s="23">
        <v>31059.97873</v>
      </c>
      <c r="G165" s="1" t="s">
        <v>9</v>
      </c>
    </row>
    <row r="166" ht="15.75" customHeight="1">
      <c r="A166" s="21" t="s">
        <v>215</v>
      </c>
      <c r="B166" s="22">
        <v>2471.0</v>
      </c>
      <c r="C166" s="23">
        <v>201.79963</v>
      </c>
      <c r="D166" s="23">
        <v>182.50617</v>
      </c>
      <c r="E166" s="23">
        <v>123.55386</v>
      </c>
      <c r="F166" s="23">
        <v>44356.12635</v>
      </c>
      <c r="G166" s="1" t="s">
        <v>9</v>
      </c>
    </row>
    <row r="167" ht="15.75" customHeight="1">
      <c r="A167" s="21" t="s">
        <v>216</v>
      </c>
      <c r="B167" s="22">
        <v>2554.0</v>
      </c>
      <c r="C167" s="23">
        <v>120.27125</v>
      </c>
      <c r="D167" s="23">
        <v>104.12988</v>
      </c>
      <c r="E167" s="23">
        <v>71.41631</v>
      </c>
      <c r="F167" s="23">
        <v>16164.89547</v>
      </c>
      <c r="G167" s="1" t="s">
        <v>9</v>
      </c>
    </row>
    <row r="168" ht="15.75" customHeight="1">
      <c r="A168" s="21" t="s">
        <v>217</v>
      </c>
      <c r="B168" s="22">
        <v>2366.0</v>
      </c>
      <c r="C168" s="23">
        <v>136.62404</v>
      </c>
      <c r="D168" s="23">
        <v>114.09567</v>
      </c>
      <c r="E168" s="23">
        <v>80.74637</v>
      </c>
      <c r="F168" s="23">
        <v>16277.19278</v>
      </c>
      <c r="G168" s="1" t="s">
        <v>9</v>
      </c>
    </row>
    <row r="169" ht="15.75" customHeight="1">
      <c r="A169" s="21" t="s">
        <v>218</v>
      </c>
      <c r="B169" s="22">
        <v>2305.0</v>
      </c>
      <c r="C169" s="23">
        <v>199.66951</v>
      </c>
      <c r="D169" s="23">
        <v>172.91545</v>
      </c>
      <c r="E169" s="23">
        <v>120.36599</v>
      </c>
      <c r="F169" s="23">
        <v>24031.05173</v>
      </c>
      <c r="G169" s="1" t="s">
        <v>9</v>
      </c>
    </row>
    <row r="170" ht="15.75" customHeight="1">
      <c r="A170" s="21" t="s">
        <v>219</v>
      </c>
      <c r="B170" s="22">
        <v>2835.0</v>
      </c>
      <c r="C170" s="23">
        <v>277.54397</v>
      </c>
      <c r="D170" s="23">
        <v>238.55138</v>
      </c>
      <c r="E170" s="23">
        <v>166.84646</v>
      </c>
      <c r="F170" s="23">
        <v>33236.61543</v>
      </c>
      <c r="G170" s="1" t="s">
        <v>9</v>
      </c>
    </row>
    <row r="171" ht="15.75" customHeight="1">
      <c r="A171" s="21" t="s">
        <v>220</v>
      </c>
      <c r="B171" s="22">
        <v>2739.0</v>
      </c>
      <c r="C171" s="23">
        <v>252.38791</v>
      </c>
      <c r="D171" s="23">
        <v>219.0733</v>
      </c>
      <c r="E171" s="23">
        <v>153.0164</v>
      </c>
      <c r="F171" s="23">
        <v>28645.33766</v>
      </c>
      <c r="G171" s="1" t="s">
        <v>9</v>
      </c>
    </row>
    <row r="172" ht="15.75" customHeight="1">
      <c r="A172" s="21" t="s">
        <v>221</v>
      </c>
      <c r="B172" s="22">
        <v>2434.0</v>
      </c>
      <c r="C172" s="23">
        <v>235.66576</v>
      </c>
      <c r="D172" s="23">
        <v>214.12229</v>
      </c>
      <c r="E172" s="23">
        <v>145.23895</v>
      </c>
      <c r="F172" s="23">
        <v>27879.31796</v>
      </c>
      <c r="G172" s="1" t="s">
        <v>9</v>
      </c>
    </row>
    <row r="173" ht="15.75" customHeight="1">
      <c r="A173" s="21" t="s">
        <v>222</v>
      </c>
      <c r="B173" s="22">
        <v>3032.0</v>
      </c>
      <c r="C173" s="23">
        <v>399.08832</v>
      </c>
      <c r="D173" s="23">
        <v>368.31823</v>
      </c>
      <c r="E173" s="23">
        <v>246.85158</v>
      </c>
      <c r="F173" s="23">
        <v>47546.48091</v>
      </c>
      <c r="G173" s="1" t="s">
        <v>9</v>
      </c>
    </row>
    <row r="174" ht="15.75" customHeight="1">
      <c r="A174" s="21" t="s">
        <v>223</v>
      </c>
      <c r="B174" s="22">
        <v>2653.0</v>
      </c>
      <c r="C174" s="23">
        <v>351.83391</v>
      </c>
      <c r="D174" s="23">
        <v>328.52232</v>
      </c>
      <c r="E174" s="23">
        <v>218.02001</v>
      </c>
      <c r="F174" s="23">
        <v>41955.81732</v>
      </c>
      <c r="G174" s="1" t="s">
        <v>9</v>
      </c>
    </row>
    <row r="175" ht="15.75" customHeight="1">
      <c r="A175" s="21" t="s">
        <v>224</v>
      </c>
      <c r="B175" s="22">
        <v>2636.0</v>
      </c>
      <c r="C175" s="23">
        <v>306.42827</v>
      </c>
      <c r="D175" s="23">
        <v>289.05644</v>
      </c>
      <c r="E175" s="23">
        <v>190.01764</v>
      </c>
      <c r="F175" s="23">
        <v>37307.8991</v>
      </c>
      <c r="G175" s="1" t="s">
        <v>9</v>
      </c>
    </row>
    <row r="176" ht="15.75" customHeight="1">
      <c r="A176" s="21" t="s">
        <v>225</v>
      </c>
      <c r="B176" s="22">
        <v>2992.0</v>
      </c>
      <c r="C176" s="23">
        <v>316.52783</v>
      </c>
      <c r="D176" s="23">
        <v>301.93316</v>
      </c>
      <c r="E176" s="23">
        <v>197.42782</v>
      </c>
      <c r="F176" s="23">
        <v>37973.4489</v>
      </c>
      <c r="G176" s="1" t="s">
        <v>9</v>
      </c>
    </row>
    <row r="177" ht="15.75" customHeight="1">
      <c r="A177" s="21" t="s">
        <v>226</v>
      </c>
      <c r="B177" s="22">
        <v>2804.0</v>
      </c>
      <c r="C177" s="23">
        <v>282.29296</v>
      </c>
      <c r="D177" s="23">
        <v>272.80446</v>
      </c>
      <c r="E177" s="23">
        <v>178.54515</v>
      </c>
      <c r="F177" s="23">
        <v>33102.13914</v>
      </c>
      <c r="G177" s="1" t="s">
        <v>9</v>
      </c>
    </row>
    <row r="178" ht="15.75" customHeight="1">
      <c r="A178" s="21" t="s">
        <v>227</v>
      </c>
      <c r="B178" s="22">
        <v>2490.0</v>
      </c>
      <c r="C178" s="23">
        <v>312.21695</v>
      </c>
      <c r="D178" s="23">
        <v>298.72322</v>
      </c>
      <c r="E178" s="23">
        <v>194.58627</v>
      </c>
      <c r="F178" s="23">
        <v>34560.80625</v>
      </c>
      <c r="G178" s="1" t="s">
        <v>9</v>
      </c>
    </row>
    <row r="179" ht="15.75" customHeight="1">
      <c r="A179" s="21" t="s">
        <v>228</v>
      </c>
      <c r="B179" s="22">
        <v>2840.0</v>
      </c>
      <c r="C179" s="23">
        <v>344.1267</v>
      </c>
      <c r="D179" s="23">
        <v>332.5349</v>
      </c>
      <c r="E179" s="23">
        <v>212.8447</v>
      </c>
      <c r="F179" s="23">
        <v>36968.52859</v>
      </c>
      <c r="G179" s="1" t="s">
        <v>9</v>
      </c>
    </row>
    <row r="180" ht="15.75" customHeight="1">
      <c r="A180" s="21" t="s">
        <v>229</v>
      </c>
      <c r="B180" s="22">
        <v>2674.0</v>
      </c>
      <c r="C180" s="23">
        <v>406.35615</v>
      </c>
      <c r="D180" s="23">
        <v>389.09031</v>
      </c>
      <c r="E180" s="23">
        <v>247.78008</v>
      </c>
      <c r="F180" s="23">
        <v>43011.2377</v>
      </c>
      <c r="G180" s="1" t="s">
        <v>9</v>
      </c>
    </row>
    <row r="181" ht="15.75" customHeight="1">
      <c r="A181" s="21" t="s">
        <v>230</v>
      </c>
      <c r="B181" s="22">
        <v>2866.0</v>
      </c>
      <c r="C181" s="23">
        <v>565.72188</v>
      </c>
      <c r="D181" s="23">
        <v>556.99612</v>
      </c>
      <c r="E181" s="23">
        <v>349.52615</v>
      </c>
      <c r="F181" s="23">
        <v>60461.29002</v>
      </c>
      <c r="G181" s="1" t="s">
        <v>9</v>
      </c>
    </row>
    <row r="182" ht="15.75" customHeight="1">
      <c r="A182" s="21" t="s">
        <v>231</v>
      </c>
      <c r="B182" s="22">
        <v>3113.0</v>
      </c>
      <c r="C182" s="23">
        <v>346.73641</v>
      </c>
      <c r="D182" s="23">
        <v>344.67389</v>
      </c>
      <c r="E182" s="23">
        <v>216.16426</v>
      </c>
      <c r="F182" s="23">
        <v>35813.5047</v>
      </c>
      <c r="G182" s="1" t="s">
        <v>9</v>
      </c>
    </row>
    <row r="183" ht="15.75" customHeight="1">
      <c r="A183" s="21" t="s">
        <v>232</v>
      </c>
      <c r="B183" s="22">
        <v>3191.0</v>
      </c>
      <c r="C183" s="23">
        <v>508.00298</v>
      </c>
      <c r="D183" s="23">
        <v>506.41304</v>
      </c>
      <c r="E183" s="23">
        <v>312.6945</v>
      </c>
      <c r="F183" s="23">
        <v>53804.36098</v>
      </c>
      <c r="G183" s="1" t="s">
        <v>9</v>
      </c>
    </row>
    <row r="184" ht="15.75" customHeight="1">
      <c r="A184" s="21" t="s">
        <v>233</v>
      </c>
      <c r="B184" s="22">
        <v>3533.0</v>
      </c>
      <c r="C184" s="23">
        <v>334.30848</v>
      </c>
      <c r="D184" s="23">
        <v>340.84506</v>
      </c>
      <c r="E184" s="23">
        <v>209.43456</v>
      </c>
      <c r="F184" s="23">
        <v>36597.77631</v>
      </c>
      <c r="G184" s="1" t="s">
        <v>9</v>
      </c>
    </row>
    <row r="185" ht="15.75" customHeight="1">
      <c r="A185" s="21" t="s">
        <v>234</v>
      </c>
      <c r="B185" s="22">
        <v>4045.0</v>
      </c>
      <c r="C185" s="23">
        <v>417.91372</v>
      </c>
      <c r="D185" s="23">
        <v>437.72555</v>
      </c>
      <c r="E185" s="23">
        <v>266.5776</v>
      </c>
      <c r="F185" s="23">
        <v>44659.16427</v>
      </c>
      <c r="G185" s="1" t="s">
        <v>9</v>
      </c>
    </row>
    <row r="186" ht="15.75" customHeight="1">
      <c r="A186" s="21" t="s">
        <v>235</v>
      </c>
      <c r="B186" s="22">
        <v>3125.0</v>
      </c>
      <c r="C186" s="23">
        <v>231.44335</v>
      </c>
      <c r="D186" s="23">
        <v>244.87833</v>
      </c>
      <c r="E186" s="23">
        <v>147.67341</v>
      </c>
      <c r="F186" s="23">
        <v>24477.77903</v>
      </c>
      <c r="G186" s="1" t="s">
        <v>9</v>
      </c>
    </row>
    <row r="187" ht="15.75" customHeight="1">
      <c r="A187" s="21" t="s">
        <v>236</v>
      </c>
      <c r="B187" s="22">
        <v>3532.0</v>
      </c>
      <c r="C187" s="23">
        <v>269.74613</v>
      </c>
      <c r="D187" s="23">
        <v>296.98928</v>
      </c>
      <c r="E187" s="23">
        <v>179.12787</v>
      </c>
      <c r="F187" s="23">
        <v>29229.38646</v>
      </c>
      <c r="G187" s="1" t="s">
        <v>9</v>
      </c>
    </row>
    <row r="188" ht="15.75" customHeight="1">
      <c r="A188" s="21" t="s">
        <v>237</v>
      </c>
      <c r="B188" s="22">
        <v>3476.0</v>
      </c>
      <c r="C188" s="23">
        <v>300.90849</v>
      </c>
      <c r="D188" s="23">
        <v>315.69107</v>
      </c>
      <c r="E188" s="23">
        <v>198.35347</v>
      </c>
      <c r="F188" s="23">
        <v>31949.07998</v>
      </c>
      <c r="G188" s="1" t="s">
        <v>9</v>
      </c>
    </row>
    <row r="189" ht="15.75" customHeight="1">
      <c r="A189" s="21" t="s">
        <v>238</v>
      </c>
      <c r="B189" s="22">
        <v>3230.0</v>
      </c>
      <c r="C189" s="23">
        <v>323.28506</v>
      </c>
      <c r="D189" s="23">
        <v>343.02195</v>
      </c>
      <c r="E189" s="23">
        <v>212.62892</v>
      </c>
      <c r="F189" s="23">
        <v>35007.44367</v>
      </c>
      <c r="G189" s="1" t="s">
        <v>9</v>
      </c>
    </row>
    <row r="190" ht="15.75" customHeight="1">
      <c r="A190" s="21" t="s">
        <v>239</v>
      </c>
      <c r="B190" s="22">
        <v>3117.0</v>
      </c>
      <c r="C190" s="23">
        <v>228.43481</v>
      </c>
      <c r="D190" s="23">
        <v>252.22227</v>
      </c>
      <c r="E190" s="23">
        <v>153.52346</v>
      </c>
      <c r="F190" s="23">
        <v>24759.23266</v>
      </c>
      <c r="G190" s="1" t="s">
        <v>9</v>
      </c>
    </row>
    <row r="191" ht="15.75" customHeight="1">
      <c r="A191" s="21" t="s">
        <v>240</v>
      </c>
      <c r="B191" s="22">
        <v>3313.0</v>
      </c>
      <c r="C191" s="23">
        <v>261.55371</v>
      </c>
      <c r="D191" s="23">
        <v>298.5257</v>
      </c>
      <c r="E191" s="23">
        <v>181.87874</v>
      </c>
      <c r="F191" s="23">
        <v>28208.14844</v>
      </c>
      <c r="G191" s="1" t="s">
        <v>9</v>
      </c>
    </row>
    <row r="192" ht="15.75" customHeight="1">
      <c r="A192" s="21" t="s">
        <v>241</v>
      </c>
      <c r="B192" s="22">
        <v>3220.0</v>
      </c>
      <c r="C192" s="23">
        <v>334.23812</v>
      </c>
      <c r="D192" s="23">
        <v>389.05668</v>
      </c>
      <c r="E192" s="23">
        <v>230.15976</v>
      </c>
      <c r="F192" s="23">
        <v>36440.90184</v>
      </c>
      <c r="G192" s="1" t="s">
        <v>9</v>
      </c>
    </row>
    <row r="193" ht="15.75" customHeight="1">
      <c r="A193" s="21" t="s">
        <v>242</v>
      </c>
      <c r="B193" s="22">
        <v>3053.0</v>
      </c>
      <c r="C193" s="23">
        <v>211.14332</v>
      </c>
      <c r="D193" s="23">
        <v>245.17409</v>
      </c>
      <c r="E193" s="23">
        <v>147.18347</v>
      </c>
      <c r="F193" s="23">
        <v>23083.6647</v>
      </c>
      <c r="G193" s="1" t="s">
        <v>9</v>
      </c>
    </row>
    <row r="194" ht="15.75" customHeight="1">
      <c r="A194" s="21" t="s">
        <v>243</v>
      </c>
      <c r="B194" s="22">
        <v>3190.0</v>
      </c>
      <c r="C194" s="23">
        <v>207.61874</v>
      </c>
      <c r="D194" s="23">
        <v>231.10234</v>
      </c>
      <c r="E194" s="23">
        <v>141.78802</v>
      </c>
      <c r="F194" s="23">
        <v>23413.70382</v>
      </c>
      <c r="G194" s="1" t="s">
        <v>9</v>
      </c>
    </row>
    <row r="195" ht="15.75" customHeight="1">
      <c r="A195" s="24">
        <v>43466.0</v>
      </c>
      <c r="B195" s="22">
        <v>2922.0</v>
      </c>
      <c r="C195" s="23">
        <v>117.79819</v>
      </c>
      <c r="D195" s="23">
        <v>127.18872</v>
      </c>
      <c r="E195" s="23">
        <v>80.19322</v>
      </c>
      <c r="F195" s="23">
        <v>13827.74925</v>
      </c>
      <c r="G195" s="1" t="s">
        <v>9</v>
      </c>
    </row>
    <row r="196" ht="15.75" customHeight="1">
      <c r="A196" s="24">
        <v>43497.0</v>
      </c>
      <c r="B196" s="22">
        <v>2681.0</v>
      </c>
      <c r="C196" s="23">
        <v>203.32612</v>
      </c>
      <c r="D196" s="23">
        <v>222.28828</v>
      </c>
      <c r="E196" s="23">
        <v>140.07105</v>
      </c>
      <c r="F196" s="23">
        <v>23824.81381</v>
      </c>
      <c r="G196" s="1" t="s">
        <v>9</v>
      </c>
    </row>
    <row r="197" ht="15.75" customHeight="1">
      <c r="A197" s="24">
        <v>43525.0</v>
      </c>
      <c r="B197" s="22">
        <v>2930.0</v>
      </c>
      <c r="C197" s="23">
        <v>171.52147</v>
      </c>
      <c r="D197" s="23">
        <v>188.92156</v>
      </c>
      <c r="E197" s="23">
        <v>118.6299</v>
      </c>
      <c r="F197" s="23">
        <v>20798.64169</v>
      </c>
      <c r="G197" s="1" t="s">
        <v>9</v>
      </c>
    </row>
    <row r="198" ht="15.75" customHeight="1">
      <c r="A198" s="24">
        <v>43556.0</v>
      </c>
      <c r="B198" s="22">
        <v>2762.0</v>
      </c>
      <c r="C198" s="23">
        <v>169.81407</v>
      </c>
      <c r="D198" s="23">
        <v>189.509</v>
      </c>
      <c r="E198" s="23">
        <v>118.06911</v>
      </c>
      <c r="F198" s="23">
        <v>21148.44796</v>
      </c>
      <c r="G198" s="1" t="s">
        <v>9</v>
      </c>
    </row>
    <row r="199" ht="15.75" customHeight="1">
      <c r="A199" s="25">
        <v>43586.0</v>
      </c>
      <c r="B199" s="22">
        <v>2978.0</v>
      </c>
      <c r="C199" s="23">
        <v>205.99281</v>
      </c>
      <c r="D199" s="23">
        <v>232.13902</v>
      </c>
      <c r="E199" s="23">
        <v>143.08319</v>
      </c>
      <c r="F199" s="23">
        <v>25091.21151</v>
      </c>
      <c r="G199" s="1" t="s">
        <v>9</v>
      </c>
    </row>
    <row r="200" ht="15.75" customHeight="1">
      <c r="A200" s="24">
        <v>43617.0</v>
      </c>
      <c r="B200" s="22">
        <v>2681.0</v>
      </c>
      <c r="C200" s="23">
        <v>117.46956</v>
      </c>
      <c r="D200" s="23">
        <v>136.89498</v>
      </c>
      <c r="E200" s="23">
        <v>83.15594</v>
      </c>
      <c r="F200" s="23">
        <v>14425.90084</v>
      </c>
      <c r="G200" s="1" t="s">
        <v>9</v>
      </c>
    </row>
    <row r="201" ht="15.75" customHeight="1">
      <c r="A201" s="24">
        <v>43647.0</v>
      </c>
      <c r="B201" s="22">
        <v>2766.0</v>
      </c>
      <c r="C201" s="23">
        <v>211.24419</v>
      </c>
      <c r="D201" s="23">
        <v>244.99223</v>
      </c>
      <c r="E201" s="23">
        <v>148.82021</v>
      </c>
      <c r="F201" s="23">
        <v>26327.98867</v>
      </c>
      <c r="G201" s="1" t="s">
        <v>9</v>
      </c>
    </row>
    <row r="202" ht="15.75" customHeight="1">
      <c r="A202" s="24">
        <v>43678.0</v>
      </c>
      <c r="B202" s="22">
        <v>2277.0</v>
      </c>
      <c r="C202" s="23">
        <v>127.6339</v>
      </c>
      <c r="D202" s="23">
        <v>143.92257</v>
      </c>
      <c r="E202" s="23">
        <v>89.186</v>
      </c>
      <c r="F202" s="23">
        <v>15684.5154</v>
      </c>
      <c r="G202" s="1" t="s">
        <v>9</v>
      </c>
    </row>
    <row r="203" ht="15.75" customHeight="1">
      <c r="A203" s="24">
        <v>43709.0</v>
      </c>
      <c r="B203" s="22">
        <v>1930.0</v>
      </c>
      <c r="C203" s="23">
        <v>147.18845</v>
      </c>
      <c r="D203" s="23">
        <v>161.77254</v>
      </c>
      <c r="E203" s="23">
        <v>100.82507</v>
      </c>
      <c r="F203" s="23">
        <v>17593.27435</v>
      </c>
      <c r="G203" s="1" t="s">
        <v>9</v>
      </c>
    </row>
    <row r="204" ht="15.75" customHeight="1">
      <c r="A204" s="24">
        <v>43739.0</v>
      </c>
      <c r="B204" s="22">
        <v>2536.0</v>
      </c>
      <c r="C204" s="23">
        <v>113.84221</v>
      </c>
      <c r="D204" s="23">
        <v>126.03956</v>
      </c>
      <c r="E204" s="23">
        <v>78.45636</v>
      </c>
      <c r="F204" s="23">
        <v>13955.42969</v>
      </c>
      <c r="G204" s="1" t="s">
        <v>9</v>
      </c>
    </row>
    <row r="205" ht="15.75" customHeight="1">
      <c r="A205" s="24">
        <v>43770.0</v>
      </c>
      <c r="B205" s="22">
        <v>2423.0</v>
      </c>
      <c r="C205" s="23">
        <v>142.92701</v>
      </c>
      <c r="D205" s="23">
        <v>160.46126</v>
      </c>
      <c r="E205" s="23">
        <v>99.34601</v>
      </c>
      <c r="F205" s="23">
        <v>17651.36951</v>
      </c>
      <c r="G205" s="1" t="s">
        <v>9</v>
      </c>
    </row>
    <row r="206" ht="15.75" customHeight="1">
      <c r="A206" s="24">
        <v>43800.0</v>
      </c>
      <c r="B206" s="22">
        <v>2326.0</v>
      </c>
      <c r="C206" s="23">
        <v>141.21216</v>
      </c>
      <c r="D206" s="23">
        <v>157.58477</v>
      </c>
      <c r="E206" s="23">
        <v>97.80789</v>
      </c>
      <c r="F206" s="23">
        <v>17940.35815</v>
      </c>
      <c r="G206" s="1" t="s">
        <v>9</v>
      </c>
    </row>
    <row r="207" ht="15.75" customHeight="1">
      <c r="A207" s="24">
        <v>43467.0</v>
      </c>
      <c r="B207" s="22">
        <v>2446.0</v>
      </c>
      <c r="C207" s="23">
        <v>81.35838</v>
      </c>
      <c r="D207" s="23">
        <v>91.92252</v>
      </c>
      <c r="E207" s="23">
        <v>56.6643</v>
      </c>
      <c r="F207" s="23">
        <v>10764.24289</v>
      </c>
      <c r="G207" s="1" t="s">
        <v>9</v>
      </c>
    </row>
    <row r="208" ht="15.75" customHeight="1">
      <c r="A208" s="24">
        <v>43498.0</v>
      </c>
      <c r="B208" s="22">
        <v>2069.0</v>
      </c>
      <c r="C208" s="23">
        <v>68.22182</v>
      </c>
      <c r="D208" s="23">
        <v>76.94069</v>
      </c>
      <c r="E208" s="23">
        <v>47.441</v>
      </c>
      <c r="F208" s="23">
        <v>8984.89542</v>
      </c>
      <c r="G208" s="1" t="s">
        <v>9</v>
      </c>
    </row>
    <row r="209" ht="15.75" customHeight="1">
      <c r="A209" s="24">
        <v>43526.0</v>
      </c>
      <c r="B209" s="22">
        <v>2318.0</v>
      </c>
      <c r="C209" s="23">
        <v>118.71742</v>
      </c>
      <c r="D209" s="23">
        <v>133.56817</v>
      </c>
      <c r="E209" s="23">
        <v>82.66689</v>
      </c>
      <c r="F209" s="23">
        <v>15428.69009</v>
      </c>
      <c r="G209" s="1" t="s">
        <v>9</v>
      </c>
    </row>
    <row r="210" ht="15.75" customHeight="1">
      <c r="A210" s="24">
        <v>43557.0</v>
      </c>
      <c r="B210" s="22">
        <v>2357.0</v>
      </c>
      <c r="C210" s="23">
        <v>95.79319</v>
      </c>
      <c r="D210" s="23">
        <v>106.93978</v>
      </c>
      <c r="E210" s="23">
        <v>65.92905</v>
      </c>
      <c r="F210" s="23">
        <v>12441.1304</v>
      </c>
      <c r="G210" s="1" t="s">
        <v>9</v>
      </c>
    </row>
    <row r="211" ht="15.75" customHeight="1">
      <c r="A211" s="25">
        <v>43587.0</v>
      </c>
      <c r="B211" s="22">
        <v>2432.0</v>
      </c>
      <c r="C211" s="23">
        <v>135.25615</v>
      </c>
      <c r="D211" s="23">
        <v>147.24758</v>
      </c>
      <c r="E211" s="23">
        <v>92.44879</v>
      </c>
      <c r="F211" s="23">
        <v>17058.48214</v>
      </c>
      <c r="G211" s="1" t="s">
        <v>9</v>
      </c>
    </row>
    <row r="212" ht="15.75" customHeight="1">
      <c r="A212" s="24">
        <v>43618.0</v>
      </c>
      <c r="B212" s="22">
        <v>2112.0</v>
      </c>
      <c r="C212" s="23">
        <v>102.46532</v>
      </c>
      <c r="D212" s="23">
        <v>105.2936</v>
      </c>
      <c r="E212" s="23">
        <v>68.23985</v>
      </c>
      <c r="F212" s="23">
        <v>12522.3808</v>
      </c>
      <c r="G212" s="1" t="s">
        <v>9</v>
      </c>
    </row>
    <row r="213" ht="15.75" customHeight="1">
      <c r="A213" s="24">
        <v>43648.0</v>
      </c>
      <c r="B213" s="22">
        <v>2397.0</v>
      </c>
      <c r="C213" s="23">
        <v>156.00971</v>
      </c>
      <c r="D213" s="23">
        <v>157.85169</v>
      </c>
      <c r="E213" s="23">
        <v>100.55538</v>
      </c>
      <c r="F213" s="23">
        <v>18402.04493</v>
      </c>
      <c r="G213" s="1" t="s">
        <v>9</v>
      </c>
    </row>
    <row r="214" ht="15.75" customHeight="1">
      <c r="A214" s="24">
        <v>43679.0</v>
      </c>
      <c r="B214" s="22">
        <v>2116.0</v>
      </c>
      <c r="C214" s="23">
        <v>84.74474</v>
      </c>
      <c r="D214" s="23">
        <v>86.64732</v>
      </c>
      <c r="E214" s="23">
        <v>55.23307</v>
      </c>
      <c r="F214" s="23">
        <v>10089.38</v>
      </c>
      <c r="G214" s="1" t="s">
        <v>9</v>
      </c>
    </row>
    <row r="215" ht="15.75" customHeight="1">
      <c r="A215" s="24">
        <v>43710.0</v>
      </c>
      <c r="B215" s="22">
        <v>2253.0</v>
      </c>
      <c r="C215" s="23">
        <v>63.45982</v>
      </c>
      <c r="D215" s="23">
        <v>64.64504</v>
      </c>
      <c r="E215" s="23">
        <v>40.85848</v>
      </c>
      <c r="F215" s="23">
        <v>7685.18136</v>
      </c>
      <c r="G215" s="1" t="s">
        <v>9</v>
      </c>
    </row>
    <row r="216" ht="15.75" customHeight="1">
      <c r="A216" s="24">
        <v>43740.0</v>
      </c>
      <c r="B216" s="22">
        <v>2479.0</v>
      </c>
      <c r="C216" s="23">
        <v>95.91812</v>
      </c>
      <c r="D216" s="23">
        <v>96.81147</v>
      </c>
      <c r="E216" s="23">
        <v>61.49084</v>
      </c>
      <c r="F216" s="23">
        <v>11841.20589</v>
      </c>
      <c r="G216" s="1" t="s">
        <v>9</v>
      </c>
    </row>
    <row r="217" ht="15.75" customHeight="1">
      <c r="A217" s="24">
        <v>43771.0</v>
      </c>
      <c r="B217" s="22">
        <v>2093.0</v>
      </c>
      <c r="C217" s="23">
        <v>111.76798</v>
      </c>
      <c r="D217" s="23">
        <v>109.2295</v>
      </c>
      <c r="E217" s="23">
        <v>70.69448</v>
      </c>
      <c r="F217" s="23">
        <v>13518.79374</v>
      </c>
      <c r="G217" s="1" t="s">
        <v>9</v>
      </c>
    </row>
    <row r="218" ht="15.75" customHeight="1">
      <c r="A218" s="24">
        <v>43801.0</v>
      </c>
      <c r="B218" s="22">
        <v>2388.0</v>
      </c>
      <c r="C218" s="23">
        <v>130.79764</v>
      </c>
      <c r="D218" s="23">
        <v>128.72223</v>
      </c>
      <c r="E218" s="23">
        <v>82.83023</v>
      </c>
      <c r="F218" s="23">
        <v>15937.43218</v>
      </c>
      <c r="G218" s="1" t="s">
        <v>9</v>
      </c>
    </row>
    <row r="219" ht="15.75" customHeight="1">
      <c r="A219" s="24">
        <v>43468.0</v>
      </c>
      <c r="B219" s="22">
        <v>2504.0</v>
      </c>
      <c r="C219" s="23">
        <v>83.30816</v>
      </c>
      <c r="D219" s="23">
        <v>77.89544</v>
      </c>
      <c r="E219" s="23">
        <v>51.39959</v>
      </c>
      <c r="F219" s="23">
        <v>9822.45966</v>
      </c>
      <c r="G219" s="1" t="s">
        <v>9</v>
      </c>
    </row>
    <row r="220" ht="15.75" customHeight="1">
      <c r="A220" s="24">
        <v>43499.0</v>
      </c>
      <c r="B220" s="22">
        <v>1988.0</v>
      </c>
      <c r="C220" s="23">
        <v>82.29325</v>
      </c>
      <c r="D220" s="23">
        <v>74.81056</v>
      </c>
      <c r="E220" s="23">
        <v>50.24124</v>
      </c>
      <c r="F220" s="23">
        <v>9670.51679</v>
      </c>
      <c r="G220" s="1" t="s">
        <v>9</v>
      </c>
    </row>
    <row r="221" ht="15.75" customHeight="1">
      <c r="A221" s="24">
        <v>43527.0</v>
      </c>
      <c r="B221" s="22">
        <v>2485.0</v>
      </c>
      <c r="C221" s="23">
        <v>125.3337</v>
      </c>
      <c r="D221" s="23">
        <v>113.54675</v>
      </c>
      <c r="E221" s="23">
        <v>78.1135</v>
      </c>
      <c r="F221" s="23">
        <v>14704.15768</v>
      </c>
      <c r="G221" s="1" t="s">
        <v>9</v>
      </c>
    </row>
    <row r="222" ht="15.75" customHeight="1">
      <c r="A222" s="24">
        <v>43558.0</v>
      </c>
      <c r="B222" s="22">
        <v>2340.0</v>
      </c>
      <c r="C222" s="23">
        <v>127.22684</v>
      </c>
      <c r="D222" s="23">
        <v>116.56846</v>
      </c>
      <c r="E222" s="23">
        <v>80.517</v>
      </c>
      <c r="F222" s="23">
        <v>14996.69616</v>
      </c>
      <c r="G222" s="1" t="s">
        <v>9</v>
      </c>
    </row>
    <row r="223" ht="15.75" customHeight="1">
      <c r="A223" s="25">
        <v>43588.0</v>
      </c>
      <c r="B223" s="22">
        <v>2393.0</v>
      </c>
      <c r="C223" s="23">
        <v>120.97672</v>
      </c>
      <c r="D223" s="23">
        <v>104.25774</v>
      </c>
      <c r="E223" s="23">
        <v>74.03282</v>
      </c>
      <c r="F223" s="23">
        <v>14152.43406</v>
      </c>
      <c r="G223" s="1" t="s">
        <v>9</v>
      </c>
    </row>
    <row r="224" ht="15.75" customHeight="1">
      <c r="A224" s="24">
        <v>43619.0</v>
      </c>
      <c r="B224" s="22">
        <v>2432.0</v>
      </c>
      <c r="C224" s="23">
        <v>109.64523</v>
      </c>
      <c r="D224" s="23">
        <v>94.12729</v>
      </c>
      <c r="E224" s="23">
        <v>66.12315</v>
      </c>
      <c r="F224" s="23">
        <v>12897.15054</v>
      </c>
      <c r="G224" s="1" t="s">
        <v>9</v>
      </c>
    </row>
    <row r="225" ht="15.75" customHeight="1">
      <c r="A225" s="24">
        <v>43649.0</v>
      </c>
      <c r="B225" s="22">
        <v>2623.0</v>
      </c>
      <c r="C225" s="23">
        <v>130.14826</v>
      </c>
      <c r="D225" s="23">
        <v>114.48013</v>
      </c>
      <c r="E225" s="23">
        <v>79.64494</v>
      </c>
      <c r="F225" s="23">
        <v>15218.27679</v>
      </c>
      <c r="G225" s="1" t="s">
        <v>9</v>
      </c>
    </row>
    <row r="226" ht="15.75" customHeight="1">
      <c r="A226" s="24">
        <v>43680.0</v>
      </c>
      <c r="B226" s="22">
        <v>2248.0</v>
      </c>
      <c r="C226" s="23">
        <v>79.81935</v>
      </c>
      <c r="D226" s="23">
        <v>71.46173</v>
      </c>
      <c r="E226" s="23">
        <v>49.87858</v>
      </c>
      <c r="F226" s="23">
        <v>9393.88086</v>
      </c>
      <c r="G226" s="1" t="s">
        <v>9</v>
      </c>
    </row>
    <row r="227" ht="15.75" customHeight="1">
      <c r="A227" s="24">
        <v>43711.0</v>
      </c>
      <c r="B227" s="22">
        <v>2622.0</v>
      </c>
      <c r="C227" s="23">
        <v>124.17938</v>
      </c>
      <c r="D227" s="23">
        <v>108.76347</v>
      </c>
      <c r="E227" s="23">
        <v>75.62473</v>
      </c>
      <c r="F227" s="23">
        <v>14076.54929</v>
      </c>
      <c r="G227" s="1" t="s">
        <v>9</v>
      </c>
    </row>
    <row r="228" ht="15.75" customHeight="1">
      <c r="A228" s="24">
        <v>43741.0</v>
      </c>
      <c r="B228" s="22">
        <v>2885.0</v>
      </c>
      <c r="C228" s="23">
        <v>212.0989</v>
      </c>
      <c r="D228" s="23">
        <v>181.28035</v>
      </c>
      <c r="E228" s="23">
        <v>126.33036</v>
      </c>
      <c r="F228" s="23">
        <v>23202.79319</v>
      </c>
      <c r="G228" s="1" t="s">
        <v>9</v>
      </c>
    </row>
    <row r="229" ht="15.75" customHeight="1">
      <c r="A229" s="24">
        <v>43772.0</v>
      </c>
      <c r="B229" s="22">
        <v>2372.0</v>
      </c>
      <c r="C229" s="23">
        <v>118.93143</v>
      </c>
      <c r="D229" s="23">
        <v>101.54293</v>
      </c>
      <c r="E229" s="23">
        <v>70.05186</v>
      </c>
      <c r="F229" s="23">
        <v>12940.95771</v>
      </c>
      <c r="G229" s="1" t="s">
        <v>9</v>
      </c>
    </row>
    <row r="230" ht="15.75" customHeight="1">
      <c r="A230" s="24">
        <v>43802.0</v>
      </c>
      <c r="B230" s="22">
        <v>2879.0</v>
      </c>
      <c r="C230" s="23">
        <v>100.01218</v>
      </c>
      <c r="D230" s="23">
        <v>81.37191</v>
      </c>
      <c r="E230" s="23">
        <v>56.96639</v>
      </c>
      <c r="F230" s="23">
        <v>10774.13458</v>
      </c>
      <c r="G230" s="1" t="s">
        <v>9</v>
      </c>
    </row>
    <row r="231" ht="15.75" customHeight="1">
      <c r="A231" s="24">
        <v>43469.0</v>
      </c>
      <c r="B231" s="22">
        <v>2720.0</v>
      </c>
      <c r="C231" s="23">
        <v>191.63438</v>
      </c>
      <c r="D231" s="23">
        <v>153.98181</v>
      </c>
      <c r="E231" s="23">
        <v>105.05006</v>
      </c>
      <c r="F231" s="23">
        <v>20672.63831</v>
      </c>
      <c r="G231" s="1" t="s">
        <v>9</v>
      </c>
    </row>
    <row r="232" ht="15.75" customHeight="1">
      <c r="A232" s="24">
        <v>43500.0</v>
      </c>
      <c r="B232" s="22">
        <v>2481.0</v>
      </c>
      <c r="C232" s="23">
        <v>224.58542</v>
      </c>
      <c r="D232" s="23">
        <v>177.58544</v>
      </c>
      <c r="E232" s="23">
        <v>120.71732</v>
      </c>
      <c r="F232" s="23">
        <v>23834.26446</v>
      </c>
      <c r="G232" s="1" t="s">
        <v>9</v>
      </c>
    </row>
    <row r="233" ht="15.75" customHeight="1">
      <c r="A233" s="24">
        <v>43528.0</v>
      </c>
      <c r="B233" s="22">
        <v>3234.0</v>
      </c>
      <c r="C233" s="23">
        <v>144.38265</v>
      </c>
      <c r="D233" s="23">
        <v>118.1008</v>
      </c>
      <c r="E233" s="23">
        <v>79.29795</v>
      </c>
      <c r="F233" s="23">
        <v>15741.74866</v>
      </c>
      <c r="G233" s="1" t="s">
        <v>9</v>
      </c>
    </row>
    <row r="234" ht="15.75" customHeight="1">
      <c r="A234" s="24">
        <v>43559.0</v>
      </c>
      <c r="B234" s="22">
        <v>2753.0</v>
      </c>
      <c r="C234" s="23">
        <v>120.80391</v>
      </c>
      <c r="D234" s="23">
        <v>100.63562</v>
      </c>
      <c r="E234" s="23">
        <v>67.20881</v>
      </c>
      <c r="F234" s="23">
        <v>13018.4804</v>
      </c>
      <c r="G234" s="1" t="s">
        <v>9</v>
      </c>
    </row>
    <row r="235" ht="15.75" customHeight="1">
      <c r="A235" s="25">
        <v>43589.0</v>
      </c>
      <c r="B235" s="22">
        <v>2598.0</v>
      </c>
      <c r="C235" s="23">
        <v>163.38177</v>
      </c>
      <c r="D235" s="23">
        <v>135.29574</v>
      </c>
      <c r="E235" s="23">
        <v>90.86767</v>
      </c>
      <c r="F235" s="23">
        <v>18211.68525</v>
      </c>
      <c r="G235" s="1" t="s">
        <v>9</v>
      </c>
    </row>
    <row r="236" ht="15.75" customHeight="1">
      <c r="A236" s="24">
        <v>43620.0</v>
      </c>
      <c r="B236" s="22">
        <v>2653.0</v>
      </c>
      <c r="C236" s="23">
        <v>130.18949</v>
      </c>
      <c r="D236" s="23">
        <v>106.78389</v>
      </c>
      <c r="E236" s="23">
        <v>71.14566</v>
      </c>
      <c r="F236" s="23">
        <v>14212.89584</v>
      </c>
      <c r="G236" s="1" t="s">
        <v>9</v>
      </c>
    </row>
    <row r="237" ht="15.75" customHeight="1">
      <c r="A237" s="24">
        <v>43650.0</v>
      </c>
      <c r="B237" s="22">
        <v>2803.0</v>
      </c>
      <c r="C237" s="23">
        <v>214.39157</v>
      </c>
      <c r="D237" s="23">
        <v>172.62001</v>
      </c>
      <c r="E237" s="23">
        <v>116.03413</v>
      </c>
      <c r="F237" s="23">
        <v>23307.57059</v>
      </c>
      <c r="G237" s="1" t="s">
        <v>9</v>
      </c>
    </row>
    <row r="238" ht="15.75" customHeight="1">
      <c r="A238" s="24">
        <v>43681.0</v>
      </c>
      <c r="B238" s="22">
        <v>2551.0</v>
      </c>
      <c r="C238" s="23">
        <v>161.09856</v>
      </c>
      <c r="D238" s="23">
        <v>132.13208</v>
      </c>
      <c r="E238" s="23">
        <v>88.75659</v>
      </c>
      <c r="F238" s="23">
        <v>17710.01663</v>
      </c>
      <c r="G238" s="1" t="s">
        <v>9</v>
      </c>
    </row>
    <row r="239" ht="15.75" customHeight="1">
      <c r="A239" s="24">
        <v>43712.0</v>
      </c>
      <c r="B239" s="22">
        <v>2701.0</v>
      </c>
      <c r="C239" s="23">
        <v>108.03284</v>
      </c>
      <c r="D239" s="23">
        <v>87.48721</v>
      </c>
      <c r="E239" s="23">
        <v>59.64535</v>
      </c>
      <c r="F239" s="23">
        <v>11805.9548</v>
      </c>
      <c r="G239" s="1" t="s">
        <v>9</v>
      </c>
    </row>
    <row r="240" ht="15.75" customHeight="1">
      <c r="A240" s="24">
        <v>43742.0</v>
      </c>
      <c r="B240" s="22">
        <v>2740.0</v>
      </c>
      <c r="C240" s="23">
        <v>211.53778</v>
      </c>
      <c r="D240" s="23">
        <v>167.28616</v>
      </c>
      <c r="E240" s="23">
        <v>116.0645</v>
      </c>
      <c r="F240" s="23">
        <v>22713.29948</v>
      </c>
      <c r="G240" s="1" t="s">
        <v>9</v>
      </c>
    </row>
    <row r="241" ht="15.75" customHeight="1">
      <c r="A241" s="24">
        <v>43773.0</v>
      </c>
      <c r="B241" s="22">
        <v>2699.0</v>
      </c>
      <c r="C241" s="23">
        <v>162.27884</v>
      </c>
      <c r="D241" s="23">
        <v>125.41875</v>
      </c>
      <c r="E241" s="23">
        <v>87.50953</v>
      </c>
      <c r="F241" s="23">
        <v>17012.22794</v>
      </c>
      <c r="G241" s="1" t="s">
        <v>9</v>
      </c>
    </row>
    <row r="242" ht="15.75" customHeight="1">
      <c r="A242" s="24">
        <v>43803.0</v>
      </c>
      <c r="B242" s="22">
        <v>3219.0</v>
      </c>
      <c r="C242" s="23">
        <v>315.10532</v>
      </c>
      <c r="D242" s="23">
        <v>237.17623</v>
      </c>
      <c r="E242" s="23">
        <v>163.77399</v>
      </c>
      <c r="F242" s="23">
        <v>33325.36355</v>
      </c>
      <c r="G242" s="1" t="s">
        <v>9</v>
      </c>
    </row>
    <row r="243" ht="15.75" customHeight="1">
      <c r="A243" s="24">
        <v>43470.0</v>
      </c>
      <c r="B243" s="22">
        <v>2986.0</v>
      </c>
      <c r="C243" s="23">
        <v>210.44618</v>
      </c>
      <c r="D243" s="23">
        <v>161.72967</v>
      </c>
      <c r="E243" s="23">
        <v>112.61913</v>
      </c>
      <c r="F243" s="23">
        <v>21903.15818</v>
      </c>
      <c r="G243" s="1" t="s">
        <v>9</v>
      </c>
    </row>
    <row r="244" ht="15.75" customHeight="1">
      <c r="A244" s="24">
        <v>43501.0</v>
      </c>
      <c r="B244" s="22">
        <v>2553.0</v>
      </c>
      <c r="C244" s="23">
        <v>174.6365</v>
      </c>
      <c r="D244" s="23">
        <v>134.33858</v>
      </c>
      <c r="E244" s="23">
        <v>92.71424</v>
      </c>
      <c r="F244" s="23">
        <v>18500.83627</v>
      </c>
      <c r="G244" s="1" t="s">
        <v>9</v>
      </c>
    </row>
    <row r="245" ht="15.75" customHeight="1">
      <c r="A245" s="24">
        <v>43529.0</v>
      </c>
      <c r="B245" s="22">
        <v>3183.0</v>
      </c>
      <c r="C245" s="23">
        <v>199.47957</v>
      </c>
      <c r="D245" s="23">
        <v>151.42768</v>
      </c>
      <c r="E245" s="23">
        <v>104.91331</v>
      </c>
      <c r="F245" s="23">
        <v>21073.90413</v>
      </c>
      <c r="G245" s="1" t="s">
        <v>9</v>
      </c>
    </row>
    <row r="246" ht="15.75" customHeight="1">
      <c r="A246" s="24">
        <v>43560.0</v>
      </c>
      <c r="B246" s="22">
        <v>2937.0</v>
      </c>
      <c r="C246" s="23">
        <v>234.55372</v>
      </c>
      <c r="D246" s="23">
        <v>182.55083</v>
      </c>
      <c r="E246" s="23">
        <v>124.68513</v>
      </c>
      <c r="F246" s="23">
        <v>25234.92729</v>
      </c>
      <c r="G246" s="1" t="s">
        <v>9</v>
      </c>
    </row>
    <row r="247" ht="15.75" customHeight="1">
      <c r="A247" s="25">
        <v>43590.0</v>
      </c>
      <c r="B247" s="22">
        <v>2701.0</v>
      </c>
      <c r="C247" s="23">
        <v>221.22443</v>
      </c>
      <c r="D247" s="23">
        <v>175.13336</v>
      </c>
      <c r="E247" s="23">
        <v>119.09685</v>
      </c>
      <c r="F247" s="23">
        <v>23632.36937</v>
      </c>
      <c r="G247" s="1" t="s">
        <v>9</v>
      </c>
    </row>
    <row r="248" ht="15.75" customHeight="1">
      <c r="A248" s="24">
        <v>43621.0</v>
      </c>
      <c r="B248" s="22">
        <v>3138.0</v>
      </c>
      <c r="C248" s="23">
        <v>295.34534</v>
      </c>
      <c r="D248" s="23">
        <v>240.83975</v>
      </c>
      <c r="E248" s="23">
        <v>163.47987</v>
      </c>
      <c r="F248" s="23">
        <v>32625.45101</v>
      </c>
      <c r="G248" s="1" t="s">
        <v>9</v>
      </c>
    </row>
    <row r="249" ht="15.75" customHeight="1">
      <c r="A249" s="24">
        <v>43651.0</v>
      </c>
      <c r="B249" s="22">
        <v>2879.0</v>
      </c>
      <c r="C249" s="23">
        <v>189.29737</v>
      </c>
      <c r="D249" s="23">
        <v>156.52907</v>
      </c>
      <c r="E249" s="23">
        <v>107.35068</v>
      </c>
      <c r="F249" s="23">
        <v>21281.84788</v>
      </c>
      <c r="G249" s="1" t="s">
        <v>9</v>
      </c>
    </row>
    <row r="250" ht="15.75" customHeight="1">
      <c r="A250" s="24">
        <v>43682.0</v>
      </c>
      <c r="B250" s="22">
        <v>3022.0</v>
      </c>
      <c r="C250" s="23">
        <v>190.25617</v>
      </c>
      <c r="D250" s="23">
        <v>154.8047</v>
      </c>
      <c r="E250" s="23">
        <v>105.97608</v>
      </c>
      <c r="F250" s="23">
        <v>21180.88878</v>
      </c>
      <c r="G250" s="1" t="s">
        <v>9</v>
      </c>
    </row>
    <row r="251" ht="15.75" customHeight="1">
      <c r="A251" s="24">
        <v>43713.0</v>
      </c>
      <c r="B251" s="22">
        <v>3220.0</v>
      </c>
      <c r="C251" s="23">
        <v>267.94575</v>
      </c>
      <c r="D251" s="23">
        <v>217.44353</v>
      </c>
      <c r="E251" s="23">
        <v>147.56829</v>
      </c>
      <c r="F251" s="23">
        <v>30209.69413</v>
      </c>
      <c r="G251" s="1" t="s">
        <v>9</v>
      </c>
    </row>
    <row r="252" ht="15.75" customHeight="1">
      <c r="A252" s="24">
        <v>43743.0</v>
      </c>
      <c r="B252" s="22">
        <v>3040.0</v>
      </c>
      <c r="C252" s="23">
        <v>292.42181</v>
      </c>
      <c r="D252" s="23">
        <v>241.91149</v>
      </c>
      <c r="E252" s="23">
        <v>164.82902</v>
      </c>
      <c r="F252" s="23">
        <v>33691.36472</v>
      </c>
      <c r="G252" s="1" t="s">
        <v>9</v>
      </c>
    </row>
    <row r="253" ht="15.75" customHeight="1">
      <c r="A253" s="24">
        <v>43774.0</v>
      </c>
      <c r="B253" s="22">
        <v>3109.0</v>
      </c>
      <c r="C253" s="23">
        <v>221.1785</v>
      </c>
      <c r="D253" s="23">
        <v>186.05377</v>
      </c>
      <c r="E253" s="23">
        <v>126.69186</v>
      </c>
      <c r="F253" s="23">
        <v>26171.53787</v>
      </c>
      <c r="G253" s="1" t="s">
        <v>9</v>
      </c>
    </row>
    <row r="254" ht="15.75" customHeight="1">
      <c r="A254" s="24">
        <v>43804.0</v>
      </c>
      <c r="B254" s="22">
        <v>3438.0</v>
      </c>
      <c r="C254" s="23">
        <v>303.91149</v>
      </c>
      <c r="D254" s="23">
        <v>251.67877</v>
      </c>
      <c r="E254" s="23">
        <v>170.88273</v>
      </c>
      <c r="F254" s="23">
        <v>36011.15548</v>
      </c>
      <c r="G254" s="1" t="s">
        <v>9</v>
      </c>
    </row>
    <row r="255" ht="15.75" customHeight="1">
      <c r="A255" s="24">
        <v>43471.0</v>
      </c>
      <c r="B255" s="22">
        <v>3235.0</v>
      </c>
      <c r="C255" s="23">
        <v>292.5943</v>
      </c>
      <c r="D255" s="23">
        <v>239.7068</v>
      </c>
      <c r="E255" s="23">
        <v>164.42375</v>
      </c>
      <c r="F255" s="23">
        <v>34158.3469</v>
      </c>
      <c r="G255" s="1" t="s">
        <v>9</v>
      </c>
    </row>
    <row r="256" ht="15.75" customHeight="1">
      <c r="A256" s="24">
        <v>43502.0</v>
      </c>
      <c r="B256" s="22">
        <v>3047.0</v>
      </c>
      <c r="C256" s="23">
        <v>342.04554</v>
      </c>
      <c r="D256" s="23">
        <v>271.49789</v>
      </c>
      <c r="E256" s="23">
        <v>185.7319</v>
      </c>
      <c r="F256" s="23">
        <v>39934.91651</v>
      </c>
      <c r="G256" s="1" t="s">
        <v>9</v>
      </c>
    </row>
    <row r="257" ht="15.75" customHeight="1">
      <c r="A257" s="24">
        <v>43530.0</v>
      </c>
      <c r="B257" s="22">
        <v>3740.0</v>
      </c>
      <c r="C257" s="23">
        <v>474.96771</v>
      </c>
      <c r="D257" s="23">
        <v>389.16455</v>
      </c>
      <c r="E257" s="23">
        <v>267.70794</v>
      </c>
      <c r="F257" s="23">
        <v>55590.08553</v>
      </c>
      <c r="G257" s="1" t="s">
        <v>9</v>
      </c>
    </row>
    <row r="258" ht="15.75" customHeight="1">
      <c r="A258" s="24">
        <v>43561.0</v>
      </c>
      <c r="B258" s="22">
        <v>3144.0</v>
      </c>
      <c r="C258" s="23">
        <v>236.15658</v>
      </c>
      <c r="D258" s="23">
        <v>188.07919</v>
      </c>
      <c r="E258" s="23">
        <v>131.8573</v>
      </c>
      <c r="F258" s="23">
        <v>27395.02344</v>
      </c>
      <c r="G258" s="1" t="s">
        <v>9</v>
      </c>
    </row>
    <row r="259" ht="15.75" customHeight="1">
      <c r="A259" s="25">
        <v>43591.0</v>
      </c>
      <c r="B259" s="22">
        <v>3537.0</v>
      </c>
      <c r="C259" s="23">
        <v>389.06737</v>
      </c>
      <c r="D259" s="23">
        <v>304.85349</v>
      </c>
      <c r="E259" s="23">
        <v>208.50823</v>
      </c>
      <c r="F259" s="23">
        <v>43855.75935</v>
      </c>
      <c r="G259" s="1" t="s">
        <v>9</v>
      </c>
    </row>
    <row r="260" ht="15.75" customHeight="1">
      <c r="A260" s="24">
        <v>43622.0</v>
      </c>
      <c r="B260" s="22">
        <v>3638.0</v>
      </c>
      <c r="C260" s="23">
        <v>329.68188</v>
      </c>
      <c r="D260" s="23">
        <v>262.4736</v>
      </c>
      <c r="E260" s="23">
        <v>180.7432</v>
      </c>
      <c r="F260" s="23">
        <v>37972.68136</v>
      </c>
      <c r="G260" s="1" t="s">
        <v>9</v>
      </c>
    </row>
    <row r="261" ht="15.75" customHeight="1">
      <c r="A261" s="24">
        <v>43652.0</v>
      </c>
      <c r="B261" s="22">
        <v>3401.0</v>
      </c>
      <c r="C261" s="23">
        <v>227.02804</v>
      </c>
      <c r="D261" s="23">
        <v>179.10967</v>
      </c>
      <c r="E261" s="23">
        <v>122.92234</v>
      </c>
      <c r="F261" s="23">
        <v>26306.42177</v>
      </c>
      <c r="G261" s="1" t="s">
        <v>9</v>
      </c>
    </row>
    <row r="262" ht="15.75" customHeight="1">
      <c r="A262" s="24">
        <v>43683.0</v>
      </c>
      <c r="B262" s="22">
        <v>3338.0</v>
      </c>
      <c r="C262" s="23">
        <v>287.01118</v>
      </c>
      <c r="D262" s="23">
        <v>223.73444</v>
      </c>
      <c r="E262" s="23">
        <v>151.13428</v>
      </c>
      <c r="F262" s="23">
        <v>33478.52199</v>
      </c>
      <c r="G262" s="1" t="s">
        <v>9</v>
      </c>
    </row>
    <row r="263" ht="15.75" customHeight="1">
      <c r="A263" s="24">
        <v>43714.0</v>
      </c>
      <c r="B263" s="22">
        <v>3521.0</v>
      </c>
      <c r="C263" s="23">
        <v>239.5672</v>
      </c>
      <c r="D263" s="23">
        <v>187.518</v>
      </c>
      <c r="E263" s="23">
        <v>126.89862</v>
      </c>
      <c r="F263" s="23">
        <v>28054.53839</v>
      </c>
      <c r="G263" s="1" t="s">
        <v>9</v>
      </c>
    </row>
    <row r="264" ht="15.75" customHeight="1">
      <c r="A264" s="24">
        <v>43744.0</v>
      </c>
      <c r="B264" s="22">
        <v>3577.0</v>
      </c>
      <c r="C264" s="23">
        <v>364.76746</v>
      </c>
      <c r="D264" s="23">
        <v>287.15997</v>
      </c>
      <c r="E264" s="23">
        <v>193.36915</v>
      </c>
      <c r="F264" s="23">
        <v>43337.30925</v>
      </c>
      <c r="G264" s="1" t="s">
        <v>9</v>
      </c>
    </row>
    <row r="265" ht="15.75" customHeight="1">
      <c r="A265" s="24">
        <v>43775.0</v>
      </c>
      <c r="B265" s="22">
        <v>3573.0</v>
      </c>
      <c r="C265" s="23">
        <v>454.81977</v>
      </c>
      <c r="D265" s="23">
        <v>353.81341</v>
      </c>
      <c r="E265" s="23">
        <v>238.99566</v>
      </c>
      <c r="F265" s="23">
        <v>53061.77742</v>
      </c>
      <c r="G265" s="1" t="s">
        <v>9</v>
      </c>
    </row>
    <row r="266" ht="15.75" customHeight="1">
      <c r="A266" s="24">
        <v>43805.0</v>
      </c>
      <c r="B266" s="22">
        <v>3933.0</v>
      </c>
      <c r="C266" s="23">
        <v>423.48646</v>
      </c>
      <c r="D266" s="23">
        <v>321.23463</v>
      </c>
      <c r="E266" s="23">
        <v>216.16677</v>
      </c>
      <c r="F266" s="23">
        <v>49922.92275</v>
      </c>
      <c r="G266" s="1" t="s">
        <v>9</v>
      </c>
    </row>
    <row r="267" ht="15.75" customHeight="1">
      <c r="A267" s="24">
        <v>43472.0</v>
      </c>
      <c r="B267" s="22">
        <v>3871.0</v>
      </c>
      <c r="C267" s="23">
        <v>288.33247</v>
      </c>
      <c r="D267" s="23">
        <v>222.35071</v>
      </c>
      <c r="E267" s="23">
        <v>148.70303</v>
      </c>
      <c r="F267" s="23">
        <v>34730.79379</v>
      </c>
      <c r="G267" s="1" t="s">
        <v>9</v>
      </c>
    </row>
    <row r="268" ht="15.75" customHeight="1">
      <c r="A268" s="24">
        <v>43503.0</v>
      </c>
      <c r="B268" s="22">
        <v>3534.0</v>
      </c>
      <c r="C268" s="23">
        <v>405.25201</v>
      </c>
      <c r="D268" s="23">
        <v>307.24159</v>
      </c>
      <c r="E268" s="23">
        <v>207.28819</v>
      </c>
      <c r="F268" s="23">
        <v>48388.9851</v>
      </c>
      <c r="G268" s="1" t="s">
        <v>9</v>
      </c>
    </row>
    <row r="269" ht="15.75" customHeight="1">
      <c r="A269" s="24">
        <v>43531.0</v>
      </c>
      <c r="B269" s="22">
        <v>4122.0</v>
      </c>
      <c r="C269" s="23">
        <v>527.47166</v>
      </c>
      <c r="D269" s="23">
        <v>393.21945</v>
      </c>
      <c r="E269" s="23">
        <v>266.81247</v>
      </c>
      <c r="F269" s="23">
        <v>62596.5008</v>
      </c>
      <c r="G269" s="1" t="s">
        <v>9</v>
      </c>
    </row>
    <row r="270" ht="15.75" customHeight="1">
      <c r="A270" s="24">
        <v>43562.0</v>
      </c>
      <c r="B270" s="22">
        <v>3722.0</v>
      </c>
      <c r="C270" s="23">
        <v>554.8753</v>
      </c>
      <c r="D270" s="23">
        <v>406.82813</v>
      </c>
      <c r="E270" s="23">
        <v>279.46068</v>
      </c>
      <c r="F270" s="23">
        <v>65503.08464</v>
      </c>
      <c r="G270" s="1" t="s">
        <v>9</v>
      </c>
    </row>
    <row r="271" ht="15.75" customHeight="1">
      <c r="A271" s="25">
        <v>43592.0</v>
      </c>
      <c r="B271" s="22">
        <v>4275.0</v>
      </c>
      <c r="C271" s="23">
        <v>577.59668</v>
      </c>
      <c r="D271" s="23">
        <v>428.05756</v>
      </c>
      <c r="E271" s="23">
        <v>291.95543</v>
      </c>
      <c r="F271" s="23">
        <v>69517.37856</v>
      </c>
      <c r="G271" s="1" t="s">
        <v>9</v>
      </c>
    </row>
    <row r="272" ht="15.75" customHeight="1">
      <c r="A272" s="24">
        <v>43623.0</v>
      </c>
      <c r="B272" s="22">
        <v>4188.0</v>
      </c>
      <c r="C272" s="23">
        <v>431.62911</v>
      </c>
      <c r="D272" s="23">
        <v>319.96673</v>
      </c>
      <c r="E272" s="23">
        <v>216.39431</v>
      </c>
      <c r="F272" s="23">
        <v>52797.75914</v>
      </c>
      <c r="G272" s="1" t="s">
        <v>9</v>
      </c>
    </row>
    <row r="273" ht="15.75" customHeight="1">
      <c r="A273" s="24">
        <v>43653.0</v>
      </c>
      <c r="B273" s="22">
        <v>4265.0</v>
      </c>
      <c r="C273" s="23">
        <v>553.706</v>
      </c>
      <c r="D273" s="23">
        <v>400.10398</v>
      </c>
      <c r="E273" s="23">
        <v>273.33674</v>
      </c>
      <c r="F273" s="23">
        <v>66221.21698</v>
      </c>
      <c r="G273" s="1" t="s">
        <v>9</v>
      </c>
    </row>
    <row r="274" ht="15.75" customHeight="1">
      <c r="A274" s="24">
        <v>43684.0</v>
      </c>
      <c r="B274" s="22">
        <v>3825.0</v>
      </c>
      <c r="C274" s="23">
        <v>307.05134</v>
      </c>
      <c r="D274" s="23">
        <v>213.51378</v>
      </c>
      <c r="E274" s="23">
        <v>153.25446</v>
      </c>
      <c r="F274" s="23">
        <v>33832.90998</v>
      </c>
      <c r="G274" s="1" t="s">
        <v>9</v>
      </c>
    </row>
    <row r="275" ht="15.75" customHeight="1">
      <c r="A275" s="24">
        <v>43715.0</v>
      </c>
      <c r="B275" s="22">
        <v>3829.0</v>
      </c>
      <c r="C275" s="23">
        <v>213.17351</v>
      </c>
      <c r="D275" s="23">
        <v>150.6569</v>
      </c>
      <c r="E275" s="23">
        <v>105.80073</v>
      </c>
      <c r="F275" s="23">
        <v>24260.02087</v>
      </c>
      <c r="G275" s="1" t="s">
        <v>9</v>
      </c>
    </row>
    <row r="276" ht="15.75" customHeight="1">
      <c r="A276" s="24">
        <v>43745.0</v>
      </c>
      <c r="B276" s="22">
        <v>4339.0</v>
      </c>
      <c r="C276" s="23">
        <v>343.04243</v>
      </c>
      <c r="D276" s="23">
        <v>239.94502</v>
      </c>
      <c r="E276" s="23">
        <v>168.68346</v>
      </c>
      <c r="F276" s="23">
        <v>39034.90895</v>
      </c>
      <c r="G276" s="1" t="s">
        <v>9</v>
      </c>
    </row>
    <row r="277" ht="15.75" customHeight="1">
      <c r="A277" s="24">
        <v>43776.0</v>
      </c>
      <c r="B277" s="22">
        <v>3880.0</v>
      </c>
      <c r="C277" s="23">
        <v>411.18502</v>
      </c>
      <c r="D277" s="23">
        <v>280.21866</v>
      </c>
      <c r="E277" s="23">
        <v>203.92634</v>
      </c>
      <c r="F277" s="23">
        <v>44737.04056</v>
      </c>
      <c r="G277" s="1" t="s">
        <v>9</v>
      </c>
    </row>
    <row r="278" ht="15.75" customHeight="1">
      <c r="A278" s="24">
        <v>43806.0</v>
      </c>
      <c r="B278" s="22">
        <v>4005.0</v>
      </c>
      <c r="C278" s="23">
        <v>345.03441</v>
      </c>
      <c r="D278" s="23">
        <v>236.47627</v>
      </c>
      <c r="E278" s="23">
        <v>171.35806</v>
      </c>
      <c r="F278" s="23">
        <v>38391.5648</v>
      </c>
      <c r="G278" s="1" t="s">
        <v>9</v>
      </c>
    </row>
    <row r="279" ht="15.75" customHeight="1">
      <c r="A279" s="24">
        <v>43473.0</v>
      </c>
      <c r="B279" s="22">
        <v>4042.0</v>
      </c>
      <c r="C279" s="23">
        <v>210.84374</v>
      </c>
      <c r="D279" s="23">
        <v>142.61276</v>
      </c>
      <c r="E279" s="23">
        <v>107.08009</v>
      </c>
      <c r="F279" s="23">
        <v>22494.53995</v>
      </c>
      <c r="G279" s="1" t="s">
        <v>9</v>
      </c>
    </row>
    <row r="280" ht="15.75" customHeight="1">
      <c r="A280" s="24">
        <v>43504.0</v>
      </c>
      <c r="B280" s="22">
        <v>3653.0</v>
      </c>
      <c r="C280" s="23">
        <v>228.18061</v>
      </c>
      <c r="D280" s="23">
        <v>153.79621</v>
      </c>
      <c r="E280" s="23">
        <v>115.9617</v>
      </c>
      <c r="F280" s="23">
        <v>24251.01914</v>
      </c>
      <c r="G280" s="1" t="s">
        <v>9</v>
      </c>
    </row>
    <row r="281" ht="15.75" customHeight="1">
      <c r="A281" s="24">
        <v>43532.0</v>
      </c>
      <c r="B281" s="22">
        <v>3700.0</v>
      </c>
      <c r="C281" s="23">
        <v>210.18399</v>
      </c>
      <c r="D281" s="23">
        <v>135.54771</v>
      </c>
      <c r="E281" s="23">
        <v>105.51641</v>
      </c>
      <c r="F281" s="23">
        <v>21032.00553</v>
      </c>
      <c r="G281" s="1" t="s">
        <v>9</v>
      </c>
    </row>
    <row r="282" ht="15.75" customHeight="1">
      <c r="A282" s="24">
        <v>43563.0</v>
      </c>
      <c r="B282" s="22">
        <v>4015.0</v>
      </c>
      <c r="C282" s="23">
        <v>304.93407</v>
      </c>
      <c r="D282" s="23">
        <v>195.17443</v>
      </c>
      <c r="E282" s="23">
        <v>154.37791</v>
      </c>
      <c r="F282" s="23">
        <v>31473.42755</v>
      </c>
      <c r="G282" s="1" t="s">
        <v>9</v>
      </c>
    </row>
    <row r="283" ht="15.75" customHeight="1">
      <c r="A283" s="25">
        <v>43593.0</v>
      </c>
      <c r="B283" s="22">
        <v>3746.0</v>
      </c>
      <c r="C283" s="23">
        <v>315.08802</v>
      </c>
      <c r="D283" s="23">
        <v>205.44457</v>
      </c>
      <c r="E283" s="23">
        <v>163.95366</v>
      </c>
      <c r="F283" s="23">
        <v>32477.83073</v>
      </c>
      <c r="G283" s="1" t="s">
        <v>9</v>
      </c>
    </row>
    <row r="284" ht="15.75" customHeight="1">
      <c r="A284" s="24">
        <v>43624.0</v>
      </c>
      <c r="B284" s="22">
        <v>4119.0</v>
      </c>
      <c r="C284" s="23">
        <v>362.50037</v>
      </c>
      <c r="D284" s="23">
        <v>240.89074</v>
      </c>
      <c r="E284" s="23">
        <v>186.22036</v>
      </c>
      <c r="F284" s="23">
        <v>38453.79247</v>
      </c>
      <c r="G284" s="1" t="s">
        <v>9</v>
      </c>
    </row>
    <row r="285" ht="15.75" customHeight="1">
      <c r="A285" s="24">
        <v>43654.0</v>
      </c>
      <c r="B285" s="22">
        <v>4166.0</v>
      </c>
      <c r="C285" s="23">
        <v>366.99462</v>
      </c>
      <c r="D285" s="23">
        <v>237.14367</v>
      </c>
      <c r="E285" s="23">
        <v>191.27104</v>
      </c>
      <c r="F285" s="23">
        <v>38248.43551</v>
      </c>
      <c r="G285" s="1" t="s">
        <v>9</v>
      </c>
    </row>
    <row r="286" ht="15.75" customHeight="1">
      <c r="A286" s="24">
        <v>43685.0</v>
      </c>
      <c r="B286" s="22">
        <v>3387.0</v>
      </c>
      <c r="C286" s="23">
        <v>179.70333</v>
      </c>
      <c r="D286" s="23">
        <v>121.12065</v>
      </c>
      <c r="E286" s="23">
        <v>96.45533</v>
      </c>
      <c r="F286" s="23">
        <v>19341.7236</v>
      </c>
      <c r="G286" s="1" t="s">
        <v>9</v>
      </c>
    </row>
    <row r="287" ht="15.75" customHeight="1">
      <c r="A287" s="24">
        <v>43716.0</v>
      </c>
      <c r="B287" s="22">
        <v>3812.0</v>
      </c>
      <c r="C287" s="23">
        <v>337.82372</v>
      </c>
      <c r="D287" s="23">
        <v>237.9734</v>
      </c>
      <c r="E287" s="23">
        <v>190.50073</v>
      </c>
      <c r="F287" s="23">
        <v>35519.43434</v>
      </c>
      <c r="G287" s="1" t="s">
        <v>9</v>
      </c>
    </row>
    <row r="288" ht="15.75" customHeight="1">
      <c r="A288" s="24">
        <v>43746.0</v>
      </c>
      <c r="B288" s="22">
        <v>3723.0</v>
      </c>
      <c r="C288" s="23">
        <v>301.38093</v>
      </c>
      <c r="D288" s="23">
        <v>223.70271</v>
      </c>
      <c r="E288" s="23">
        <v>177.13355</v>
      </c>
      <c r="F288" s="23">
        <v>30141.62238</v>
      </c>
      <c r="G288" s="1" t="s">
        <v>9</v>
      </c>
    </row>
    <row r="289" ht="15.75" customHeight="1">
      <c r="A289" s="24">
        <v>43777.0</v>
      </c>
      <c r="B289" s="22">
        <v>3270.0</v>
      </c>
      <c r="C289" s="23">
        <v>116.2431</v>
      </c>
      <c r="D289" s="23">
        <v>90.13445</v>
      </c>
      <c r="E289" s="23">
        <v>75.80618</v>
      </c>
      <c r="F289" s="23">
        <v>11176.66766</v>
      </c>
      <c r="G289" s="1" t="s">
        <v>9</v>
      </c>
    </row>
    <row r="290" ht="15.75" customHeight="1">
      <c r="A290" s="24">
        <v>43807.0</v>
      </c>
      <c r="B290" s="22">
        <v>4145.0</v>
      </c>
      <c r="C290" s="23">
        <v>160.57268</v>
      </c>
      <c r="D290" s="23">
        <v>120.07176</v>
      </c>
      <c r="E290" s="23">
        <v>104.96036</v>
      </c>
      <c r="F290" s="23">
        <v>14776.65125</v>
      </c>
      <c r="G290" s="1" t="s">
        <v>9</v>
      </c>
    </row>
    <row r="291" ht="15.75" customHeight="1">
      <c r="A291" s="24">
        <v>43474.0</v>
      </c>
      <c r="B291" s="22">
        <v>3170.0</v>
      </c>
      <c r="C291" s="23">
        <v>177.03776</v>
      </c>
      <c r="D291" s="23">
        <v>133.7411</v>
      </c>
      <c r="E291" s="23">
        <v>123.25115</v>
      </c>
      <c r="F291" s="23">
        <v>15913.66774</v>
      </c>
      <c r="G291" s="1" t="s">
        <v>9</v>
      </c>
    </row>
    <row r="292" ht="15.75" customHeight="1">
      <c r="A292" s="24">
        <v>43505.0</v>
      </c>
      <c r="B292" s="22">
        <v>3050.0</v>
      </c>
      <c r="C292" s="23">
        <v>205.73611</v>
      </c>
      <c r="D292" s="23">
        <v>154.57383</v>
      </c>
      <c r="E292" s="23">
        <v>137.14912</v>
      </c>
      <c r="F292" s="23">
        <v>19041.47269</v>
      </c>
      <c r="G292" s="1" t="s">
        <v>9</v>
      </c>
    </row>
    <row r="293" ht="15.75" customHeight="1">
      <c r="A293" s="24">
        <v>43533.0</v>
      </c>
      <c r="B293" s="22">
        <v>3442.0</v>
      </c>
      <c r="C293" s="23">
        <v>204.40552</v>
      </c>
      <c r="D293" s="23">
        <v>156.24092</v>
      </c>
      <c r="E293" s="23">
        <v>141.93448</v>
      </c>
      <c r="F293" s="23">
        <v>19917.54476</v>
      </c>
      <c r="G293" s="1" t="s">
        <v>9</v>
      </c>
    </row>
    <row r="294" ht="15.75" customHeight="1">
      <c r="A294" s="24">
        <v>43564.0</v>
      </c>
      <c r="B294" s="22">
        <v>3308.0</v>
      </c>
      <c r="C294" s="23">
        <v>111.37692</v>
      </c>
      <c r="D294" s="23">
        <v>84.11306</v>
      </c>
      <c r="E294" s="23">
        <v>75.43699</v>
      </c>
      <c r="F294" s="23">
        <v>10866.43898</v>
      </c>
      <c r="G294" s="1" t="s">
        <v>9</v>
      </c>
    </row>
    <row r="295" ht="15.75" customHeight="1">
      <c r="A295" s="25">
        <v>43594.0</v>
      </c>
      <c r="B295" s="22">
        <v>2971.0</v>
      </c>
      <c r="C295" s="23">
        <v>161.14637</v>
      </c>
      <c r="D295" s="23">
        <v>116.84996</v>
      </c>
      <c r="E295" s="23">
        <v>103.18298</v>
      </c>
      <c r="F295" s="23">
        <v>15491.3003</v>
      </c>
      <c r="G295" s="1" t="s">
        <v>9</v>
      </c>
    </row>
    <row r="296" ht="15.75" customHeight="1">
      <c r="A296" s="24">
        <v>43625.0</v>
      </c>
      <c r="B296" s="22">
        <v>3727.0</v>
      </c>
      <c r="C296" s="23">
        <v>285.38237</v>
      </c>
      <c r="D296" s="23">
        <v>203.79357</v>
      </c>
      <c r="E296" s="23">
        <v>175.8848</v>
      </c>
      <c r="F296" s="23">
        <v>27463.98293</v>
      </c>
      <c r="G296" s="1" t="s">
        <v>9</v>
      </c>
    </row>
    <row r="297" ht="15.75" customHeight="1">
      <c r="A297" s="24">
        <v>43655.0</v>
      </c>
      <c r="B297" s="22">
        <v>3695.0</v>
      </c>
      <c r="C297" s="23">
        <v>150.53912</v>
      </c>
      <c r="D297" s="23">
        <v>107.48245</v>
      </c>
      <c r="E297" s="23">
        <v>93.5273</v>
      </c>
      <c r="F297" s="23">
        <v>13921.2357</v>
      </c>
      <c r="G297" s="1" t="s">
        <v>9</v>
      </c>
    </row>
    <row r="298" ht="15.75" customHeight="1">
      <c r="A298" s="24">
        <v>43686.0</v>
      </c>
      <c r="B298" s="22">
        <v>3043.0</v>
      </c>
      <c r="C298" s="23">
        <v>118.77837</v>
      </c>
      <c r="D298" s="23">
        <v>83.38207</v>
      </c>
      <c r="E298" s="23">
        <v>72.37599</v>
      </c>
      <c r="F298" s="23">
        <v>11112.53647</v>
      </c>
      <c r="G298" s="1" t="s">
        <v>9</v>
      </c>
    </row>
    <row r="299" ht="15.75" customHeight="1">
      <c r="A299" s="24">
        <v>43717.0</v>
      </c>
      <c r="B299" s="22">
        <v>3513.0</v>
      </c>
      <c r="C299" s="23">
        <v>177.02563</v>
      </c>
      <c r="D299" s="23">
        <v>122.94989</v>
      </c>
      <c r="E299" s="23">
        <v>109.47877</v>
      </c>
      <c r="F299" s="23">
        <v>16043.81961</v>
      </c>
      <c r="G299" s="1" t="s">
        <v>9</v>
      </c>
    </row>
    <row r="300" ht="15.75" customHeight="1">
      <c r="A300" s="24">
        <v>43747.0</v>
      </c>
      <c r="B300" s="22">
        <v>3640.0</v>
      </c>
      <c r="C300" s="23">
        <v>139.8178</v>
      </c>
      <c r="D300" s="23">
        <v>95.55536</v>
      </c>
      <c r="E300" s="23">
        <v>86.63972</v>
      </c>
      <c r="F300" s="23">
        <v>12602.62019</v>
      </c>
      <c r="G300" s="1" t="s">
        <v>9</v>
      </c>
    </row>
    <row r="301" ht="15.75" customHeight="1">
      <c r="A301" s="24">
        <v>43778.0</v>
      </c>
      <c r="B301" s="22">
        <v>3420.0</v>
      </c>
      <c r="C301" s="23">
        <v>229.084</v>
      </c>
      <c r="D301" s="23">
        <v>156.4888</v>
      </c>
      <c r="E301" s="23">
        <v>139.65571</v>
      </c>
      <c r="F301" s="23">
        <v>20479.76085</v>
      </c>
      <c r="G301" s="1" t="s">
        <v>9</v>
      </c>
    </row>
    <row r="302" ht="15.75" customHeight="1">
      <c r="A302" s="24">
        <v>43808.0</v>
      </c>
      <c r="B302" s="22">
        <v>4328.0</v>
      </c>
      <c r="C302" s="23">
        <v>233.89253</v>
      </c>
      <c r="D302" s="23">
        <v>162.46964</v>
      </c>
      <c r="E302" s="23">
        <v>145.19251</v>
      </c>
      <c r="F302" s="23">
        <v>21005.29884</v>
      </c>
      <c r="G302" s="1" t="s">
        <v>9</v>
      </c>
    </row>
    <row r="303" ht="15.75" customHeight="1">
      <c r="A303" s="26">
        <v>43475.0</v>
      </c>
      <c r="B303" s="22">
        <v>3233.0</v>
      </c>
      <c r="C303" s="23">
        <v>167.74914</v>
      </c>
      <c r="D303" s="23">
        <v>119.90048</v>
      </c>
      <c r="E303" s="23">
        <v>105.04243</v>
      </c>
      <c r="F303" s="23">
        <v>15124.74729</v>
      </c>
      <c r="G303" s="1" t="s">
        <v>9</v>
      </c>
    </row>
    <row r="304" ht="15.75" customHeight="1">
      <c r="A304" s="26">
        <v>43506.0</v>
      </c>
      <c r="B304" s="22">
        <v>3212.0</v>
      </c>
      <c r="C304" s="23">
        <v>194.58619</v>
      </c>
      <c r="D304" s="23">
        <v>143.47658</v>
      </c>
      <c r="E304" s="23">
        <v>125.51941</v>
      </c>
      <c r="F304" s="23">
        <v>17475.35111</v>
      </c>
      <c r="G304" s="1" t="s">
        <v>9</v>
      </c>
    </row>
    <row r="305" ht="15.75" customHeight="1">
      <c r="A305" s="26">
        <v>43534.0</v>
      </c>
      <c r="B305" s="22">
        <v>3948.0</v>
      </c>
      <c r="C305" s="23">
        <v>212.60357</v>
      </c>
      <c r="D305" s="23">
        <v>157.10006</v>
      </c>
      <c r="E305" s="23">
        <v>140.80076</v>
      </c>
      <c r="F305" s="23">
        <v>19183.60335</v>
      </c>
      <c r="G305" s="1" t="s">
        <v>9</v>
      </c>
    </row>
    <row r="306" ht="15.75" customHeight="1">
      <c r="A306" s="26">
        <v>43565.0</v>
      </c>
      <c r="B306" s="22">
        <v>3524.0</v>
      </c>
      <c r="C306" s="23">
        <v>200.5657</v>
      </c>
      <c r="D306" s="23">
        <v>149.65299</v>
      </c>
      <c r="E306" s="23">
        <v>130.56994</v>
      </c>
      <c r="F306" s="23">
        <v>18403.81827</v>
      </c>
      <c r="G306" s="1" t="s">
        <v>9</v>
      </c>
    </row>
    <row r="307" ht="15.75" customHeight="1">
      <c r="A307" s="27">
        <v>43595.0</v>
      </c>
      <c r="B307" s="22">
        <v>3306.0</v>
      </c>
      <c r="C307" s="23">
        <v>189.4101</v>
      </c>
      <c r="D307" s="23">
        <v>149.20366</v>
      </c>
      <c r="E307" s="23">
        <v>127.48416</v>
      </c>
      <c r="F307" s="23">
        <v>17213.60998</v>
      </c>
      <c r="G307" s="1" t="s">
        <v>9</v>
      </c>
    </row>
    <row r="308" ht="15.75" customHeight="1">
      <c r="A308" s="26">
        <v>43626.0</v>
      </c>
      <c r="B308" s="22">
        <v>3934.0</v>
      </c>
      <c r="C308" s="23">
        <v>208.38803</v>
      </c>
      <c r="D308" s="23">
        <v>168.13923</v>
      </c>
      <c r="E308" s="23">
        <v>139.9255</v>
      </c>
      <c r="F308" s="23">
        <v>18707.94017</v>
      </c>
      <c r="G308" s="1" t="s">
        <v>9</v>
      </c>
    </row>
    <row r="309" ht="15.75" customHeight="1">
      <c r="A309" s="26">
        <v>43656.0</v>
      </c>
      <c r="B309" s="22">
        <v>3541.0</v>
      </c>
      <c r="C309" s="23">
        <v>243.70518</v>
      </c>
      <c r="D309" s="23">
        <v>188.22993</v>
      </c>
      <c r="E309" s="23">
        <v>157.6698</v>
      </c>
      <c r="F309" s="23">
        <v>21126.73601</v>
      </c>
      <c r="G309" s="1" t="s">
        <v>9</v>
      </c>
    </row>
    <row r="310" ht="15.75" customHeight="1">
      <c r="A310" s="26">
        <v>43687.0</v>
      </c>
      <c r="B310" s="22">
        <v>3400.0</v>
      </c>
      <c r="C310" s="23">
        <v>246.52717</v>
      </c>
      <c r="D310" s="23">
        <v>190.24926</v>
      </c>
      <c r="E310" s="23">
        <v>157.87261</v>
      </c>
      <c r="F310" s="23">
        <v>21027.97988</v>
      </c>
      <c r="G310" s="1" t="s">
        <v>9</v>
      </c>
    </row>
    <row r="311" ht="15.75" customHeight="1">
      <c r="A311" s="26">
        <v>43718.0</v>
      </c>
      <c r="B311" s="22">
        <v>3795.0</v>
      </c>
      <c r="C311" s="23">
        <v>318.634</v>
      </c>
      <c r="D311" s="23">
        <v>240.31042</v>
      </c>
      <c r="E311" s="23">
        <v>203.81907</v>
      </c>
      <c r="F311" s="23">
        <v>26693.33051</v>
      </c>
      <c r="G311" s="1" t="s">
        <v>9</v>
      </c>
    </row>
    <row r="312" ht="15.75" customHeight="1">
      <c r="A312" s="26">
        <v>43748.0</v>
      </c>
      <c r="B312" s="22">
        <v>3477.0</v>
      </c>
      <c r="C312" s="23">
        <v>197.09185</v>
      </c>
      <c r="D312" s="23">
        <v>141.739</v>
      </c>
      <c r="E312" s="23">
        <v>123.99626</v>
      </c>
      <c r="F312" s="23">
        <v>16155.44156</v>
      </c>
      <c r="G312" s="1" t="s">
        <v>9</v>
      </c>
    </row>
    <row r="313" ht="15.75" customHeight="1">
      <c r="A313" s="26">
        <v>43779.0</v>
      </c>
      <c r="B313" s="22">
        <v>3704.0</v>
      </c>
      <c r="C313" s="23">
        <v>267.71911</v>
      </c>
      <c r="D313" s="23">
        <v>196.95561</v>
      </c>
      <c r="E313" s="23">
        <v>168.38067</v>
      </c>
      <c r="F313" s="23">
        <v>22200.68277</v>
      </c>
      <c r="G313" s="1" t="s">
        <v>9</v>
      </c>
    </row>
    <row r="314" ht="15.75" customHeight="1">
      <c r="A314" s="26">
        <v>43809.0</v>
      </c>
      <c r="B314" s="22">
        <v>4867.0</v>
      </c>
      <c r="C314" s="23">
        <v>303.43286</v>
      </c>
      <c r="D314" s="23">
        <v>227.91453</v>
      </c>
      <c r="E314" s="23">
        <v>193.54632</v>
      </c>
      <c r="F314" s="23">
        <v>25241.93751</v>
      </c>
      <c r="G314" s="1" t="s">
        <v>9</v>
      </c>
    </row>
    <row r="315" ht="15.75" customHeight="1">
      <c r="A315" s="26">
        <v>43476.0</v>
      </c>
      <c r="B315" s="22">
        <v>3675.0</v>
      </c>
      <c r="C315" s="23">
        <v>240.75212</v>
      </c>
      <c r="D315" s="23">
        <v>179.31237</v>
      </c>
      <c r="E315" s="23">
        <v>151.87714</v>
      </c>
      <c r="F315" s="23">
        <v>19772.1441</v>
      </c>
      <c r="G315" s="1" t="s">
        <v>9</v>
      </c>
    </row>
    <row r="316" ht="15.75" customHeight="1">
      <c r="A316" s="26">
        <v>43507.0</v>
      </c>
      <c r="B316" s="22">
        <v>3343.0</v>
      </c>
      <c r="C316" s="23">
        <v>239.83333</v>
      </c>
      <c r="D316" s="23">
        <v>174.94245</v>
      </c>
      <c r="E316" s="23">
        <v>148.9601</v>
      </c>
      <c r="F316" s="23">
        <v>19700.9765</v>
      </c>
      <c r="G316" s="1" t="s">
        <v>9</v>
      </c>
    </row>
    <row r="317" ht="15.75" customHeight="1">
      <c r="A317" s="26">
        <v>43535.0</v>
      </c>
      <c r="B317" s="22">
        <v>3984.0</v>
      </c>
      <c r="C317" s="23">
        <v>298.28497</v>
      </c>
      <c r="D317" s="23">
        <v>213.5871</v>
      </c>
      <c r="E317" s="23">
        <v>184.55535</v>
      </c>
      <c r="F317" s="23">
        <v>24459.8301</v>
      </c>
      <c r="G317" s="1" t="s">
        <v>9</v>
      </c>
    </row>
    <row r="318" ht="15.75" customHeight="1">
      <c r="A318" s="26">
        <v>43566.0</v>
      </c>
      <c r="B318" s="22">
        <v>3581.0</v>
      </c>
      <c r="C318" s="23">
        <v>238.43823</v>
      </c>
      <c r="D318" s="23">
        <v>166.63735</v>
      </c>
      <c r="E318" s="23">
        <v>146.6014</v>
      </c>
      <c r="F318" s="23">
        <v>19661.49397</v>
      </c>
      <c r="G318" s="1" t="s">
        <v>9</v>
      </c>
    </row>
    <row r="319" ht="15.75" customHeight="1">
      <c r="A319" s="27">
        <v>43596.0</v>
      </c>
      <c r="B319" s="22">
        <v>3601.0</v>
      </c>
      <c r="C319" s="23">
        <v>220.58758</v>
      </c>
      <c r="D319" s="23">
        <v>154.84924</v>
      </c>
      <c r="E319" s="23">
        <v>135.72763</v>
      </c>
      <c r="F319" s="23">
        <v>17862.25564</v>
      </c>
      <c r="G319" s="1" t="s">
        <v>9</v>
      </c>
    </row>
    <row r="320" ht="15.75" customHeight="1">
      <c r="A320" s="26">
        <v>43627.0</v>
      </c>
      <c r="B320" s="22">
        <v>3864.0</v>
      </c>
      <c r="C320" s="23">
        <v>220.29376</v>
      </c>
      <c r="D320" s="23">
        <v>154.48092</v>
      </c>
      <c r="E320" s="23">
        <v>136.53907</v>
      </c>
      <c r="F320" s="23">
        <v>17660.48425</v>
      </c>
      <c r="G320" s="1" t="s">
        <v>9</v>
      </c>
    </row>
    <row r="321" ht="15.75" customHeight="1">
      <c r="A321" s="26">
        <v>43657.0</v>
      </c>
      <c r="B321" s="22">
        <v>3539.0</v>
      </c>
      <c r="C321" s="23">
        <v>247.2467</v>
      </c>
      <c r="D321" s="23">
        <v>174.29811</v>
      </c>
      <c r="E321" s="23">
        <v>153.27906</v>
      </c>
      <c r="F321" s="23">
        <v>19557.34356</v>
      </c>
      <c r="G321" s="1" t="s">
        <v>9</v>
      </c>
    </row>
    <row r="322" ht="15.75" customHeight="1">
      <c r="A322" s="26">
        <v>43688.0</v>
      </c>
      <c r="B322" s="22">
        <v>3373.0</v>
      </c>
      <c r="C322" s="23">
        <v>218.19635</v>
      </c>
      <c r="D322" s="23">
        <v>153.36859</v>
      </c>
      <c r="E322" s="23">
        <v>133.942</v>
      </c>
      <c r="F322" s="23">
        <v>16863.30125</v>
      </c>
      <c r="G322" s="1" t="s">
        <v>9</v>
      </c>
    </row>
    <row r="323" ht="15.75" customHeight="1">
      <c r="A323" s="26">
        <v>43719.0</v>
      </c>
      <c r="B323" s="22">
        <v>3364.0</v>
      </c>
      <c r="C323" s="23">
        <v>138.0695</v>
      </c>
      <c r="D323" s="23">
        <v>101.13503</v>
      </c>
      <c r="E323" s="23">
        <v>87.73446</v>
      </c>
      <c r="F323" s="23">
        <v>10651.93324</v>
      </c>
      <c r="G323" s="1" t="s">
        <v>9</v>
      </c>
    </row>
    <row r="324" ht="15.75" customHeight="1">
      <c r="A324" s="26">
        <v>43749.0</v>
      </c>
      <c r="B324" s="22">
        <v>3214.0</v>
      </c>
      <c r="C324" s="23">
        <v>235.83997</v>
      </c>
      <c r="D324" s="23">
        <v>171.59744</v>
      </c>
      <c r="E324" s="23">
        <v>149.22014</v>
      </c>
      <c r="F324" s="23">
        <v>18495.73908</v>
      </c>
      <c r="G324" s="1" t="s">
        <v>9</v>
      </c>
    </row>
    <row r="325" ht="15.75" customHeight="1">
      <c r="A325" s="26">
        <v>43780.0</v>
      </c>
      <c r="B325" s="22">
        <v>3467.0</v>
      </c>
      <c r="C325" s="23">
        <v>173.0525</v>
      </c>
      <c r="D325" s="23">
        <v>128.43479</v>
      </c>
      <c r="E325" s="23">
        <v>109.62749</v>
      </c>
      <c r="F325" s="23">
        <v>13479.68148</v>
      </c>
      <c r="G325" s="1" t="s">
        <v>9</v>
      </c>
    </row>
    <row r="326" ht="15.75" customHeight="1">
      <c r="A326" s="26">
        <v>43810.0</v>
      </c>
      <c r="B326" s="22">
        <v>4131.0</v>
      </c>
      <c r="C326" s="23">
        <v>198.18612</v>
      </c>
      <c r="D326" s="23">
        <v>150.80527</v>
      </c>
      <c r="E326" s="23">
        <v>126.80728</v>
      </c>
      <c r="F326" s="23">
        <v>15692.43612</v>
      </c>
      <c r="G326" s="1" t="s">
        <v>9</v>
      </c>
    </row>
    <row r="327" ht="15.75" customHeight="1">
      <c r="A327" s="26">
        <v>43477.0</v>
      </c>
      <c r="B327" s="22">
        <v>3152.0</v>
      </c>
      <c r="C327" s="23">
        <v>123.42479</v>
      </c>
      <c r="D327" s="23">
        <v>95.0903</v>
      </c>
      <c r="E327" s="23">
        <v>79.14958</v>
      </c>
      <c r="F327" s="23">
        <v>9605.41428</v>
      </c>
      <c r="G327" s="1" t="s">
        <v>9</v>
      </c>
    </row>
    <row r="328" ht="15.75" customHeight="1">
      <c r="A328" s="26">
        <v>43508.0</v>
      </c>
      <c r="B328" s="22">
        <v>3151.0</v>
      </c>
      <c r="C328" s="23">
        <v>213.36158</v>
      </c>
      <c r="D328" s="23">
        <v>162.37682</v>
      </c>
      <c r="E328" s="23">
        <v>134.58442</v>
      </c>
      <c r="F328" s="23">
        <v>16879.42154</v>
      </c>
      <c r="G328" s="1" t="s">
        <v>9</v>
      </c>
    </row>
    <row r="329" ht="15.75" customHeight="1">
      <c r="A329" s="26">
        <v>43536.0</v>
      </c>
      <c r="B329" s="22">
        <v>3579.0</v>
      </c>
      <c r="C329" s="23">
        <v>167.38987</v>
      </c>
      <c r="D329" s="23">
        <v>126.78798</v>
      </c>
      <c r="E329" s="23">
        <v>105.63922</v>
      </c>
      <c r="F329" s="23">
        <v>13793.66796</v>
      </c>
      <c r="G329" s="1" t="s">
        <v>9</v>
      </c>
    </row>
    <row r="330" ht="15.75" customHeight="1">
      <c r="A330" s="26">
        <v>43567.0</v>
      </c>
      <c r="B330" s="22">
        <v>3168.0</v>
      </c>
      <c r="C330" s="23">
        <v>235.42361</v>
      </c>
      <c r="D330" s="23">
        <v>178.44878</v>
      </c>
      <c r="E330" s="23">
        <v>146.94613</v>
      </c>
      <c r="F330" s="23">
        <v>19256.13427</v>
      </c>
      <c r="G330" s="1" t="s">
        <v>9</v>
      </c>
    </row>
    <row r="331" ht="15.75" customHeight="1">
      <c r="A331" s="27">
        <v>43597.0</v>
      </c>
      <c r="B331" s="22">
        <v>3448.0</v>
      </c>
      <c r="C331" s="23">
        <v>225.52985</v>
      </c>
      <c r="D331" s="23">
        <v>176.67955</v>
      </c>
      <c r="E331" s="23">
        <v>142.51606</v>
      </c>
      <c r="F331" s="23">
        <v>18076.65501</v>
      </c>
      <c r="G331" s="1" t="s">
        <v>9</v>
      </c>
    </row>
    <row r="332" ht="15.75" customHeight="1">
      <c r="A332" s="26">
        <v>43628.0</v>
      </c>
      <c r="B332" s="22">
        <v>3397.0</v>
      </c>
      <c r="C332" s="23">
        <v>214.59005</v>
      </c>
      <c r="D332" s="23">
        <v>169.32517</v>
      </c>
      <c r="E332" s="23">
        <v>136.42957</v>
      </c>
      <c r="F332" s="23">
        <v>17584.53792</v>
      </c>
      <c r="G332" s="1" t="s">
        <v>9</v>
      </c>
    </row>
    <row r="333" ht="15.75" customHeight="1">
      <c r="A333" s="26">
        <v>43658.0</v>
      </c>
      <c r="B333" s="22">
        <v>3426.0</v>
      </c>
      <c r="C333" s="23">
        <v>232.97116</v>
      </c>
      <c r="D333" s="23">
        <v>186.91076</v>
      </c>
      <c r="E333" s="23">
        <v>149.30539</v>
      </c>
      <c r="F333" s="23">
        <v>19031.65014</v>
      </c>
      <c r="G333" s="1" t="s">
        <v>9</v>
      </c>
    </row>
    <row r="334" ht="15.75" customHeight="1">
      <c r="A334" s="26">
        <v>43689.0</v>
      </c>
      <c r="B334" s="22">
        <v>3132.0</v>
      </c>
      <c r="C334" s="23">
        <v>187.73645</v>
      </c>
      <c r="D334" s="23">
        <v>149.38637</v>
      </c>
      <c r="E334" s="23">
        <v>119.14138</v>
      </c>
      <c r="F334" s="23">
        <v>14945.84705</v>
      </c>
      <c r="G334" s="1" t="s">
        <v>9</v>
      </c>
    </row>
    <row r="335" ht="15.75" customHeight="1">
      <c r="A335" s="26">
        <v>43720.0</v>
      </c>
      <c r="B335" s="22">
        <v>3068.0</v>
      </c>
      <c r="C335" s="23">
        <v>131.73917</v>
      </c>
      <c r="D335" s="23">
        <v>101.46588</v>
      </c>
      <c r="E335" s="23">
        <v>81.77515</v>
      </c>
      <c r="F335" s="23">
        <v>10543.0397</v>
      </c>
      <c r="G335" s="1" t="s">
        <v>9</v>
      </c>
    </row>
    <row r="336" ht="15.75" customHeight="1">
      <c r="A336" s="26">
        <v>43750.0</v>
      </c>
      <c r="B336" s="22">
        <v>3543.0</v>
      </c>
      <c r="C336" s="23">
        <v>276.20166</v>
      </c>
      <c r="D336" s="23">
        <v>213.03573</v>
      </c>
      <c r="E336" s="23">
        <v>173.74552</v>
      </c>
      <c r="F336" s="23">
        <v>22832.07263</v>
      </c>
      <c r="G336" s="1" t="s">
        <v>9</v>
      </c>
    </row>
    <row r="337" ht="15.75" customHeight="1">
      <c r="A337" s="26">
        <v>43781.0</v>
      </c>
      <c r="B337" s="22">
        <v>3448.0</v>
      </c>
      <c r="C337" s="23">
        <v>207.94035</v>
      </c>
      <c r="D337" s="23">
        <v>161.39066</v>
      </c>
      <c r="E337" s="23">
        <v>130.55323</v>
      </c>
      <c r="F337" s="23">
        <v>17376.08397</v>
      </c>
      <c r="G337" s="1" t="s">
        <v>9</v>
      </c>
    </row>
    <row r="338" ht="15.75" customHeight="1">
      <c r="A338" s="26">
        <v>43811.0</v>
      </c>
      <c r="B338" s="22">
        <v>4255.0</v>
      </c>
      <c r="C338" s="23">
        <v>316.49796</v>
      </c>
      <c r="D338" s="23">
        <v>240.45842</v>
      </c>
      <c r="E338" s="23">
        <v>196.3883</v>
      </c>
      <c r="F338" s="23">
        <v>26929.44701</v>
      </c>
      <c r="G338" s="1" t="s">
        <v>9</v>
      </c>
    </row>
    <row r="339" ht="15.75" customHeight="1">
      <c r="A339" s="26">
        <v>43478.0</v>
      </c>
      <c r="B339" s="22">
        <v>3479.0</v>
      </c>
      <c r="C339" s="23">
        <v>143.17241</v>
      </c>
      <c r="D339" s="23">
        <v>107.83479</v>
      </c>
      <c r="E339" s="23">
        <v>90.23963</v>
      </c>
      <c r="F339" s="23">
        <v>13088.17721</v>
      </c>
      <c r="G339" s="1" t="s">
        <v>9</v>
      </c>
    </row>
    <row r="340" ht="15.75" customHeight="1">
      <c r="A340" s="26">
        <v>43509.0</v>
      </c>
      <c r="B340" s="22">
        <v>2875.0</v>
      </c>
      <c r="C340" s="23">
        <v>222.91325</v>
      </c>
      <c r="D340" s="23">
        <v>166.97501</v>
      </c>
      <c r="E340" s="23">
        <v>143.01726</v>
      </c>
      <c r="F340" s="23">
        <v>21113.49662</v>
      </c>
      <c r="G340" s="1" t="s">
        <v>9</v>
      </c>
    </row>
    <row r="341" ht="15.75" customHeight="1">
      <c r="A341" s="26">
        <v>43537.0</v>
      </c>
      <c r="B341" s="22">
        <v>3014.0</v>
      </c>
      <c r="C341" s="23">
        <v>176.45283</v>
      </c>
      <c r="D341" s="23">
        <v>136.15402</v>
      </c>
      <c r="E341" s="23">
        <v>115.26244</v>
      </c>
      <c r="F341" s="23">
        <v>16927.69082</v>
      </c>
      <c r="G341" s="1" t="s">
        <v>9</v>
      </c>
    </row>
    <row r="342" ht="15.75" customHeight="1">
      <c r="A342" s="26">
        <v>43568.0</v>
      </c>
      <c r="B342" s="22">
        <v>3160.0</v>
      </c>
      <c r="C342" s="23">
        <v>175.39652</v>
      </c>
      <c r="D342" s="23">
        <v>134.1309</v>
      </c>
      <c r="E342" s="23">
        <v>113.01238</v>
      </c>
      <c r="F342" s="23">
        <v>17253.8749</v>
      </c>
      <c r="G342" s="1" t="s">
        <v>9</v>
      </c>
    </row>
    <row r="343" ht="15.75" customHeight="1">
      <c r="A343" s="27">
        <v>43598.0</v>
      </c>
      <c r="B343" s="22">
        <v>3124.0</v>
      </c>
      <c r="C343" s="23">
        <v>199.39111</v>
      </c>
      <c r="D343" s="23">
        <v>153.3474</v>
      </c>
      <c r="E343" s="23">
        <v>129.78159</v>
      </c>
      <c r="F343" s="23">
        <v>20144.58885</v>
      </c>
      <c r="G343" s="1" t="s">
        <v>9</v>
      </c>
    </row>
    <row r="344" ht="15.75" customHeight="1">
      <c r="A344" s="26">
        <v>43629.0</v>
      </c>
      <c r="B344" s="22">
        <v>3049.0</v>
      </c>
      <c r="C344" s="23">
        <v>201.03519</v>
      </c>
      <c r="D344" s="23">
        <v>152.27967</v>
      </c>
      <c r="E344" s="23">
        <v>129.3095</v>
      </c>
      <c r="F344" s="23">
        <v>19785.81997</v>
      </c>
      <c r="G344" s="1" t="s">
        <v>9</v>
      </c>
    </row>
    <row r="345" ht="15.75" customHeight="1">
      <c r="A345" s="26">
        <v>43659.0</v>
      </c>
      <c r="B345" s="22">
        <v>3400.0</v>
      </c>
      <c r="C345" s="23">
        <v>260.5526</v>
      </c>
      <c r="D345" s="23">
        <v>197.66206</v>
      </c>
      <c r="E345" s="23">
        <v>169.83062</v>
      </c>
      <c r="F345" s="23">
        <v>25936.13366</v>
      </c>
      <c r="G345" s="1" t="s">
        <v>9</v>
      </c>
    </row>
    <row r="346" ht="15.75" customHeight="1">
      <c r="A346" s="26">
        <v>43690.0</v>
      </c>
      <c r="B346" s="22">
        <v>3015.0</v>
      </c>
      <c r="C346" s="23">
        <v>136.94598</v>
      </c>
      <c r="D346" s="23">
        <v>102.81664</v>
      </c>
      <c r="E346" s="23">
        <v>88.11469</v>
      </c>
      <c r="F346" s="23">
        <v>13409.40868</v>
      </c>
      <c r="G346" s="1" t="s">
        <v>9</v>
      </c>
    </row>
    <row r="347" ht="15.75" customHeight="1">
      <c r="A347" s="26">
        <v>43721.0</v>
      </c>
      <c r="B347" s="22">
        <v>3241.0</v>
      </c>
      <c r="C347" s="23">
        <v>339.07806</v>
      </c>
      <c r="D347" s="23">
        <v>256.48554</v>
      </c>
      <c r="E347" s="23">
        <v>216.90219</v>
      </c>
      <c r="F347" s="23">
        <v>33798.37467</v>
      </c>
      <c r="G347" s="1" t="s">
        <v>9</v>
      </c>
    </row>
    <row r="348" ht="15.75" customHeight="1">
      <c r="A348" s="26">
        <v>43751.0</v>
      </c>
      <c r="B348" s="22">
        <v>3353.0</v>
      </c>
      <c r="C348" s="23">
        <v>225.11712</v>
      </c>
      <c r="D348" s="23">
        <v>165.72752</v>
      </c>
      <c r="E348" s="23">
        <v>139.936</v>
      </c>
      <c r="F348" s="23">
        <v>22368.52157</v>
      </c>
      <c r="G348" s="1" t="s">
        <v>9</v>
      </c>
    </row>
    <row r="349" ht="15.75" customHeight="1">
      <c r="A349" s="26">
        <v>43782.0</v>
      </c>
      <c r="B349" s="22">
        <v>3263.0</v>
      </c>
      <c r="C349" s="23">
        <v>212.18567</v>
      </c>
      <c r="D349" s="23">
        <v>157.21302</v>
      </c>
      <c r="E349" s="23">
        <v>131.40382</v>
      </c>
      <c r="F349" s="23">
        <v>21353.64615</v>
      </c>
      <c r="G349" s="1" t="s">
        <v>9</v>
      </c>
    </row>
    <row r="350" ht="15.75" customHeight="1">
      <c r="A350" s="26">
        <v>43812.0</v>
      </c>
      <c r="B350" s="22">
        <v>3942.0</v>
      </c>
      <c r="C350" s="23">
        <v>244.82678</v>
      </c>
      <c r="D350" s="23">
        <v>179.62412</v>
      </c>
      <c r="E350" s="23">
        <v>150.10713</v>
      </c>
      <c r="F350" s="23">
        <v>25398.74883</v>
      </c>
      <c r="G350" s="1" t="s">
        <v>9</v>
      </c>
    </row>
    <row r="351" ht="15.75" customHeight="1">
      <c r="A351" s="26">
        <v>43479.0</v>
      </c>
      <c r="B351" s="22">
        <v>3241.0</v>
      </c>
      <c r="C351" s="23">
        <v>220.19935</v>
      </c>
      <c r="D351" s="23">
        <v>162.35364</v>
      </c>
      <c r="E351" s="23">
        <v>135.15026</v>
      </c>
      <c r="F351" s="23">
        <v>22806.15775</v>
      </c>
      <c r="G351" s="1" t="s">
        <v>9</v>
      </c>
    </row>
    <row r="352" ht="15.75" customHeight="1">
      <c r="A352" s="26">
        <v>43510.0</v>
      </c>
      <c r="B352" s="22">
        <v>2805.0</v>
      </c>
      <c r="C352" s="23">
        <v>257.49431</v>
      </c>
      <c r="D352" s="23">
        <v>189.24977</v>
      </c>
      <c r="E352" s="23">
        <v>157.08047</v>
      </c>
      <c r="F352" s="23">
        <v>26531.12278</v>
      </c>
      <c r="G352" s="1" t="s">
        <v>9</v>
      </c>
    </row>
    <row r="353" ht="15.75" customHeight="1">
      <c r="A353" s="26">
        <v>43538.0</v>
      </c>
      <c r="B353" s="22">
        <v>3580.0</v>
      </c>
      <c r="C353" s="23">
        <v>307.96884</v>
      </c>
      <c r="D353" s="23">
        <v>227.49593</v>
      </c>
      <c r="E353" s="23">
        <v>186.79005</v>
      </c>
      <c r="F353" s="23">
        <v>32386.18477</v>
      </c>
      <c r="G353" s="1" t="s">
        <v>9</v>
      </c>
    </row>
    <row r="354" ht="15.75" customHeight="1">
      <c r="A354" s="26">
        <v>43569.0</v>
      </c>
      <c r="B354" s="22">
        <v>3631.0</v>
      </c>
      <c r="C354" s="23">
        <v>522.55468</v>
      </c>
      <c r="D354" s="23">
        <v>386.42655</v>
      </c>
      <c r="E354" s="23">
        <v>313.93332</v>
      </c>
      <c r="F354" s="23">
        <v>54201.78528</v>
      </c>
      <c r="G354" s="1" t="s">
        <v>9</v>
      </c>
    </row>
    <row r="355" ht="15.75" customHeight="1">
      <c r="A355" s="27">
        <v>43599.0</v>
      </c>
      <c r="B355" s="22">
        <v>3431.0</v>
      </c>
      <c r="C355" s="23">
        <v>277.75882</v>
      </c>
      <c r="D355" s="23">
        <v>202.93185</v>
      </c>
      <c r="E355" s="23">
        <v>165.72036</v>
      </c>
      <c r="F355" s="23">
        <v>28354.63912</v>
      </c>
      <c r="G355" s="1" t="s">
        <v>9</v>
      </c>
    </row>
    <row r="356" ht="15.75" customHeight="1">
      <c r="A356" s="26">
        <v>43630.0</v>
      </c>
      <c r="B356" s="22">
        <v>3644.0</v>
      </c>
      <c r="C356" s="23">
        <v>381.16754</v>
      </c>
      <c r="D356" s="23">
        <v>282.00649</v>
      </c>
      <c r="E356" s="23">
        <v>225.99941</v>
      </c>
      <c r="F356" s="23">
        <v>39120.74783</v>
      </c>
      <c r="G356" s="1" t="s">
        <v>9</v>
      </c>
    </row>
    <row r="357" ht="15.75" customHeight="1">
      <c r="A357" s="26">
        <v>43660.0</v>
      </c>
      <c r="B357" s="22">
        <v>3730.0</v>
      </c>
      <c r="C357" s="23">
        <v>415.48155</v>
      </c>
      <c r="D357" s="23">
        <v>310.2631</v>
      </c>
      <c r="E357" s="23">
        <v>246.26837</v>
      </c>
      <c r="F357" s="23">
        <v>43026.29075</v>
      </c>
      <c r="G357" s="1" t="s">
        <v>9</v>
      </c>
    </row>
    <row r="358" ht="15.75" customHeight="1">
      <c r="A358" s="26">
        <v>43691.0</v>
      </c>
      <c r="B358" s="22">
        <v>3200.0</v>
      </c>
      <c r="C358" s="23">
        <v>263.9104</v>
      </c>
      <c r="D358" s="23">
        <v>199.41215</v>
      </c>
      <c r="E358" s="23">
        <v>158.67866</v>
      </c>
      <c r="F358" s="23">
        <v>27585.8945</v>
      </c>
      <c r="G358" s="1" t="s">
        <v>9</v>
      </c>
    </row>
    <row r="359" ht="15.75" customHeight="1">
      <c r="A359" s="26">
        <v>43722.0</v>
      </c>
      <c r="B359" s="22">
        <v>3902.0</v>
      </c>
      <c r="C359" s="23">
        <v>343.38463</v>
      </c>
      <c r="D359" s="23">
        <v>264.8395</v>
      </c>
      <c r="E359" s="23">
        <v>210.17429</v>
      </c>
      <c r="F359" s="23">
        <v>38166.727</v>
      </c>
      <c r="G359" s="1" t="s">
        <v>9</v>
      </c>
    </row>
    <row r="360" ht="15.75" customHeight="1">
      <c r="A360" s="26">
        <v>43752.0</v>
      </c>
      <c r="B360" s="22">
        <v>3900.0</v>
      </c>
      <c r="C360" s="23">
        <v>250.8068</v>
      </c>
      <c r="D360" s="23">
        <v>199.34956</v>
      </c>
      <c r="E360" s="23">
        <v>156.54411</v>
      </c>
      <c r="F360" s="23">
        <v>27824.75638</v>
      </c>
      <c r="G360" s="1" t="s">
        <v>9</v>
      </c>
    </row>
    <row r="361" ht="15.75" customHeight="1">
      <c r="A361" s="26">
        <v>43783.0</v>
      </c>
      <c r="B361" s="22">
        <v>3449.0</v>
      </c>
      <c r="C361" s="23">
        <v>365.85444</v>
      </c>
      <c r="D361" s="23">
        <v>290.07428</v>
      </c>
      <c r="E361" s="23">
        <v>230.39855</v>
      </c>
      <c r="F361" s="23">
        <v>42664.73763</v>
      </c>
      <c r="G361" s="1" t="s">
        <v>9</v>
      </c>
    </row>
    <row r="362" ht="15.75" customHeight="1">
      <c r="A362" s="26">
        <v>43813.0</v>
      </c>
      <c r="B362" s="22">
        <v>4669.0</v>
      </c>
      <c r="C362" s="23">
        <v>353.67781</v>
      </c>
      <c r="D362" s="23">
        <v>291.5885</v>
      </c>
      <c r="E362" s="23">
        <v>226.57837</v>
      </c>
      <c r="F362" s="23">
        <v>42184.81877</v>
      </c>
      <c r="G362" s="1" t="s">
        <v>9</v>
      </c>
    </row>
    <row r="363" ht="15.75" customHeight="1">
      <c r="A363" s="26">
        <v>43480.0</v>
      </c>
      <c r="B363" s="22">
        <v>3403.0</v>
      </c>
      <c r="C363" s="23">
        <v>269.98536</v>
      </c>
      <c r="D363" s="23">
        <v>234.63926</v>
      </c>
      <c r="E363" s="23">
        <v>177.85373</v>
      </c>
      <c r="F363" s="23">
        <v>32132.0024</v>
      </c>
      <c r="G363" s="1" t="s">
        <v>9</v>
      </c>
    </row>
    <row r="364" ht="15.75" customHeight="1">
      <c r="A364" s="26">
        <v>43511.0</v>
      </c>
      <c r="B364" s="22">
        <v>3304.0</v>
      </c>
      <c r="C364" s="23">
        <v>244.97629</v>
      </c>
      <c r="D364" s="23">
        <v>213.95851</v>
      </c>
      <c r="E364" s="23">
        <v>159.47957</v>
      </c>
      <c r="F364" s="23">
        <v>29096.77727</v>
      </c>
      <c r="G364" s="1" t="s">
        <v>9</v>
      </c>
    </row>
    <row r="365" ht="15.75" customHeight="1">
      <c r="A365" s="26">
        <v>43539.0</v>
      </c>
      <c r="B365" s="22">
        <v>3951.0</v>
      </c>
      <c r="C365" s="23">
        <v>375.93938</v>
      </c>
      <c r="D365" s="23">
        <v>339.73244</v>
      </c>
      <c r="E365" s="23">
        <v>248.73616</v>
      </c>
      <c r="F365" s="23">
        <v>45258.45574</v>
      </c>
      <c r="G365" s="1" t="s">
        <v>9</v>
      </c>
    </row>
    <row r="366" ht="15.75" customHeight="1">
      <c r="A366" s="26">
        <v>43570.0</v>
      </c>
      <c r="B366" s="22">
        <v>4055.0</v>
      </c>
      <c r="C366" s="23">
        <v>399.95789</v>
      </c>
      <c r="D366" s="23">
        <v>367.28974</v>
      </c>
      <c r="E366" s="23">
        <v>266.46272</v>
      </c>
      <c r="F366" s="23">
        <v>47832.58035</v>
      </c>
      <c r="G366" s="1" t="s">
        <v>9</v>
      </c>
    </row>
    <row r="367" ht="15.75" customHeight="1">
      <c r="A367" s="27">
        <v>43600.0</v>
      </c>
      <c r="B367" s="22">
        <v>3792.0</v>
      </c>
      <c r="C367" s="23">
        <v>446.44907</v>
      </c>
      <c r="D367" s="23">
        <v>402.22112</v>
      </c>
      <c r="E367" s="23">
        <v>289.30166</v>
      </c>
      <c r="F367" s="23">
        <v>54170.56933</v>
      </c>
      <c r="G367" s="1" t="s">
        <v>9</v>
      </c>
    </row>
    <row r="368" ht="15.75" customHeight="1">
      <c r="A368" s="26">
        <v>43631.0</v>
      </c>
      <c r="B368" s="22">
        <v>4439.0</v>
      </c>
      <c r="C368" s="23">
        <v>428.89656</v>
      </c>
      <c r="D368" s="23">
        <v>382.86836</v>
      </c>
      <c r="E368" s="23">
        <v>277.00161</v>
      </c>
      <c r="F368" s="23">
        <v>52748.79667</v>
      </c>
      <c r="G368" s="1" t="s">
        <v>9</v>
      </c>
    </row>
    <row r="369" ht="15.75" customHeight="1">
      <c r="A369" s="26">
        <v>43661.0</v>
      </c>
      <c r="B369" s="22">
        <v>4408.0</v>
      </c>
      <c r="C369" s="23">
        <v>443.74132</v>
      </c>
      <c r="D369" s="23">
        <v>402.5454</v>
      </c>
      <c r="E369" s="23">
        <v>289.53049</v>
      </c>
      <c r="F369" s="23">
        <v>54170.02289</v>
      </c>
      <c r="G369" s="1" t="s">
        <v>9</v>
      </c>
    </row>
    <row r="370" ht="15.75" customHeight="1">
      <c r="A370" s="26">
        <v>43692.0</v>
      </c>
      <c r="B370" s="22">
        <v>3550.0</v>
      </c>
      <c r="C370" s="23">
        <v>348.25496</v>
      </c>
      <c r="D370" s="23">
        <v>313.48396</v>
      </c>
      <c r="E370" s="23">
        <v>226.02586</v>
      </c>
      <c r="F370" s="23">
        <v>42723.77612</v>
      </c>
      <c r="G370" s="1" t="s">
        <v>9</v>
      </c>
    </row>
    <row r="371" ht="15.75" customHeight="1">
      <c r="A371" s="26">
        <v>43723.0</v>
      </c>
      <c r="B371" s="22">
        <v>3964.0</v>
      </c>
      <c r="C371" s="23">
        <v>414.69552</v>
      </c>
      <c r="D371" s="23">
        <v>371.85863</v>
      </c>
      <c r="E371" s="23">
        <v>282.57665</v>
      </c>
      <c r="F371" s="23">
        <v>48070.81515</v>
      </c>
      <c r="G371" s="1" t="s">
        <v>9</v>
      </c>
    </row>
    <row r="372" ht="15.75" customHeight="1">
      <c r="A372" s="26">
        <v>43753.0</v>
      </c>
      <c r="B372" s="22">
        <v>3889.0</v>
      </c>
      <c r="C372" s="23">
        <v>446.90443</v>
      </c>
      <c r="D372" s="23">
        <v>390.71123</v>
      </c>
      <c r="E372" s="23">
        <v>291.30979</v>
      </c>
      <c r="F372" s="23">
        <v>53419.55843</v>
      </c>
      <c r="G372" s="1" t="s">
        <v>9</v>
      </c>
    </row>
    <row r="373" ht="15.75" customHeight="1">
      <c r="A373" s="26">
        <v>43784.0</v>
      </c>
      <c r="B373" s="22">
        <v>3760.0</v>
      </c>
      <c r="C373" s="23">
        <v>549.18297</v>
      </c>
      <c r="D373" s="23">
        <v>504.62444</v>
      </c>
      <c r="E373" s="23">
        <v>363.80118</v>
      </c>
      <c r="F373" s="23">
        <v>66660.51375</v>
      </c>
      <c r="G373" s="1" t="s">
        <v>9</v>
      </c>
    </row>
    <row r="374" ht="15.75" customHeight="1">
      <c r="A374" s="26">
        <v>43814.0</v>
      </c>
      <c r="B374" s="22">
        <v>4869.0</v>
      </c>
      <c r="C374" s="23">
        <v>407.88989</v>
      </c>
      <c r="D374" s="23">
        <v>371.66178</v>
      </c>
      <c r="E374" s="23">
        <v>273.42378</v>
      </c>
      <c r="F374" s="23">
        <v>48976.42843</v>
      </c>
      <c r="G374" s="1" t="s">
        <v>9</v>
      </c>
    </row>
    <row r="375" ht="15.75" customHeight="1">
      <c r="A375" s="26">
        <v>43481.0</v>
      </c>
      <c r="B375" s="22">
        <v>3666.0</v>
      </c>
      <c r="C375" s="23">
        <v>226.98652</v>
      </c>
      <c r="D375" s="23">
        <v>206.26244</v>
      </c>
      <c r="E375" s="23">
        <v>156.72596</v>
      </c>
      <c r="F375" s="23">
        <v>26427.4708</v>
      </c>
      <c r="G375" s="1" t="s">
        <v>9</v>
      </c>
    </row>
    <row r="376" ht="15.75" customHeight="1">
      <c r="A376" s="26">
        <v>43512.0</v>
      </c>
      <c r="B376" s="22">
        <v>3755.0</v>
      </c>
      <c r="C376" s="23">
        <v>368.00882</v>
      </c>
      <c r="D376" s="23">
        <v>333.67028</v>
      </c>
      <c r="E376" s="23">
        <v>258.90757</v>
      </c>
      <c r="F376" s="23">
        <v>42219.47642</v>
      </c>
      <c r="G376" s="1" t="s">
        <v>9</v>
      </c>
    </row>
    <row r="377" ht="15.75" customHeight="1">
      <c r="A377" s="26">
        <v>43540.0</v>
      </c>
      <c r="B377" s="22">
        <v>4355.0</v>
      </c>
      <c r="C377" s="23">
        <v>255.5778</v>
      </c>
      <c r="D377" s="23">
        <v>228.10604</v>
      </c>
      <c r="E377" s="23">
        <v>179.21566</v>
      </c>
      <c r="F377" s="23">
        <v>28721.608</v>
      </c>
      <c r="G377" s="1" t="s">
        <v>9</v>
      </c>
    </row>
    <row r="378" ht="15.75" customHeight="1">
      <c r="A378" s="26">
        <v>43571.0</v>
      </c>
      <c r="B378" s="22">
        <v>4158.0</v>
      </c>
      <c r="C378" s="23">
        <v>235.61025</v>
      </c>
      <c r="D378" s="23">
        <v>208.63602</v>
      </c>
      <c r="E378" s="23">
        <v>163.72807</v>
      </c>
      <c r="F378" s="23">
        <v>25652.51233</v>
      </c>
      <c r="G378" s="1" t="s">
        <v>9</v>
      </c>
    </row>
    <row r="379" ht="15.75" customHeight="1">
      <c r="A379" s="27">
        <v>43601.0</v>
      </c>
      <c r="B379" s="22">
        <v>4004.0</v>
      </c>
      <c r="C379" s="23">
        <v>315.5375</v>
      </c>
      <c r="D379" s="23">
        <v>279.5232</v>
      </c>
      <c r="E379" s="23">
        <v>218.84992</v>
      </c>
      <c r="F379" s="23">
        <v>34369.00874</v>
      </c>
      <c r="G379" s="1" t="s">
        <v>9</v>
      </c>
    </row>
    <row r="380" ht="15.75" customHeight="1">
      <c r="A380" s="26">
        <v>43632.0</v>
      </c>
      <c r="B380" s="22">
        <v>4450.0</v>
      </c>
      <c r="C380" s="23">
        <v>334.48393</v>
      </c>
      <c r="D380" s="23">
        <v>298.5037</v>
      </c>
      <c r="E380" s="23">
        <v>239.92552</v>
      </c>
      <c r="F380" s="23">
        <v>35107.38174</v>
      </c>
      <c r="G380" s="1" t="s">
        <v>9</v>
      </c>
    </row>
    <row r="381" ht="15.75" customHeight="1">
      <c r="A381" s="26">
        <v>43662.0</v>
      </c>
      <c r="B381" s="22">
        <v>3937.0</v>
      </c>
      <c r="C381" s="23">
        <v>274.02235</v>
      </c>
      <c r="D381" s="23">
        <v>247.9401</v>
      </c>
      <c r="E381" s="23">
        <v>207.58243</v>
      </c>
      <c r="F381" s="23">
        <v>28608.56067</v>
      </c>
      <c r="G381" s="1" t="s">
        <v>9</v>
      </c>
    </row>
    <row r="382" ht="15.75" customHeight="1">
      <c r="A382" s="26">
        <v>43693.0</v>
      </c>
      <c r="B382" s="22">
        <v>3736.0</v>
      </c>
      <c r="C382" s="23">
        <v>266.99393</v>
      </c>
      <c r="D382" s="23">
        <v>240.96778</v>
      </c>
      <c r="E382" s="23">
        <v>204.56296</v>
      </c>
      <c r="F382" s="23">
        <v>27860.11352</v>
      </c>
      <c r="G382" s="1" t="s">
        <v>9</v>
      </c>
    </row>
    <row r="383" ht="15.75" customHeight="1">
      <c r="A383" s="26">
        <v>43724.0</v>
      </c>
      <c r="B383" s="22">
        <v>4008.0</v>
      </c>
      <c r="C383" s="23">
        <v>260.69266</v>
      </c>
      <c r="D383" s="23">
        <v>232.77931</v>
      </c>
      <c r="E383" s="23">
        <v>198.37461</v>
      </c>
      <c r="F383" s="23">
        <v>26794.78092</v>
      </c>
      <c r="G383" s="1" t="s">
        <v>9</v>
      </c>
    </row>
    <row r="384" ht="15.75" customHeight="1">
      <c r="A384" s="26">
        <v>43754.0</v>
      </c>
      <c r="B384" s="22">
        <v>4047.0</v>
      </c>
      <c r="C384" s="23">
        <v>487.55802</v>
      </c>
      <c r="D384" s="23">
        <v>439.91638</v>
      </c>
      <c r="E384" s="23">
        <v>388.93719</v>
      </c>
      <c r="F384" s="23">
        <v>51009.56808</v>
      </c>
      <c r="G384" s="1" t="s">
        <v>9</v>
      </c>
    </row>
    <row r="385" ht="15.75" customHeight="1">
      <c r="A385" s="26">
        <v>43785.0</v>
      </c>
      <c r="B385" s="22">
        <v>4227.0</v>
      </c>
      <c r="C385" s="23">
        <v>295.66373</v>
      </c>
      <c r="D385" s="23">
        <v>273.3594</v>
      </c>
      <c r="E385" s="23">
        <v>236.29952</v>
      </c>
      <c r="F385" s="23">
        <v>32284.57566</v>
      </c>
      <c r="G385" s="1" t="s">
        <v>9</v>
      </c>
    </row>
    <row r="386" ht="15.75" customHeight="1">
      <c r="A386" s="26">
        <v>43815.0</v>
      </c>
      <c r="B386" s="22">
        <v>4955.0</v>
      </c>
      <c r="C386" s="23">
        <v>328.22289</v>
      </c>
      <c r="D386" s="23">
        <v>306.84942</v>
      </c>
      <c r="E386" s="23">
        <v>259.49101</v>
      </c>
      <c r="F386" s="23">
        <v>37866.60016</v>
      </c>
      <c r="G386" s="1" t="s">
        <v>9</v>
      </c>
    </row>
    <row r="387" ht="15.75" customHeight="1">
      <c r="A387" s="26">
        <v>43482.0</v>
      </c>
      <c r="B387" s="22">
        <v>4292.0</v>
      </c>
      <c r="C387" s="23">
        <v>274.00357</v>
      </c>
      <c r="D387" s="23">
        <v>254.95447</v>
      </c>
      <c r="E387" s="23">
        <v>220.80119</v>
      </c>
      <c r="F387" s="23">
        <v>31282.47039</v>
      </c>
      <c r="G387" s="1" t="s">
        <v>9</v>
      </c>
    </row>
    <row r="388" ht="15.75" customHeight="1">
      <c r="A388" s="26">
        <v>43513.0</v>
      </c>
      <c r="B388" s="22">
        <v>3695.0</v>
      </c>
      <c r="C388" s="23">
        <v>351.09329</v>
      </c>
      <c r="D388" s="23">
        <v>328.42063</v>
      </c>
      <c r="E388" s="23">
        <v>280.46833</v>
      </c>
      <c r="F388" s="23">
        <v>39693.54312</v>
      </c>
      <c r="G388" s="1" t="s">
        <v>9</v>
      </c>
    </row>
    <row r="389" ht="15.75" customHeight="1">
      <c r="A389" s="26">
        <v>43541.0</v>
      </c>
      <c r="B389" s="22">
        <v>4847.0</v>
      </c>
      <c r="C389" s="23">
        <v>297.0719</v>
      </c>
      <c r="D389" s="23">
        <v>275.45318</v>
      </c>
      <c r="E389" s="23">
        <v>238.73422</v>
      </c>
      <c r="F389" s="23">
        <v>33451.23943</v>
      </c>
      <c r="G389" s="1" t="s">
        <v>9</v>
      </c>
    </row>
    <row r="390" ht="15.75" customHeight="1">
      <c r="A390" s="26">
        <v>43572.0</v>
      </c>
      <c r="B390" s="22">
        <v>3963.0</v>
      </c>
      <c r="C390" s="23">
        <v>264.26421</v>
      </c>
      <c r="D390" s="23">
        <v>244.13186</v>
      </c>
      <c r="E390" s="23">
        <v>207.97577</v>
      </c>
      <c r="F390" s="23">
        <v>29135.44196</v>
      </c>
      <c r="G390" s="1" t="s">
        <v>9</v>
      </c>
    </row>
    <row r="391" ht="15.75" customHeight="1">
      <c r="A391" s="27">
        <v>43602.0</v>
      </c>
      <c r="B391" s="22">
        <v>4414.0</v>
      </c>
      <c r="C391" s="23">
        <v>263.56961</v>
      </c>
      <c r="D391" s="23">
        <v>238.70277</v>
      </c>
      <c r="E391" s="23">
        <v>204.0427</v>
      </c>
      <c r="F391" s="23">
        <v>29602.13501</v>
      </c>
      <c r="G391" s="1" t="s">
        <v>9</v>
      </c>
    </row>
    <row r="392" ht="15.75" customHeight="1">
      <c r="A392" s="26">
        <v>43633.0</v>
      </c>
      <c r="B392" s="22">
        <v>4845.0</v>
      </c>
      <c r="C392" s="23">
        <v>279.47827</v>
      </c>
      <c r="D392" s="23">
        <v>249.23701</v>
      </c>
      <c r="E392" s="23">
        <v>218.12965</v>
      </c>
      <c r="F392" s="23">
        <v>31073.60779</v>
      </c>
      <c r="G392" s="1" t="s">
        <v>9</v>
      </c>
    </row>
    <row r="393" ht="15.75" customHeight="1">
      <c r="A393" s="26">
        <v>43663.0</v>
      </c>
      <c r="B393" s="22">
        <v>4316.0</v>
      </c>
      <c r="C393" s="23">
        <v>295.85504</v>
      </c>
      <c r="D393" s="23">
        <v>257.43056</v>
      </c>
      <c r="E393" s="23">
        <v>227.63716</v>
      </c>
      <c r="F393" s="23">
        <v>33156.41576</v>
      </c>
      <c r="G393" s="1" t="s">
        <v>9</v>
      </c>
    </row>
    <row r="394" ht="15.75" customHeight="1">
      <c r="A394" s="26">
        <v>43694.0</v>
      </c>
      <c r="B394" s="22">
        <v>4146.0</v>
      </c>
      <c r="C394" s="23">
        <v>285.34359</v>
      </c>
      <c r="D394" s="23">
        <v>243.01356</v>
      </c>
      <c r="E394" s="23">
        <v>219.49628</v>
      </c>
      <c r="F394" s="23">
        <v>31359.39972</v>
      </c>
      <c r="G394" s="1" t="s">
        <v>9</v>
      </c>
    </row>
    <row r="395" ht="15.75" customHeight="1">
      <c r="A395" s="26">
        <v>43725.0</v>
      </c>
      <c r="B395" s="22">
        <v>4384.0</v>
      </c>
      <c r="C395" s="23">
        <v>299.0394</v>
      </c>
      <c r="D395" s="23">
        <v>252.1351</v>
      </c>
      <c r="E395" s="23">
        <v>225.00231</v>
      </c>
      <c r="F395" s="23">
        <v>33163.58689</v>
      </c>
      <c r="G395" s="1" t="s">
        <v>9</v>
      </c>
    </row>
    <row r="396" ht="15.75" customHeight="1">
      <c r="A396" s="26">
        <v>43755.0</v>
      </c>
      <c r="B396" s="22">
        <v>4411.0</v>
      </c>
      <c r="C396" s="23">
        <v>278.52837</v>
      </c>
      <c r="D396" s="23">
        <v>237.65257</v>
      </c>
      <c r="E396" s="23">
        <v>210.80557</v>
      </c>
      <c r="F396" s="23">
        <v>31462.6246</v>
      </c>
      <c r="G396" s="1" t="s">
        <v>9</v>
      </c>
    </row>
    <row r="397" ht="15.75" customHeight="1">
      <c r="A397" s="26">
        <v>43786.0</v>
      </c>
      <c r="B397" s="22">
        <v>4342.0</v>
      </c>
      <c r="C397" s="23">
        <v>388.17892</v>
      </c>
      <c r="D397" s="23">
        <v>332.33274</v>
      </c>
      <c r="E397" s="23">
        <v>294.61284</v>
      </c>
      <c r="F397" s="23">
        <v>43758.19429</v>
      </c>
      <c r="G397" s="1" t="s">
        <v>9</v>
      </c>
    </row>
    <row r="398" ht="15.75" customHeight="1">
      <c r="A398" s="26">
        <v>43816.0</v>
      </c>
      <c r="B398" s="22">
        <v>5012.0</v>
      </c>
      <c r="C398" s="23">
        <v>495.27714</v>
      </c>
      <c r="D398" s="23">
        <v>421.53917</v>
      </c>
      <c r="E398" s="23">
        <v>371.97412</v>
      </c>
      <c r="F398" s="23">
        <v>55482.67502</v>
      </c>
      <c r="G398" s="1" t="s">
        <v>9</v>
      </c>
    </row>
    <row r="399" ht="15.75" customHeight="1">
      <c r="A399" s="28">
        <v>2018.0</v>
      </c>
      <c r="B399" s="29"/>
      <c r="C399" s="30"/>
      <c r="D399" s="30"/>
      <c r="E399" s="30"/>
      <c r="F399" s="30"/>
      <c r="G399" s="31"/>
    </row>
    <row r="400" ht="15.75" customHeight="1">
      <c r="A400" s="26">
        <v>43118.0</v>
      </c>
      <c r="B400" s="22">
        <v>5112.0</v>
      </c>
      <c r="C400" s="23">
        <v>315.4</v>
      </c>
      <c r="D400" s="32">
        <f>IFERROR(__xludf.DUMMYFUNCTION("C400*IMPORTRANGE(""https://docs.google.com/spreadsheets/d/1xsp01RMmkav9iTy39Zaj_7tE9677EGlOJ14KU9TZn7I"", ""2018-2025!H25"")"),258.68792599999995)</f>
        <v>258.687926</v>
      </c>
      <c r="E400" s="32">
        <f>IFERROR(__xludf.DUMMYFUNCTION("C400*IMPORTRANGE(""https://docs.google.com/spreadsheets/d/1xsp01RMmkav9iTy39Zaj_7tE9677EGlOJ14KU9TZn7I"", ""2018-2025!T25"")"),228.57984199999999)</f>
        <v>228.579842</v>
      </c>
      <c r="F400" s="32">
        <f>IFERROR(__xludf.DUMMYFUNCTION("C400*IMPORTRANGE(""https://docs.google.com/spreadsheets/d/1xsp01RMmkav9iTy39Zaj_7tE9677EGlOJ14KU9TZn7I"", ""2018-2025!AC25"")"),35040.939999999995)</f>
        <v>35040.94</v>
      </c>
      <c r="G400" s="1" t="s">
        <v>43</v>
      </c>
    </row>
    <row r="401" ht="15.75" customHeight="1">
      <c r="A401" s="26">
        <v>44975.0</v>
      </c>
      <c r="B401" s="22">
        <v>4518.0</v>
      </c>
      <c r="C401" s="23">
        <v>295.2</v>
      </c>
      <c r="D401" s="32">
        <f>IFERROR(__xludf.DUMMYFUNCTION("C401*IMPORTRANGE(""https://docs.google.com/spreadsheets/d/1xsp01RMmkav9iTy39Zaj_7tE9677EGlOJ14KU9TZn7I"", ""2018-2025!H46"")"),239.13413999999997)</f>
        <v>239.13414</v>
      </c>
      <c r="E401" s="32">
        <f>IFERROR(__xludf.DUMMYFUNCTION("C401*IMPORTRANGE(""https://docs.google.com/spreadsheets/d/1xsp01RMmkav9iTy39Zaj_7tE9677EGlOJ14KU9TZn7I"", ""2018-2025!T46"")"),211.42224)</f>
        <v>211.42224</v>
      </c>
      <c r="F401" s="32">
        <f>IFERROR(__xludf.DUMMYFUNCTION("C401*IMPORTRANGE(""https://docs.google.com/spreadsheets/d/1xsp01RMmkav9iTy39Zaj_7tE9677EGlOJ14KU9TZn7I"", ""2018-2025!AC46"")"),31781.084399999996)</f>
        <v>31781.0844</v>
      </c>
      <c r="G401" s="1" t="s">
        <v>43</v>
      </c>
    </row>
    <row r="402" ht="15.75" customHeight="1">
      <c r="A402" s="26">
        <v>45003.0</v>
      </c>
      <c r="B402" s="22">
        <v>4862.0</v>
      </c>
      <c r="C402" s="23">
        <v>430.0</v>
      </c>
      <c r="D402" s="32">
        <f>IFERROR(__xludf.DUMMYFUNCTION("C402*IMPORTRANGE(""https://docs.google.com/spreadsheets/d/1xsp01RMmkav9iTy39Zaj_7tE9677EGlOJ14KU9TZn7I"", ""2018-2025!H69"")"),348.7214)</f>
        <v>348.7214</v>
      </c>
      <c r="E402" s="32">
        <f>IFERROR(__xludf.DUMMYFUNCTION("D402*IMPORTRANGE(""https://docs.google.com/spreadsheets/d/1xsp01RMmkav9iTy39Zaj_7tE9677EGlOJ14KU9TZn7I"", ""2018-2025!t69"")"),249.844934244)</f>
        <v>249.8449342</v>
      </c>
      <c r="F402" s="32">
        <f>IFERROR(__xludf.DUMMYFUNCTION("E402*IMPORTRANGE(""https://docs.google.com/spreadsheets/d/1xsp01RMmkav9iTy39Zaj_7tE9677EGlOJ14KU9TZn7I"", ""2018-2025!ac69"")"),26527.160970889578)</f>
        <v>26527.16097</v>
      </c>
      <c r="G402" s="1" t="s">
        <v>43</v>
      </c>
    </row>
    <row r="403" ht="15.75" customHeight="1">
      <c r="A403" s="26">
        <v>45034.0</v>
      </c>
      <c r="B403" s="22">
        <v>4579.0</v>
      </c>
      <c r="C403" s="23">
        <v>479.0</v>
      </c>
      <c r="D403" s="32">
        <f>IFERROR(__xludf.DUMMYFUNCTION("C403*IMPORTRANGE(""https://docs.google.com/spreadsheets/d/1xsp01RMmkav9iTy39Zaj_7tE9677EGlOJ14KU9TZn7I"", ""2018-2025!H91"")"),389.66171)</f>
        <v>389.66171</v>
      </c>
      <c r="E403" s="32">
        <f>IFERROR(__xludf.DUMMYFUNCTION("C403*IMPORTRANGE(""https://docs.google.com/spreadsheets/d/1xsp01RMmkav9iTy39Zaj_7tE9677EGlOJ14KU9TZn7I"", ""2018-2025!t91"")"),340.0421)</f>
        <v>340.0421</v>
      </c>
      <c r="F403" s="32">
        <f>IFERROR(__xludf.DUMMYFUNCTION("C403*IMPORTRANGE(""https://docs.google.com/spreadsheets/d/1xsp01RMmkav9iTy39Zaj_7tE9677EGlOJ14KU9TZn7I"", ""2018-2025!ac91"")"),51307.127)</f>
        <v>51307.127</v>
      </c>
      <c r="G403" s="1" t="s">
        <v>43</v>
      </c>
    </row>
    <row r="404" ht="15.75" customHeight="1">
      <c r="A404" s="26">
        <v>45064.0</v>
      </c>
      <c r="B404" s="22">
        <v>4572.0</v>
      </c>
      <c r="C404" s="23">
        <v>420.82</v>
      </c>
      <c r="D404" s="32">
        <f>IFERROR(__xludf.DUMMYFUNCTION("C404*IMPORTRANGE(""https://docs.google.com/spreadsheets/d/1xsp01RMmkav9iTy39Zaj_7tE9677EGlOJ14KU9TZn7I"", ""2018-2025!H115"")"),355.9968872)</f>
        <v>355.9968872</v>
      </c>
      <c r="E404" s="32">
        <f>IFERROR(__xludf.DUMMYFUNCTION("C404*IMPORTRANGE(""https://docs.google.com/spreadsheets/d/1xsp01RMmkav9iTy39Zaj_7tE9677EGlOJ14KU9TZn7I"", ""2018-2025!t115"")"),311.1795572)</f>
        <v>311.1795572</v>
      </c>
      <c r="F404" s="32">
        <f>IFERROR(__xludf.DUMMYFUNCTION("C404*IMPORTRANGE(""https://docs.google.com/spreadsheets/d/1xsp01RMmkav9iTy39Zaj_7tE9677EGlOJ14KU9TZn7I"", ""2018-2025!ac115"")"),46131.55086)</f>
        <v>46131.55086</v>
      </c>
      <c r="G404" s="1" t="s">
        <v>43</v>
      </c>
    </row>
    <row r="405" ht="15.75" customHeight="1">
      <c r="A405" s="26">
        <v>45095.0</v>
      </c>
      <c r="B405" s="22">
        <v>4483.0</v>
      </c>
      <c r="C405" s="23">
        <v>358.6</v>
      </c>
      <c r="D405" s="32">
        <f>IFERROR(__xludf.DUMMYFUNCTION("C405*IMPORTRANGE(""https://docs.google.com/spreadsheets/d/1xsp01RMmkav9iTy39Zaj_7tE9677EGlOJ14KU9TZn7I"", ""2018-2025!H137"")"),307.3202)</f>
        <v>307.3202</v>
      </c>
      <c r="E405" s="32">
        <f>IFERROR(__xludf.DUMMYFUNCTION("C405*IMPORTRANGE(""https://docs.google.com/spreadsheets/d/1xsp01RMmkav9iTy39Zaj_7tE9677EGlOJ14KU9TZn7I"", ""2018-2025!T137"")"),270.06166)</f>
        <v>270.06166</v>
      </c>
      <c r="F405" s="32">
        <f>IFERROR(__xludf.DUMMYFUNCTION("C405*IMPORTRANGE(""https://docs.google.com/spreadsheets/d/1xsp01RMmkav9iTy39Zaj_7tE9677EGlOJ14KU9TZn7I"", ""2018-2025!AC137"")"),39480.7842)</f>
        <v>39480.7842</v>
      </c>
      <c r="G405" s="1" t="s">
        <v>43</v>
      </c>
    </row>
    <row r="406" ht="15.75" customHeight="1">
      <c r="A406" s="26">
        <v>45125.0</v>
      </c>
      <c r="B406" s="22">
        <v>4717.0</v>
      </c>
      <c r="C406" s="23">
        <v>288.0</v>
      </c>
      <c r="D406" s="32">
        <f>IFERROR(__xludf.DUMMYFUNCTION("C406*IMPORTRANGE(""https://docs.google.com/spreadsheets/d/1xsp01RMmkav9iTy39Zaj_7tE9677EGlOJ14KU9TZn7I"", ""2018-2025!H160"")"),246.6)</f>
        <v>246.6</v>
      </c>
      <c r="E406" s="32">
        <f>IFERROR(__xludf.DUMMYFUNCTION("D406*IMPORTRANGE(""https://docs.google.com/spreadsheets/d/1xsp01RMmkav9iTy39Zaj_7tE9677EGlOJ14KU9TZn7I"", ""2018-2025!T160"")"),186.99678)</f>
        <v>186.99678</v>
      </c>
      <c r="F406" s="32">
        <f>IFERROR(__xludf.DUMMYFUNCTION("E406*IMPORTRANGE(""https://docs.google.com/spreadsheets/d/1xsp01RMmkav9iTy39Zaj_7tE9677EGlOJ14KU9TZn7I"", ""2018-2025!AC160"")"),20761.03700433)</f>
        <v>20761.037</v>
      </c>
      <c r="G406" s="1" t="s">
        <v>43</v>
      </c>
    </row>
    <row r="407" ht="15.75" customHeight="1">
      <c r="A407" s="26">
        <v>45156.0</v>
      </c>
      <c r="B407" s="22">
        <v>4441.0</v>
      </c>
      <c r="C407" s="23">
        <v>277.8</v>
      </c>
      <c r="D407" s="32">
        <f>IFERROR(__xludf.DUMMYFUNCTION("C407*IMPORTRANGE(""https://docs.google.com/spreadsheets/d/1xsp01RMmkav9iTy39Zaj_7tE9677EGlOJ14KU9TZn7I"", ""2018-2025!H184"")"),239.96364000000003)</f>
        <v>239.96364</v>
      </c>
      <c r="E407" s="32">
        <f>IFERROR(__xludf.DUMMYFUNCTION("C407*IMPORTRANGE(""https://docs.google.com/spreadsheets/d/1xsp01RMmkav9iTy39Zaj_7tE9677EGlOJ14KU9TZn7I"", ""2018-2025!T184"")"),215.65614)</f>
        <v>215.65614</v>
      </c>
      <c r="F407" s="32">
        <f>IFERROR(__xludf.DUMMYFUNCTION("C407*IMPORTRANGE(""https://docs.google.com/spreadsheets/d/1xsp01RMmkav9iTy39Zaj_7tE9677EGlOJ14KU9TZn7I"", ""2018-2025!AC184"")"),30873.858600000003)</f>
        <v>30873.8586</v>
      </c>
      <c r="G407" s="1" t="s">
        <v>43</v>
      </c>
    </row>
    <row r="408" ht="15.75" customHeight="1">
      <c r="A408" s="26">
        <v>45187.0</v>
      </c>
      <c r="B408" s="22">
        <v>4393.0</v>
      </c>
      <c r="C408" s="23">
        <v>240.7</v>
      </c>
      <c r="D408" s="32">
        <f>IFERROR(__xludf.DUMMYFUNCTION("C408*IMPORTRANGE(""https://docs.google.com/spreadsheets/d/1xsp01RMmkav9iTy39Zaj_7tE9677EGlOJ14KU9TZn7I"", ""2018-2025!H205"")"),206.852766)</f>
        <v>206.852766</v>
      </c>
      <c r="E408" s="32">
        <f>IFERROR(__xludf.DUMMYFUNCTION("C408*IMPORTRANGE(""https://docs.google.com/spreadsheets/d/1xsp01RMmkav9iTy39Zaj_7tE9677EGlOJ14KU9TZn7I"", ""2018-2025!T205"")"),184.077732)</f>
        <v>184.077732</v>
      </c>
      <c r="F408" s="32">
        <f>IFERROR(__xludf.DUMMYFUNCTION("C408*IMPORTRANGE(""https://docs.google.com/spreadsheets/d/1xsp01RMmkav9iTy39Zaj_7tE9677EGlOJ14KU9TZn7I"", ""2018-2025!AC205"")"),26915.43505)</f>
        <v>26915.43505</v>
      </c>
      <c r="G408" s="1" t="s">
        <v>43</v>
      </c>
    </row>
    <row r="409" ht="15.75" customHeight="1">
      <c r="A409" s="26">
        <v>45217.0</v>
      </c>
      <c r="B409" s="22">
        <v>4998.0</v>
      </c>
      <c r="C409" s="23">
        <v>343.8</v>
      </c>
      <c r="D409" s="32">
        <f>IFERROR(__xludf.DUMMYFUNCTION("C409*IMPORTRANGE(""https://docs.google.com/spreadsheets/d/1xsp01RMmkav9iTy39Zaj_7tE9677EGlOJ14KU9TZn7I"", ""2018-2025!H229"")"),298.775952)</f>
        <v>298.775952</v>
      </c>
      <c r="E409" s="32">
        <f>IFERROR(__xludf.DUMMYFUNCTION("C409*IMPORTRANGE(""https://docs.google.com/spreadsheets/d/1xsp01RMmkav9iTy39Zaj_7tE9677EGlOJ14KU9TZn7I"", ""2018-2025!T229"")"),263.53989)</f>
        <v>263.53989</v>
      </c>
      <c r="F409" s="32">
        <f>IFERROR(__xludf.DUMMYFUNCTION("C409*IMPORTRANGE(""https://docs.google.com/spreadsheets/d/1xsp01RMmkav9iTy39Zaj_7tE9677EGlOJ14KU9TZn7I"", ""2018-2025!AC229"")"),38670.624)</f>
        <v>38670.624</v>
      </c>
      <c r="G409" s="1" t="s">
        <v>43</v>
      </c>
    </row>
    <row r="410" ht="15.75" customHeight="1">
      <c r="A410" s="26">
        <v>45248.0</v>
      </c>
      <c r="B410" s="22">
        <v>4785.0</v>
      </c>
      <c r="C410" s="23">
        <v>264.8</v>
      </c>
      <c r="D410" s="32">
        <f>IFERROR(__xludf.DUMMYFUNCTION("C410*IMPORTRANGE(""https://docs.google.com/spreadsheets/d/1xsp01RMmkav9iTy39Zaj_7tE9677EGlOJ14KU9TZn7I"", ""2018-2025!H252"")"),232.883656)</f>
        <v>232.883656</v>
      </c>
      <c r="E410" s="32">
        <f>IFERROR(__xludf.DUMMYFUNCTION("C410*IMPORTRANGE(""https://docs.google.com/spreadsheets/d/1xsp01RMmkav9iTy39Zaj_7tE9677EGlOJ14KU9TZn7I"", ""2018-2025!T252"")"),205.92834000000002)</f>
        <v>205.92834</v>
      </c>
      <c r="F410" s="32">
        <f>IFERROR(__xludf.DUMMYFUNCTION("C410*IMPORTRANGE(""https://docs.google.com/spreadsheets/d/1xsp01RMmkav9iTy39Zaj_7tE9677EGlOJ14KU9TZn7I"", ""2018-2025!AC252"")"),30024.8776)</f>
        <v>30024.8776</v>
      </c>
      <c r="G410" s="1" t="s">
        <v>43</v>
      </c>
    </row>
    <row r="411" ht="15.75" customHeight="1">
      <c r="A411" s="26">
        <v>45278.0</v>
      </c>
      <c r="B411" s="22">
        <v>4922.0</v>
      </c>
      <c r="C411" s="23">
        <v>225.15293225</v>
      </c>
      <c r="D411" s="32">
        <f>IFERROR(__xludf.DUMMYFUNCTION("C411*IMPORTRANGE(""https://docs.google.com/spreadsheets/d/1xsp01RMmkav9iTy39Zaj_7tE9677EGlOJ14KU9TZn7I"", ""2018-2025!H273"")"),197.9747217981025)</f>
        <v>197.9747218</v>
      </c>
      <c r="E411" s="32">
        <f>IFERROR(__xludf.DUMMYFUNCTION("C411*IMPORTRANGE(""https://docs.google.com/spreadsheets/d/1xsp01RMmkav9iTy39Zaj_7tE9677EGlOJ14KU9TZn7I"", ""2018-2025!T273"")"),177.91584706395)</f>
        <v>177.9158471</v>
      </c>
      <c r="F411" s="32">
        <f>IFERROR(__xludf.DUMMYFUNCTION("C411*IMPORTRANGE(""https://docs.google.com/spreadsheets/d/1xsp01RMmkav9iTy39Zaj_7tE9677EGlOJ14KU9TZn7I"", ""2018-2025!AC273"")"),25372.25878232025)</f>
        <v>25372.25878</v>
      </c>
      <c r="G411" s="1" t="s">
        <v>43</v>
      </c>
    </row>
    <row r="412" ht="15.75" customHeight="1">
      <c r="A412" s="28">
        <v>2019.0</v>
      </c>
      <c r="B412" s="29"/>
      <c r="C412" s="30"/>
      <c r="D412" s="30"/>
      <c r="E412" s="30"/>
      <c r="F412" s="30"/>
      <c r="G412" s="31"/>
    </row>
    <row r="413" ht="15.75" customHeight="1">
      <c r="A413" s="26">
        <v>43484.0</v>
      </c>
      <c r="B413" s="22">
        <v>4907.0</v>
      </c>
      <c r="C413" s="33">
        <f>364894.92/1000</f>
        <v>364.89492</v>
      </c>
      <c r="D413" s="32">
        <f>IFERROR(__xludf.DUMMYFUNCTION("C413*IMPORTRANGE(""https://docs.google.com/spreadsheets/d/1xsp01RMmkav9iTy39Zaj_7tE9677EGlOJ14KU9TZn7I"", ""2018-2025!H298"")"),319.611460428)</f>
        <v>319.6114604</v>
      </c>
      <c r="E413" s="32">
        <f>IFERROR(__xludf.DUMMYFUNCTION("C413*IMPORTRANGE(""https://docs.google.com/spreadsheets/d/1xsp01RMmkav9iTy39Zaj_7tE9677EGlOJ14KU9TZn7I"", ""2018-2025!T298"")"),283.47591650039993)</f>
        <v>283.4759165</v>
      </c>
      <c r="F413" s="32">
        <f>IFERROR(__xludf.DUMMYFUNCTION("C413*IMPORTRANGE(""https://docs.google.com/spreadsheets/d/1xsp01RMmkav9iTy39Zaj_7tE9677EGlOJ14KU9TZn7I"", ""2018-2025!AC298"")"),39787.047392039996)</f>
        <v>39787.04739</v>
      </c>
      <c r="G413" s="1" t="s">
        <v>43</v>
      </c>
    </row>
    <row r="414" ht="15.75" customHeight="1">
      <c r="A414" s="26">
        <v>43515.0</v>
      </c>
      <c r="B414" s="22">
        <v>4294.0</v>
      </c>
      <c r="C414" s="33">
        <f>274274.37/1000</f>
        <v>274.27437</v>
      </c>
      <c r="D414" s="32">
        <f>IFERROR(__xludf.DUMMYFUNCTION("C414*IMPORTRANGE(""https://docs.google.com/spreadsheets/d/1xsp01RMmkav9iTy39Zaj_7tE9677EGlOJ14KU9TZn7I"", ""2018-2025!H319"")"),241.800284592)</f>
        <v>241.8002846</v>
      </c>
      <c r="E414" s="32">
        <f>IFERROR(__xludf.DUMMYFUNCTION("C414*IMPORTRANGE(""https://docs.google.com/spreadsheets/d/1xsp01RMmkav9iTy39Zaj_7tE9677EGlOJ14KU9TZn7I"", ""2018-2025!T319"")"),211.07744103644998)</f>
        <v>211.077441</v>
      </c>
      <c r="F414" s="32">
        <f>IFERROR(__xludf.DUMMYFUNCTION("C414*IMPORTRANGE(""https://docs.google.com/spreadsheets/d/1xsp01RMmkav9iTy39Zaj_7tE9677EGlOJ14KU9TZn7I"", ""2018-2025!AC319"")"),30320.208780389996)</f>
        <v>30320.20878</v>
      </c>
      <c r="G414" s="1" t="s">
        <v>43</v>
      </c>
    </row>
    <row r="415" ht="15.75" customHeight="1">
      <c r="A415" s="26">
        <v>43543.0</v>
      </c>
      <c r="B415" s="22">
        <v>4355.0</v>
      </c>
      <c r="C415" s="33">
        <f>334610.51/1000</f>
        <v>334.61051</v>
      </c>
      <c r="D415" s="32">
        <f>IFERROR(__xludf.DUMMYFUNCTION("C415*IMPORTRANGE(""https://docs.google.com/spreadsheets/d/1xsp01RMmkav9iTy39Zaj_7tE9677EGlOJ14KU9TZn7I"", ""2018-2025!H341"")"),295.74884536860003)</f>
        <v>295.7488454</v>
      </c>
      <c r="E415" s="32">
        <f>IFERROR(__xludf.DUMMYFUNCTION("C415*IMPORTRANGE(""https://docs.google.com/spreadsheets/d/1xsp01RMmkav9iTy39Zaj_7tE9677EGlOJ14KU9TZn7I"", ""2018-2025!T341"")"),253.36707817200002)</f>
        <v>253.3670782</v>
      </c>
      <c r="F415" s="32">
        <f>IFERROR(__xludf.DUMMYFUNCTION("C415*IMPORTRANGE(""https://docs.google.com/spreadsheets/d/1xsp01RMmkav9iTy39Zaj_7tE9677EGlOJ14KU9TZn7I"", ""2018-2025!AC341"")"),37256.203404420005)</f>
        <v>37256.2034</v>
      </c>
      <c r="G415" s="1" t="s">
        <v>43</v>
      </c>
    </row>
    <row r="416" ht="15.75" customHeight="1">
      <c r="A416" s="26">
        <v>43574.0</v>
      </c>
      <c r="B416" s="22">
        <v>4505.0</v>
      </c>
      <c r="C416" s="33">
        <f>334508.43/1000</f>
        <v>334.50843</v>
      </c>
      <c r="D416" s="32">
        <f>IFERROR(__xludf.DUMMYFUNCTION("C416*IMPORTRANGE(""https://docs.google.com/spreadsheets/d/1xsp01RMmkav9iTy39Zaj_7tE9677EGlOJ14KU9TZn7I"", ""2018-2025!H364"")"),297.59876983379996)</f>
        <v>297.5987698</v>
      </c>
      <c r="E416" s="32">
        <f>IFERROR(__xludf.DUMMYFUNCTION("C416*IMPORTRANGE(""https://docs.google.com/spreadsheets/d/1xsp01RMmkav9iTy39Zaj_7tE9677EGlOJ14KU9TZn7I"", ""2018-2025!T364"")"),256.46928582314996)</f>
        <v>256.4692858</v>
      </c>
      <c r="F416" s="32">
        <f>IFERROR(__xludf.DUMMYFUNCTION("C416*IMPORTRANGE(""https://docs.google.com/spreadsheets/d/1xsp01RMmkav9iTy39Zaj_7tE9677EGlOJ14KU9TZn7I"", ""2018-2025!AC364"")"),37353.720107025)</f>
        <v>37353.72011</v>
      </c>
      <c r="G416" s="1" t="s">
        <v>43</v>
      </c>
    </row>
    <row r="417" ht="15.75" customHeight="1">
      <c r="A417" s="27">
        <v>43604.0</v>
      </c>
      <c r="B417" s="22">
        <v>4334.0</v>
      </c>
      <c r="C417" s="33">
        <f>326967.58/1000</f>
        <v>326.96758</v>
      </c>
      <c r="D417" s="32">
        <f>IFERROR(__xludf.DUMMYFUNCTION("C417*IMPORTRANGE(""https://docs.google.com/spreadsheets/d/1xsp01RMmkav9iTy39Zaj_7tE9677EGlOJ14KU9TZn7I"", ""2018-2025!H388"")"),292.1324540268)</f>
        <v>292.132454</v>
      </c>
      <c r="E417" s="32">
        <f>IFERROR(__xludf.DUMMYFUNCTION("C417*IMPORTRANGE(""https://docs.google.com/spreadsheets/d/1xsp01RMmkav9iTy39Zaj_7tE9677EGlOJ14KU9TZn7I"", ""2018-2025!T388"")"),253.91648327640002)</f>
        <v>253.9164833</v>
      </c>
      <c r="F417" s="32">
        <f>IFERROR(__xludf.DUMMYFUNCTION("C417*IMPORTRANGE(""https://docs.google.com/spreadsheets/d/1xsp01RMmkav9iTy39Zaj_7tE9677EGlOJ14KU9TZn7I"", ""2018-2025!AC388"")"),35913.79201962)</f>
        <v>35913.79202</v>
      </c>
      <c r="G417" s="1" t="s">
        <v>43</v>
      </c>
    </row>
    <row r="418" ht="15.75" customHeight="1">
      <c r="A418" s="26">
        <v>43635.0</v>
      </c>
      <c r="B418" s="22">
        <v>4137.0</v>
      </c>
      <c r="C418" s="33">
        <f>482132.2/1000</f>
        <v>482.1322</v>
      </c>
      <c r="D418" s="32">
        <f>IFERROR(__xludf.DUMMYFUNCTION("C418*IMPORTRANGE(""https://docs.google.com/spreadsheets/d/1xsp01RMmkav9iTy39Zaj_7tE9677EGlOJ14KU9TZn7I"", ""2018-2025!H409"")"),427.118505319)</f>
        <v>427.1185053</v>
      </c>
      <c r="E418" s="32">
        <f>IFERROR(__xludf.DUMMYFUNCTION("C418*IMPORTRANGE(""https://docs.google.com/spreadsheets/d/1xsp01RMmkav9iTy39Zaj_7tE9677EGlOJ14KU9TZn7I"", ""2018-2025!T409"")"),379.903298973)</f>
        <v>379.903299</v>
      </c>
      <c r="F418" s="32">
        <f>IFERROR(__xludf.DUMMYFUNCTION("C418*IMPORTRANGE(""https://docs.google.com/spreadsheets/d/1xsp01RMmkav9iTy39Zaj_7tE9677EGlOJ14KU9TZn7I"", ""2018-2025!AC409"")"),52208.8906075)</f>
        <v>52208.89061</v>
      </c>
      <c r="G418" s="1" t="s">
        <v>43</v>
      </c>
    </row>
    <row r="419" ht="15.75" customHeight="1">
      <c r="A419" s="26">
        <v>43665.0</v>
      </c>
      <c r="B419" s="22">
        <v>4689.0</v>
      </c>
      <c r="C419" s="33">
        <f>244833.2/1000</f>
        <v>244.8332</v>
      </c>
      <c r="D419" s="32">
        <f>IFERROR(__xludf.DUMMYFUNCTION("C419*IMPORTRANGE(""https://docs.google.com/spreadsheets/d/1xsp01RMmkav9iTy39Zaj_7tE9677EGlOJ14KU9TZn7I"", ""2018-2025!H433"")"),218.068034576)</f>
        <v>218.0680346</v>
      </c>
      <c r="E419" s="32">
        <f>IFERROR(__xludf.DUMMYFUNCTION("C419*IMPORTRANGE(""https://docs.google.com/spreadsheets/d/1xsp01RMmkav9iTy39Zaj_7tE9677EGlOJ14KU9TZn7I"", ""2018-2025!T433"")"),195.665796776)</f>
        <v>195.6657968</v>
      </c>
      <c r="F419" s="32">
        <f>IFERROR(__xludf.DUMMYFUNCTION("C419*IMPORTRANGE(""https://docs.google.com/spreadsheets/d/1xsp01RMmkav9iTy39Zaj_7tE9677EGlOJ14KU9TZn7I"", ""2018-2025!AC433"")"),26498.7869024)</f>
        <v>26498.7869</v>
      </c>
      <c r="G419" s="1" t="s">
        <v>43</v>
      </c>
    </row>
    <row r="420" ht="15.75" customHeight="1">
      <c r="A420" s="26">
        <v>43696.0</v>
      </c>
      <c r="B420" s="22">
        <v>4178.0</v>
      </c>
      <c r="C420" s="33">
        <f>271476.1/1000</f>
        <v>271.4761</v>
      </c>
      <c r="D420" s="32">
        <f>IFERROR(__xludf.DUMMYFUNCTION("C420*IMPORTRANGE(""https://docs.google.com/spreadsheets/d/1xsp01RMmkav9iTy39Zaj_7tE9677EGlOJ14KU9TZn7I"", ""2018-2025!H456"")"),244.4438673425)</f>
        <v>244.4438673</v>
      </c>
      <c r="E420" s="32">
        <f>IFERROR(__xludf.DUMMYFUNCTION("C420*IMPORTRANGE(""https://docs.google.com/spreadsheets/d/1xsp01RMmkav9iTy39Zaj_7tE9677EGlOJ14KU9TZn7I"", ""2018-2025!T456"")"),223.3827515045)</f>
        <v>223.3827515</v>
      </c>
      <c r="F420" s="32">
        <f>IFERROR(__xludf.DUMMYFUNCTION("C420*IMPORTRANGE(""https://docs.google.com/spreadsheets/d/1xsp01RMmkav9iTy39Zaj_7tE9677EGlOJ14KU9TZn7I"", ""2018-2025!AC456"")"),28830.083129749997)</f>
        <v>28830.08313</v>
      </c>
      <c r="G420" s="1" t="s">
        <v>43</v>
      </c>
    </row>
    <row r="421" ht="15.75" customHeight="1">
      <c r="A421" s="26">
        <v>43727.0</v>
      </c>
      <c r="B421" s="22">
        <v>4221.0</v>
      </c>
      <c r="C421" s="33">
        <f>237097.3/1000</f>
        <v>237.0973</v>
      </c>
      <c r="D421" s="32">
        <f>IFERROR(__xludf.DUMMYFUNCTION("C421*IMPORTRANGE(""https://docs.google.com/spreadsheets/d/1xsp01RMmkav9iTy39Zaj_7tE9677EGlOJ14KU9TZn7I"", ""2018-2025!H478"")"),215.170541696)</f>
        <v>215.1705417</v>
      </c>
      <c r="E421" s="32">
        <f>IFERROR(__xludf.DUMMYFUNCTION("C421*IMPORTRANGE(""https://docs.google.com/spreadsheets/d/1xsp01RMmkav9iTy39Zaj_7tE9677EGlOJ14KU9TZn7I"", ""2018-2025!T478"")"),192.053554946)</f>
        <v>192.0535549</v>
      </c>
      <c r="F421" s="32">
        <f>IFERROR(__xludf.DUMMYFUNCTION("C421*IMPORTRANGE(""https://docs.google.com/spreadsheets/d/1xsp01RMmkav9iTy39Zaj_7tE9677EGlOJ14KU9TZn7I"", ""2018-2025!AC478"")"),25523.998539599997)</f>
        <v>25523.99854</v>
      </c>
      <c r="G421" s="1" t="s">
        <v>43</v>
      </c>
    </row>
    <row r="422" ht="15.75" customHeight="1">
      <c r="A422" s="26">
        <v>44123.0</v>
      </c>
      <c r="B422" s="22">
        <v>4461.0</v>
      </c>
      <c r="C422" s="33">
        <f>311132.7/1000</f>
        <v>311.1327</v>
      </c>
      <c r="D422" s="32">
        <f>IFERROR(__xludf.DUMMYFUNCTION("C422*IMPORTRANGE(""https://docs.google.com/spreadsheets/d/1xsp01RMmkav9iTy39Zaj_7tE9677EGlOJ14KU9TZn7I"", ""2018-2025!H502"")"),281.957786721)</f>
        <v>281.9577867</v>
      </c>
      <c r="E422" s="32">
        <f>IFERROR(__xludf.DUMMYFUNCTION("C422*IMPORTRANGE(""https://docs.google.com/spreadsheets/d/1xsp01RMmkav9iTy39Zaj_7tE9677EGlOJ14KU9TZn7I"", ""2018-2025!T502"")"),243.822251682)</f>
        <v>243.8222517</v>
      </c>
      <c r="F422" s="32">
        <f>IFERROR(__xludf.DUMMYFUNCTION("C422*IMPORTRANGE(""https://docs.google.com/spreadsheets/d/1xsp01RMmkav9iTy39Zaj_7tE9677EGlOJ14KU9TZn7I"", ""2018-2025!AC502"")"),33745.1415093)</f>
        <v>33745.14151</v>
      </c>
      <c r="G422" s="1" t="s">
        <v>43</v>
      </c>
    </row>
    <row r="423" ht="15.75" customHeight="1">
      <c r="A423" s="26">
        <v>43788.0</v>
      </c>
      <c r="B423" s="22">
        <v>4527.0</v>
      </c>
      <c r="C423" s="33">
        <f>334031.3/1000</f>
        <v>334.0313</v>
      </c>
      <c r="D423" s="32">
        <f>IFERROR(__xludf.DUMMYFUNCTION("C423*IMPORTRANGE(""https://docs.google.com/spreadsheets/d/1xsp01RMmkav9iTy39Zaj_7tE9677EGlOJ14KU9TZn7I"", ""2018-2025!H524"")"),302.689143121)</f>
        <v>302.6891431</v>
      </c>
      <c r="E423" s="32">
        <f>IFERROR(__xludf.DUMMYFUNCTION("C423*IMPORTRANGE(""https://docs.google.com/spreadsheets/d/1xsp01RMmkav9iTy39Zaj_7tE9677EGlOJ14KU9TZn7I"", ""2018-2025!T524"")"),259.10807940999996)</f>
        <v>259.1080794</v>
      </c>
      <c r="F423" s="32">
        <f>IFERROR(__xludf.DUMMYFUNCTION("C423*IMPORTRANGE(""https://docs.google.com/spreadsheets/d/1xsp01RMmkav9iTy39Zaj_7tE9677EGlOJ14KU9TZn7I"", ""2018-2025!AC524"")"),36341.9373774)</f>
        <v>36341.93738</v>
      </c>
      <c r="G423" s="1" t="s">
        <v>43</v>
      </c>
    </row>
    <row r="424" ht="15.75" customHeight="1">
      <c r="A424" s="26">
        <v>43818.0</v>
      </c>
      <c r="B424" s="22">
        <v>4986.0</v>
      </c>
      <c r="C424" s="33">
        <f>377954.3/1000</f>
        <v>377.9543</v>
      </c>
      <c r="D424" s="32">
        <f>IFERROR(__xludf.DUMMYFUNCTION("C424*IMPORTRANGE(""https://docs.google.com/spreadsheets/d/1xsp01RMmkav9iTy39Zaj_7tE9677EGlOJ14KU9TZn7I"", ""2018-2025!H547"")"),340.55194247199995)</f>
        <v>340.5519425</v>
      </c>
      <c r="E424" s="32">
        <f>IFERROR(__xludf.DUMMYFUNCTION("C424*IMPORTRANGE(""https://docs.google.com/spreadsheets/d/1xsp01RMmkav9iTy39Zaj_7tE9677EGlOJ14KU9TZn7I"", ""2018-2025!T547"")"),288.4792887895)</f>
        <v>288.4792888</v>
      </c>
      <c r="F424" s="32">
        <f>IFERROR(__xludf.DUMMYFUNCTION("C424*IMPORTRANGE(""https://docs.google.com/spreadsheets/d/1xsp01RMmkav9iTy39Zaj_7tE9677EGlOJ14KU9TZn7I"", ""2018-2025!AC547"")"),41341.586219749996)</f>
        <v>41341.58622</v>
      </c>
      <c r="G424" s="1" t="s">
        <v>43</v>
      </c>
    </row>
    <row r="425" ht="15.75" customHeight="1">
      <c r="A425" s="28">
        <v>2020.0</v>
      </c>
      <c r="B425" s="29"/>
      <c r="C425" s="30"/>
      <c r="D425" s="30"/>
      <c r="E425" s="30"/>
      <c r="F425" s="30"/>
      <c r="G425" s="31"/>
    </row>
    <row r="426" ht="15.75" customHeight="1">
      <c r="A426" s="26">
        <v>43850.0</v>
      </c>
      <c r="B426" s="22">
        <v>4654.0</v>
      </c>
      <c r="C426" s="23">
        <f>202179.1/1000</f>
        <v>202.1791</v>
      </c>
      <c r="D426" s="32">
        <f>IFERROR(__xludf.DUMMYFUNCTION("C426*IMPORTRANGE(""https://docs.google.com/spreadsheets/d/1xsp01RMmkav9iTy39Zaj_7tE9677EGlOJ14KU9TZn7I"", ""2018-2025!H572"")"),181.926819553)</f>
        <v>181.9268196</v>
      </c>
      <c r="E426" s="32">
        <f>IFERROR(__xludf.DUMMYFUNCTION("C426*IMPORTRANGE(""https://docs.google.com/spreadsheets/d/1xsp01RMmkav9iTy39Zaj_7tE9677EGlOJ14KU9TZn7I"", ""2018-2025!T572"")"),154.68722941000001)</f>
        <v>154.6872294</v>
      </c>
      <c r="F426" s="32">
        <f>IFERROR(__xludf.DUMMYFUNCTION("C426*IMPORTRANGE(""https://docs.google.com/spreadsheets/d/1xsp01RMmkav9iTy39Zaj_7tE9677EGlOJ14KU9TZn7I"", ""2018-2025!AC572"")"),22064.2095412)</f>
        <v>22064.20954</v>
      </c>
      <c r="G426" s="1" t="s">
        <v>43</v>
      </c>
    </row>
    <row r="427" ht="15.75" customHeight="1">
      <c r="A427" s="26">
        <v>43881.0</v>
      </c>
      <c r="B427" s="22">
        <v>4122.0</v>
      </c>
      <c r="C427" s="23">
        <f>261213.4/1000</f>
        <v>261.2134</v>
      </c>
      <c r="D427" s="32">
        <f>IFERROR(__xludf.DUMMYFUNCTION("C427*IMPORTRANGE(""https://docs.google.com/spreadsheets/d/1xsp01RMmkav9iTy39Zaj_7tE9677EGlOJ14KU9TZn7I"", ""2018-2025!H593"")"),239.99895371899996)</f>
        <v>239.9989537</v>
      </c>
      <c r="E427" s="32">
        <f>IFERROR(__xludf.DUMMYFUNCTION("C427*IMPORTRANGE(""https://docs.google.com/spreadsheets/d/1xsp01RMmkav9iTy39Zaj_7tE9677EGlOJ14KU9TZn7I"", ""2018-2025!T593"")"),201.599277852)</f>
        <v>201.5992779</v>
      </c>
      <c r="F427" s="32">
        <f>IFERROR(__xludf.DUMMYFUNCTION("C427*IMPORTRANGE(""https://docs.google.com/spreadsheets/d/1xsp01RMmkav9iTy39Zaj_7tE9677EGlOJ14KU9TZn7I"", ""2018-2025!AC593"")"),28690.7656091)</f>
        <v>28690.76561</v>
      </c>
      <c r="G427" s="1" t="s">
        <v>43</v>
      </c>
    </row>
    <row r="428" ht="15.75" customHeight="1">
      <c r="A428" s="26">
        <v>43910.0</v>
      </c>
      <c r="B428" s="22">
        <v>3513.0</v>
      </c>
      <c r="C428" s="23">
        <f>194601.2/1000</f>
        <v>194.6012</v>
      </c>
      <c r="D428" s="32">
        <f>IFERROR(__xludf.DUMMYFUNCTION("C428*IMPORTRANGE(""https://docs.google.com/spreadsheets/d/1xsp01RMmkav9iTy39Zaj_7tE9677EGlOJ14KU9TZn7I"", ""2018-2025!H616"")"),174.701281288)</f>
        <v>174.7012813</v>
      </c>
      <c r="E428" s="32">
        <f>IFERROR(__xludf.DUMMYFUNCTION("C428*IMPORTRANGE(""https://docs.google.com/spreadsheets/d/1xsp01RMmkav9iTy39Zaj_7tE9677EGlOJ14KU9TZn7I"", ""2018-2025!T616"")"),156.6022020808)</f>
        <v>156.6022021</v>
      </c>
      <c r="F428" s="32">
        <f>IFERROR(__xludf.DUMMYFUNCTION("C428*IMPORTRANGE(""https://docs.google.com/spreadsheets/d/1xsp01RMmkav9iTy39Zaj_7tE9677EGlOJ14KU9TZn7I"", ""2018-2025!AC616"")"),20928.386054000002)</f>
        <v>20928.38605</v>
      </c>
      <c r="G428" s="1" t="s">
        <v>43</v>
      </c>
    </row>
    <row r="429" ht="15.75" customHeight="1">
      <c r="A429" s="26">
        <v>43941.0</v>
      </c>
      <c r="B429" s="22">
        <v>2532.0</v>
      </c>
      <c r="C429" s="23">
        <f>82813.1/1000</f>
        <v>82.8131</v>
      </c>
      <c r="D429" s="32">
        <f>IFERROR(__xludf.DUMMYFUNCTION("C429*IMPORTRANGE(""https://docs.google.com/spreadsheets/d/1xsp01RMmkav9iTy39Zaj_7tE9677EGlOJ14KU9TZn7I"", ""2018-2025!H639"")"),76.225317895)</f>
        <v>76.2253179</v>
      </c>
      <c r="E429" s="32">
        <f>IFERROR(__xludf.DUMMYFUNCTION("C429*IMPORTRANGE(""https://docs.google.com/spreadsheets/d/1xsp01RMmkav9iTy39Zaj_7tE9677EGlOJ14KU9TZn7I"", ""2018-2025!T639"")"),66.700983264)</f>
        <v>66.70098326</v>
      </c>
      <c r="F429" s="32">
        <f>IFERROR(__xludf.DUMMYFUNCTION("C429*IMPORTRANGE(""https://docs.google.com/spreadsheets/d/1xsp01RMmkav9iTy39Zaj_7tE9677EGlOJ14KU9TZn7I"", ""2018-2025!AC639"")"),8916.445070450001)</f>
        <v>8916.44507</v>
      </c>
      <c r="G429" s="1" t="s">
        <v>43</v>
      </c>
    </row>
    <row r="430" ht="15.75" customHeight="1">
      <c r="A430" s="27">
        <v>43971.0</v>
      </c>
      <c r="B430" s="22">
        <v>2736.0</v>
      </c>
      <c r="C430" s="23">
        <f>84254/1000</f>
        <v>84.254</v>
      </c>
      <c r="D430" s="32">
        <f>IFERROR(__xludf.DUMMYFUNCTION("C430*IMPORTRANGE(""https://docs.google.com/spreadsheets/d/1xsp01RMmkav9iTy39Zaj_7tE9677EGlOJ14KU9TZn7I"", ""2018-2025!H661"")"),77.26681578000002)</f>
        <v>77.26681578</v>
      </c>
      <c r="E430" s="32">
        <f>IFERROR(__xludf.DUMMYFUNCTION("C430*IMPORTRANGE(""https://docs.google.com/spreadsheets/d/1xsp01RMmkav9iTy39Zaj_7tE9677EGlOJ14KU9TZn7I"", ""2018-2025!T661"")"),68.69565636)</f>
        <v>68.69565636</v>
      </c>
      <c r="F430" s="32">
        <f>IFERROR(__xludf.DUMMYFUNCTION("C430*IMPORTRANGE(""https://docs.google.com/spreadsheets/d/1xsp01RMmkav9iTy39Zaj_7tE9677EGlOJ14KU9TZn7I"", ""2018-2025!AC661"")"),9045.93071)</f>
        <v>9045.93071</v>
      </c>
      <c r="G430" s="1" t="s">
        <v>43</v>
      </c>
    </row>
    <row r="431" ht="15.75" customHeight="1">
      <c r="A431" s="26">
        <v>44002.0</v>
      </c>
      <c r="B431" s="22">
        <v>3529.0</v>
      </c>
      <c r="C431" s="23">
        <f>167998.6/1000</f>
        <v>167.9986</v>
      </c>
      <c r="D431" s="32">
        <f>IFERROR(__xludf.DUMMYFUNCTION("C431*IMPORTRANGE(""https://docs.google.com/spreadsheets/d/1xsp01RMmkav9iTy39Zaj_7tE9677EGlOJ14KU9TZn7I"", ""2018-2025!H684"")"),149.31295571500002)</f>
        <v>149.3129557</v>
      </c>
      <c r="E431" s="32">
        <f>IFERROR(__xludf.DUMMYFUNCTION("C431*IMPORTRANGE(""https://docs.google.com/spreadsheets/d/1xsp01RMmkav9iTy39Zaj_7tE9677EGlOJ14KU9TZn7I"", ""2018-2025!T684"")"),133.98308346500002)</f>
        <v>133.9830835</v>
      </c>
      <c r="F431" s="32">
        <f>IFERROR(__xludf.DUMMYFUNCTION("C431*IMPORTRANGE(""https://docs.google.com/spreadsheets/d/1xsp01RMmkav9iTy39Zaj_7tE9677EGlOJ14KU9TZn7I"", ""2018-2025!AC684"")"),18036.4136953)</f>
        <v>18036.4137</v>
      </c>
      <c r="G431" s="1" t="s">
        <v>43</v>
      </c>
    </row>
    <row r="432" ht="15.75" customHeight="1">
      <c r="A432" s="26">
        <v>44397.0</v>
      </c>
      <c r="B432" s="22">
        <v>3807.0</v>
      </c>
      <c r="C432" s="23">
        <f>250537.6/1000</f>
        <v>250.5376</v>
      </c>
      <c r="D432" s="32">
        <f>IFERROR(__xludf.DUMMYFUNCTION("C432*IMPORTRANGE(""https://docs.google.com/spreadsheets/d/1xsp01RMmkav9iTy39Zaj_7tE9677EGlOJ14KU9TZn7I"", ""2018-2025!H708"")"),219.563636512)</f>
        <v>219.5636365</v>
      </c>
      <c r="E432" s="32">
        <f>IFERROR(__xludf.DUMMYFUNCTION("C432*IMPORTRANGE(""https://docs.google.com/spreadsheets/d/1xsp01RMmkav9iTy39Zaj_7tE9677EGlOJ14KU9TZn7I"", ""2018-2025!T708"")"),198.758994208)</f>
        <v>198.7589942</v>
      </c>
      <c r="F432" s="32">
        <f>IFERROR(__xludf.DUMMYFUNCTION("C432*IMPORTRANGE(""https://docs.google.com/spreadsheets/d/1xsp01RMmkav9iTy39Zaj_7tE9677EGlOJ14KU9TZn7I"", ""2018-2025!AC708"")"),26856.628569599998)</f>
        <v>26856.62857</v>
      </c>
      <c r="G432" s="1" t="s">
        <v>43</v>
      </c>
    </row>
    <row r="433" ht="15.75" customHeight="1">
      <c r="A433" s="26">
        <v>44428.0</v>
      </c>
      <c r="B433" s="22">
        <v>3584.0</v>
      </c>
      <c r="C433" s="23">
        <f>288051.7/1000</f>
        <v>288.0517</v>
      </c>
      <c r="D433" s="32">
        <f>IFERROR(__xludf.DUMMYFUNCTION("C433*IMPORTRANGE(""https://docs.google.com/spreadsheets/d/1xsp01RMmkav9iTy39Zaj_7tE9677EGlOJ14KU9TZn7I"", ""2018-2025!H730"")"),243.70614078500003)</f>
        <v>243.7061408</v>
      </c>
      <c r="E433" s="32">
        <f>IFERROR(__xludf.DUMMYFUNCTION("C433*IMPORTRANGE(""https://docs.google.com/spreadsheets/d/1xsp01RMmkav9iTy39Zaj_7tE9677EGlOJ14KU9TZn7I"", ""2018-2025!T730"")"),219.76933256670003)</f>
        <v>219.7693326</v>
      </c>
      <c r="F433" s="32">
        <f>IFERROR(__xludf.DUMMYFUNCTION("C433*IMPORTRANGE(""https://docs.google.com/spreadsheets/d/1xsp01RMmkav9iTy39Zaj_7tE9677EGlOJ14KU9TZn7I"", ""2018-2025!AC730"")"),30531.175786400006)</f>
        <v>30531.17579</v>
      </c>
      <c r="G433" s="1" t="s">
        <v>43</v>
      </c>
    </row>
    <row r="434" ht="15.75" customHeight="1">
      <c r="A434" s="21" t="s">
        <v>244</v>
      </c>
      <c r="B434" s="22">
        <v>4103.0</v>
      </c>
      <c r="C434" s="23">
        <f>445437.5/1000</f>
        <v>445.4375</v>
      </c>
      <c r="D434" s="32">
        <f>IFERROR(__xludf.DUMMYFUNCTION("C434*IMPORTRANGE(""https://docs.google.com/spreadsheets/d/1xsp01RMmkav9iTy39Zaj_7tE9677EGlOJ14KU9TZn7I"", ""2018-2025!H753"")"),376.7532646875)</f>
        <v>376.7532647</v>
      </c>
      <c r="E434" s="32">
        <f>IFERROR(__xludf.DUMMYFUNCTION("C434*IMPORTRANGE(""https://docs.google.com/spreadsheets/d/1xsp01RMmkav9iTy39Zaj_7tE9677EGlOJ14KU9TZn7I"", ""2018-2025!T753"")"),345.067068125)</f>
        <v>345.0670681</v>
      </c>
      <c r="F434" s="32">
        <f>IFERROR(__xludf.DUMMYFUNCTION("C434*IMPORTRANGE(""https://docs.google.com/spreadsheets/d/1xsp01RMmkav9iTy39Zaj_7tE9677EGlOJ14KU9TZn7I"", ""2018-2025!AC753"")"),47078.06665625)</f>
        <v>47078.06666</v>
      </c>
      <c r="G434" s="1" t="s">
        <v>43</v>
      </c>
    </row>
    <row r="435" ht="15.75" customHeight="1">
      <c r="A435" s="26">
        <v>44489.0</v>
      </c>
      <c r="B435" s="22">
        <v>4486.0</v>
      </c>
      <c r="C435" s="23">
        <v>425.819</v>
      </c>
      <c r="D435" s="32">
        <f>IFERROR(__xludf.DUMMYFUNCTION("C435*IMPORTRANGE(""https://docs.google.com/spreadsheets/d/1xsp01RMmkav9iTy39Zaj_7tE9677EGlOJ14KU9TZn7I"", ""2018-2025!H776"")"),361.86822512300006)</f>
        <v>361.8682251</v>
      </c>
      <c r="E435" s="32">
        <f>IFERROR(__xludf.DUMMYFUNCTION("C435*IMPORTRANGE(""https://docs.google.com/spreadsheets/d/1xsp01RMmkav9iTy39Zaj_7tE9677EGlOJ14KU9TZn7I"", ""2018-2025!T776"")"),328.78336628000005)</f>
        <v>328.7833663</v>
      </c>
      <c r="F435" s="32">
        <f>IFERROR(__xludf.DUMMYFUNCTION("C435*IMPORTRANGE(""https://docs.google.com/spreadsheets/d/1xsp01RMmkav9iTy39Zaj_7tE9677EGlOJ14KU9TZn7I"", ""2018-2025!AC776"")"),44897.929541)</f>
        <v>44897.92954</v>
      </c>
      <c r="G435" s="1" t="s">
        <v>43</v>
      </c>
    </row>
    <row r="436" ht="15.75" customHeight="1">
      <c r="A436" s="26">
        <v>44520.0</v>
      </c>
      <c r="B436" s="22">
        <v>4689.0</v>
      </c>
      <c r="C436" s="23">
        <v>401.981</v>
      </c>
      <c r="D436" s="32">
        <f>IFERROR(__xludf.DUMMYFUNCTION("C436*IMPORTRANGE(""https://docs.google.com/spreadsheets/d/1xsp01RMmkav9iTy39Zaj_7tE9677EGlOJ14KU9TZn7I"", ""2018-2025!H798"")"),339.36039982)</f>
        <v>339.3603998</v>
      </c>
      <c r="E436" s="32">
        <f>IFERROR(__xludf.DUMMYFUNCTION("C436*IMPORTRANGE(""https://docs.google.com/spreadsheets/d/1xsp01RMmkav9iTy39Zaj_7tE9677EGlOJ14KU9TZn7I"", ""2018-2025!T798"")"),303.97401239)</f>
        <v>303.9740124</v>
      </c>
      <c r="F436" s="32">
        <f>IFERROR(__xludf.DUMMYFUNCTION("C436*IMPORTRANGE(""https://docs.google.com/spreadsheets/d/1xsp01RMmkav9iTy39Zaj_7tE9677EGlOJ14KU9TZn7I"", ""2018-2025!AC798"")"),42012.240253)</f>
        <v>42012.24025</v>
      </c>
      <c r="G436" s="1" t="s">
        <v>43</v>
      </c>
    </row>
    <row r="437" ht="15.75" customHeight="1">
      <c r="A437" s="26">
        <v>44550.0</v>
      </c>
      <c r="B437" s="22">
        <v>5552.0</v>
      </c>
      <c r="C437" s="23">
        <v>463.608</v>
      </c>
      <c r="D437" s="32">
        <f>IFERROR(__xludf.DUMMYFUNCTION("C437*IMPORTRANGE(""https://docs.google.com/spreadsheets/d/1xsp01RMmkav9iTy39Zaj_7tE9677EGlOJ14KU9TZn7I"", ""2018-2025!H822"")"),381.435336432)</f>
        <v>381.4353364</v>
      </c>
      <c r="E437" s="32">
        <f>IFERROR(__xludf.DUMMYFUNCTION("C437*IMPORTRANGE(""https://docs.google.com/spreadsheets/d/1xsp01RMmkav9iTy39Zaj_7tE9677EGlOJ14KU9TZn7I"", ""2018-2025!T822"")"),345.39259608)</f>
        <v>345.3925961</v>
      </c>
      <c r="F437" s="32">
        <f>IFERROR(__xludf.DUMMYFUNCTION("C437*IMPORTRANGE(""https://docs.google.com/spreadsheets/d/1xsp01RMmkav9iTy39Zaj_7tE9677EGlOJ14KU9TZn7I"", ""2018-2025!AC822"")"),48071.049911999995)</f>
        <v>48071.04991</v>
      </c>
      <c r="G437" s="1" t="s">
        <v>43</v>
      </c>
    </row>
    <row r="438" ht="15.75" customHeight="1">
      <c r="A438" s="31">
        <v>2021.0</v>
      </c>
      <c r="B438" s="31"/>
      <c r="C438" s="31"/>
      <c r="D438" s="31"/>
      <c r="E438" s="31"/>
      <c r="F438" s="34"/>
      <c r="G438" s="31"/>
    </row>
    <row r="439" ht="15.75" customHeight="1">
      <c r="A439" s="35">
        <v>44947.0</v>
      </c>
      <c r="B439" s="22">
        <v>4654.0</v>
      </c>
      <c r="C439" s="23">
        <f>385027.7/1000</f>
        <v>385.0277</v>
      </c>
      <c r="D439" s="32">
        <f>IFERROR(__xludf.DUMMYFUNCTION("C439*IMPORTRANGE(""https://docs.google.com/spreadsheets/d/1xsp01RMmkav9iTy39Zaj_7tE9677EGlOJ14KU9TZn7I"", ""2018-2025!H845"")"),316.5566839982)</f>
        <v>316.556684</v>
      </c>
      <c r="E439" s="32">
        <f>IFERROR(__xludf.DUMMYFUNCTION("C439*IMPORTRANGE(""https://docs.google.com/spreadsheets/d/1xsp01RMmkav9iTy39Zaj_7tE9677EGlOJ14KU9TZn7I"", ""2018-2025!T845"")"),281.69011559700004)</f>
        <v>281.6901156</v>
      </c>
      <c r="F439" s="32">
        <f>IFERROR(__xludf.DUMMYFUNCTION("C439*IMPORTRANGE(""https://docs.google.com/spreadsheets/d/1xsp01RMmkav9iTy39Zaj_7tE9677EGlOJ14KU9TZn7I"", ""2018-2025!AC845"")"),39950.474152)</f>
        <v>39950.47415</v>
      </c>
      <c r="G439" s="1" t="s">
        <v>43</v>
      </c>
    </row>
    <row r="440" ht="15.75" customHeight="1">
      <c r="A440" s="35">
        <v>44978.0</v>
      </c>
      <c r="B440" s="22">
        <v>4327.0</v>
      </c>
      <c r="C440" s="23">
        <f>356670.4/1000</f>
        <v>356.6704</v>
      </c>
      <c r="D440" s="32">
        <f>IFERROR(__xludf.DUMMYFUNCTION("C440*IMPORTRANGE(""https://docs.google.com/spreadsheets/d/1xsp01RMmkav9iTy39Zaj_7tE9677EGlOJ14KU9TZn7I"", ""2018-2025!H866"")"),294.26806015680006)</f>
        <v>294.2680602</v>
      </c>
      <c r="E440" s="32">
        <f>IFERROR(__xludf.DUMMYFUNCTION("C440*IMPORTRANGE(""https://docs.google.com/spreadsheets/d/1xsp01RMmkav9iTy39Zaj_7tE9677EGlOJ14KU9TZn7I"", ""2018-2025!T866"")"),257.53386232)</f>
        <v>257.5338623</v>
      </c>
      <c r="F440" s="32">
        <f>IFERROR(__xludf.DUMMYFUNCTION("C440*IMPORTRANGE(""https://docs.google.com/spreadsheets/d/1xsp01RMmkav9iTy39Zaj_7tE9677EGlOJ14KU9TZn7I"", ""2018-2025!AC866"")"),37538.311253600004)</f>
        <v>37538.31125</v>
      </c>
      <c r="G440" s="1" t="s">
        <v>43</v>
      </c>
      <c r="K440" s="23"/>
    </row>
    <row r="441" ht="15.75" customHeight="1">
      <c r="A441" s="35">
        <v>45006.0</v>
      </c>
      <c r="B441" s="22">
        <v>5318.0</v>
      </c>
      <c r="C441" s="23">
        <f>499028.4/1000</f>
        <v>499.0284</v>
      </c>
      <c r="D441" s="32">
        <f>IFERROR(__xludf.DUMMYFUNCTION("C441*IMPORTRANGE(""https://docs.google.com/spreadsheets/d/1xsp01RMmkav9iTy39Zaj_7tE9677EGlOJ14KU9TZn7I"", ""2018-2025!H890"")"),418.450284252)</f>
        <v>418.4502843</v>
      </c>
      <c r="E441" s="32">
        <f>IFERROR(__xludf.DUMMYFUNCTION("C441*IMPORTRANGE(""https://docs.google.com/spreadsheets/d/1xsp01RMmkav9iTy39Zaj_7tE9677EGlOJ14KU9TZn7I"", ""2018-2025!T890"")"),359.165710332)</f>
        <v>359.1657103</v>
      </c>
      <c r="F441" s="32">
        <f>IFERROR(__xludf.DUMMYFUNCTION("C441*IMPORTRANGE(""https://docs.google.com/spreadsheets/d/1xsp01RMmkav9iTy39Zaj_7tE9677EGlOJ14KU9TZn7I"", ""2018-2025!AC890"")"),54289.299636)</f>
        <v>54289.29964</v>
      </c>
      <c r="G441" s="1" t="s">
        <v>43</v>
      </c>
      <c r="K441" s="23"/>
    </row>
    <row r="442" ht="15.75" customHeight="1">
      <c r="A442" s="35">
        <v>45037.0</v>
      </c>
      <c r="B442" s="22">
        <v>4615.0</v>
      </c>
      <c r="C442" s="23">
        <f>482241.8/1000</f>
        <v>482.2418</v>
      </c>
      <c r="D442" s="32">
        <f>IFERROR(__xludf.DUMMYFUNCTION("C442*IMPORTRANGE(""https://docs.google.com/spreadsheets/d/1xsp01RMmkav9iTy39Zaj_7tE9677EGlOJ14KU9TZn7I"", ""2018-2025!H913"")"),402.855154884)</f>
        <v>402.8551549</v>
      </c>
      <c r="E442" s="32">
        <f>IFERROR(__xludf.DUMMYFUNCTION("C442*IMPORTRANGE(""https://docs.google.com/spreadsheets/d/1xsp01RMmkav9iTy39Zaj_7tE9677EGlOJ14KU9TZn7I"", ""2018-2025!T913"")"),348.61259722)</f>
        <v>348.6125972</v>
      </c>
      <c r="F442" s="32">
        <f>IFERROR(__xludf.DUMMYFUNCTION("C442*IMPORTRANGE(""https://docs.google.com/spreadsheets/d/1xsp01RMmkav9iTy39Zaj_7tE9677EGlOJ14KU9TZn7I"", ""2018-2025!AC913"")"),52515.6497782)</f>
        <v>52515.64978</v>
      </c>
      <c r="G442" s="1" t="s">
        <v>43</v>
      </c>
      <c r="K442" s="23"/>
    </row>
    <row r="443" ht="15.75" customHeight="1">
      <c r="A443" s="35">
        <v>45067.0</v>
      </c>
      <c r="B443" s="22">
        <v>4708.0</v>
      </c>
      <c r="C443" s="23">
        <f>496568.9/1000</f>
        <v>496.5689</v>
      </c>
      <c r="D443" s="32">
        <f>IFERROR(__xludf.DUMMYFUNCTION("C443*IMPORTRANGE(""https://docs.google.com/spreadsheets/d/1xsp01RMmkav9iTy39Zaj_7tE9677EGlOJ14KU9TZn7I"", ""2018-2025!H935"")"),408.467645762)</f>
        <v>408.4676458</v>
      </c>
      <c r="E443" s="32">
        <f>IFERROR(__xludf.DUMMYFUNCTION("C443*IMPORTRANGE(""https://docs.google.com/spreadsheets/d/1xsp01RMmkav9iTy39Zaj_7tE9677EGlOJ14KU9TZn7I"", ""2018-2025!T935"")"),351.77437444900005)</f>
        <v>351.7743744</v>
      </c>
      <c r="F443" s="32">
        <f>IFERROR(__xludf.DUMMYFUNCTION("C443*IMPORTRANGE(""https://docs.google.com/spreadsheets/d/1xsp01RMmkav9iTy39Zaj_7tE9677EGlOJ14KU9TZn7I"", ""2018-2025!AC935"")"),54210.426813000005)</f>
        <v>54210.42681</v>
      </c>
      <c r="G443" s="1" t="s">
        <v>43</v>
      </c>
      <c r="K443" s="23"/>
    </row>
    <row r="444" ht="15.75" customHeight="1">
      <c r="A444" s="35">
        <v>45098.0</v>
      </c>
      <c r="B444" s="22">
        <v>5076.0</v>
      </c>
      <c r="C444" s="23">
        <f>420205.5/1000</f>
        <v>420.2055</v>
      </c>
      <c r="D444" s="32">
        <f>IFERROR(__xludf.DUMMYFUNCTION("C444*IMPORTRANGE(""https://docs.google.com/spreadsheets/d/1xsp01RMmkav9iTy39Zaj_7tE9677EGlOJ14KU9TZn7I"", ""2018-2025!H958"")"),346.81240736999996)</f>
        <v>346.8124074</v>
      </c>
      <c r="E444" s="32">
        <f>IFERROR(__xludf.DUMMYFUNCTION("C444*IMPORTRANGE(""https://docs.google.com/spreadsheets/d/1xsp01RMmkav9iTy39Zaj_7tE9677EGlOJ14KU9TZn7I"", ""2018-2025!T958"")"),298.1084888925)</f>
        <v>298.1084889</v>
      </c>
      <c r="F444" s="32">
        <f>IFERROR(__xludf.DUMMYFUNCTION("C444*IMPORTRANGE(""https://docs.google.com/spreadsheets/d/1xsp01RMmkav9iTy39Zaj_7tE9677EGlOJ14KU9TZn7I"", ""2018-2025!AC958"")"),46282.48428375)</f>
        <v>46282.48428</v>
      </c>
      <c r="G444" s="1" t="s">
        <v>43</v>
      </c>
      <c r="K444" s="23"/>
    </row>
    <row r="445" ht="15.75" customHeight="1">
      <c r="A445" s="35">
        <v>45128.0</v>
      </c>
      <c r="B445" s="22">
        <v>4972.0</v>
      </c>
      <c r="C445" s="23">
        <f>483396.3/1000</f>
        <v>483.3963</v>
      </c>
      <c r="D445" s="32">
        <f>IFERROR(__xludf.DUMMYFUNCTION("C445*IMPORTRANGE(""https://docs.google.com/spreadsheets/d/1xsp01RMmkav9iTy39Zaj_7tE9677EGlOJ14KU9TZn7I"", ""2018-2025!H981"")"),408.832420725)</f>
        <v>408.8324207</v>
      </c>
      <c r="E445" s="32">
        <f>IFERROR(__xludf.DUMMYFUNCTION("C445*IMPORTRANGE(""https://docs.google.com/spreadsheets/d/1xsp01RMmkav9iTy39Zaj_7tE9677EGlOJ14KU9TZn7I"", ""2018-2025!T981"")"),349.8411532545)</f>
        <v>349.8411533</v>
      </c>
      <c r="F445" s="32">
        <f>IFERROR(__xludf.DUMMYFUNCTION("C445*IMPORTRANGE(""https://docs.google.com/spreadsheets/d/1xsp01RMmkav9iTy39Zaj_7tE9677EGlOJ14KU9TZn7I"", ""2018-2025!AC981"")"),53287.191130499996)</f>
        <v>53287.19113</v>
      </c>
      <c r="G445" s="1" t="s">
        <v>43</v>
      </c>
      <c r="K445" s="23"/>
    </row>
    <row r="446" ht="15.75" customHeight="1">
      <c r="A446" s="35">
        <v>45159.0</v>
      </c>
      <c r="B446" s="22">
        <v>4546.0</v>
      </c>
      <c r="C446" s="23">
        <f>485040.6/1000</f>
        <v>485.0406</v>
      </c>
      <c r="D446" s="32">
        <f>IFERROR(__xludf.DUMMYFUNCTION("C446*IMPORTRANGE(""https://docs.google.com/spreadsheets/d/1xsp01RMmkav9iTy39Zaj_7tE9677EGlOJ14KU9TZn7I"", ""2018-2025!H1004"")"),412.633739232)</f>
        <v>412.6337392</v>
      </c>
      <c r="E446" s="32">
        <f>IFERROR(__xludf.DUMMYFUNCTION("C446*IMPORTRANGE(""https://docs.google.com/spreadsheets/d/1xsp01RMmkav9iTy39Zaj_7tE9677EGlOJ14KU9TZn7I"", ""2018-2025!T1004"")"),350.873519634)</f>
        <v>350.8735196</v>
      </c>
      <c r="F446" s="32">
        <f>IFERROR(__xludf.DUMMYFUNCTION("C446*IMPORTRANGE(""https://docs.google.com/spreadsheets/d/1xsp01RMmkav9iTy39Zaj_7tE9677EGlOJ14KU9TZn7I"", ""2018-2025!AC1004"")"),53259.3980424)</f>
        <v>53259.39804</v>
      </c>
      <c r="G446" s="1" t="s">
        <v>43</v>
      </c>
      <c r="K446" s="23"/>
    </row>
    <row r="447" ht="15.75" customHeight="1">
      <c r="A447" s="35">
        <v>45190.0</v>
      </c>
      <c r="B447" s="22">
        <v>4549.0</v>
      </c>
      <c r="C447" s="23">
        <f>403560.8/1000</f>
        <v>403.5608</v>
      </c>
      <c r="D447" s="32">
        <f>IFERROR(__xludf.DUMMYFUNCTION("C447*IMPORTRANGE(""https://docs.google.com/spreadsheets/d/1xsp01RMmkav9iTy39Zaj_7tE9677EGlOJ14KU9TZn7I"", ""2018-2025!H1027"")"),341.779677128)</f>
        <v>341.7796771</v>
      </c>
      <c r="E447" s="32">
        <f>IFERROR(__xludf.DUMMYFUNCTION("C447*IMPORTRANGE(""https://docs.google.com/spreadsheets/d/1xsp01RMmkav9iTy39Zaj_7tE9677EGlOJ14KU9TZn7I"", ""2018-2025!T1027"")"),293.07997758799996)</f>
        <v>293.0799776</v>
      </c>
      <c r="F447" s="32">
        <f>IFERROR(__xludf.DUMMYFUNCTION("C447*IMPORTRANGE(""https://docs.google.com/spreadsheets/d/1xsp01RMmkav9iTy39Zaj_7tE9677EGlOJ14KU9TZn7I"", ""2018-2025!AC1027"")"),44374.7384464)</f>
        <v>44374.73845</v>
      </c>
      <c r="G447" s="1" t="s">
        <v>43</v>
      </c>
      <c r="K447" s="23"/>
    </row>
    <row r="448" ht="15.75" customHeight="1">
      <c r="A448" s="35">
        <v>45220.0</v>
      </c>
      <c r="B448" s="22">
        <v>4665.0</v>
      </c>
      <c r="C448" s="23">
        <f>303259.8/1000</f>
        <v>303.2598</v>
      </c>
      <c r="D448" s="32">
        <f>IFERROR(__xludf.DUMMYFUNCTION("C448*IMPORTRANGE(""https://docs.google.com/spreadsheets/d/1xsp01RMmkav9iTy39Zaj_7tE9677EGlOJ14KU9TZn7I"", ""2018-2025!H1049"")"),261.44027358)</f>
        <v>261.4402736</v>
      </c>
      <c r="E448" s="32">
        <f>IFERROR(__xludf.DUMMYFUNCTION("C448*IMPORTRANGE(""https://docs.google.com/spreadsheets/d/1xsp01RMmkav9iTy39Zaj_7tE9677EGlOJ14KU9TZn7I"", ""2018-2025!T1049"")"),221.855771886)</f>
        <v>221.8557719</v>
      </c>
      <c r="F448" s="32">
        <f>IFERROR(__xludf.DUMMYFUNCTION("C448*IMPORTRANGE(""https://docs.google.com/spreadsheets/d/1xsp01RMmkav9iTy39Zaj_7tE9677EGlOJ14KU9TZn7I"", ""2018-2025!AC1049"")"),34455.165436799994)</f>
        <v>34455.16544</v>
      </c>
      <c r="G448" s="1" t="s">
        <v>43</v>
      </c>
      <c r="K448" s="23"/>
    </row>
    <row r="449" ht="15.75" customHeight="1">
      <c r="A449" s="35">
        <v>45251.0</v>
      </c>
      <c r="B449" s="22">
        <v>5118.0</v>
      </c>
      <c r="C449" s="23">
        <f>478001.7/1000</f>
        <v>478.0017</v>
      </c>
      <c r="D449" s="32">
        <f>IFERROR(__xludf.DUMMYFUNCTION("C449*IMPORTRANGE(""https://docs.google.com/spreadsheets/d/1xsp01RMmkav9iTy39Zaj_7tE9677EGlOJ14KU9TZn7I"", ""2018-2025!H1072"")"),419.11906058550005)</f>
        <v>419.1190606</v>
      </c>
      <c r="E449" s="32">
        <f>IFERROR(__xludf.DUMMYFUNCTION("C449*IMPORTRANGE(""https://docs.google.com/spreadsheets/d/1xsp01RMmkav9iTy39Zaj_7tE9677EGlOJ14KU9TZn7I"", ""2018-2025!T1072"")"),355.9320158625)</f>
        <v>355.9320159</v>
      </c>
      <c r="F449" s="32">
        <f>IFERROR(__xludf.DUMMYFUNCTION("C449*IMPORTRANGE(""https://docs.google.com/spreadsheets/d/1xsp01RMmkav9iTy39Zaj_7tE9677EGlOJ14KU9TZn7I"", ""2018-2025!AC1072"")"),54531.389939400004)</f>
        <v>54531.38994</v>
      </c>
      <c r="G449" s="1" t="s">
        <v>43</v>
      </c>
      <c r="K449" s="23"/>
    </row>
    <row r="450" ht="15.75" customHeight="1">
      <c r="A450" s="35">
        <v>45281.0</v>
      </c>
      <c r="B450" s="22">
        <v>5760.0</v>
      </c>
      <c r="C450" s="23">
        <f>442645.7/1000</f>
        <v>442.6457</v>
      </c>
      <c r="D450" s="32">
        <f>IFERROR(__xludf.DUMMYFUNCTION("C450*IMPORTRANGE(""https://docs.google.com/spreadsheets/d/1xsp01RMmkav9iTy39Zaj_7tE9677EGlOJ14KU9TZn7I"", ""2018-2025!H1096"")"),391.312078171)</f>
        <v>391.3120782</v>
      </c>
      <c r="E450" s="32">
        <f>IFERROR(__xludf.DUMMYFUNCTION("C450*IMPORTRANGE(""https://docs.google.com/spreadsheets/d/1xsp01RMmkav9iTy39Zaj_7tE9677EGlOJ14KU9TZn7I"", ""2018-2025!T1096"")"),333.57779952000004)</f>
        <v>333.5777995</v>
      </c>
      <c r="F450" s="32">
        <f>IFERROR(__xludf.DUMMYFUNCTION("C450*IMPORTRANGE(""https://docs.google.com/spreadsheets/d/1xsp01RMmkav9iTy39Zaj_7tE9677EGlOJ14KU9TZn7I"", ""2018-2025!AC1096"")"),50312.438199100005)</f>
        <v>50312.4382</v>
      </c>
      <c r="G450" s="1" t="s">
        <v>43</v>
      </c>
      <c r="K450" s="23"/>
    </row>
    <row r="451" ht="15.75" customHeight="1">
      <c r="A451" s="31">
        <v>2022.0</v>
      </c>
      <c r="B451" s="31"/>
      <c r="C451" s="31"/>
      <c r="D451" s="30"/>
      <c r="E451" s="31"/>
      <c r="F451" s="31"/>
      <c r="G451" s="31"/>
      <c r="I451" s="12"/>
      <c r="J451" s="12"/>
      <c r="K451" s="12"/>
    </row>
    <row r="452" ht="15.75" customHeight="1">
      <c r="A452" s="35">
        <v>44948.0</v>
      </c>
      <c r="B452" s="22">
        <v>5176.0</v>
      </c>
      <c r="C452" s="23">
        <f>324943.7/1000</f>
        <v>324.9437</v>
      </c>
      <c r="D452" s="32">
        <f>IFERROR(__xludf.DUMMYFUNCTION("C452*IMPORTRANGE(""https://docs.google.com/spreadsheets/d/1xsp01RMmkav9iTy39Zaj_7tE9677EGlOJ14KU9TZn7I"", ""2018-2025!H1119"")"),286.80830736800004)</f>
        <v>286.8083074</v>
      </c>
      <c r="E452" s="32">
        <f>IFERROR(__xludf.DUMMYFUNCTION("C452*IMPORTRANGE(""https://docs.google.com/spreadsheets/d/1xsp01RMmkav9iTy39Zaj_7tE9677EGlOJ14KU9TZn7I"", ""2018-2025!T1119"")"),239.707718053)</f>
        <v>239.7077181</v>
      </c>
      <c r="F452" s="32">
        <f>IFERROR(__xludf.DUMMYFUNCTION("C452*IMPORTRANGE(""https://docs.google.com/spreadsheets/d/1xsp01RMmkav9iTy39Zaj_7tE9677EGlOJ14KU9TZn7I"", ""2018-2025!AC1119"")"),37277.866207700004)</f>
        <v>37277.86621</v>
      </c>
      <c r="G452" s="1" t="s">
        <v>43</v>
      </c>
      <c r="I452" s="12"/>
      <c r="J452" s="36"/>
      <c r="K452" s="37"/>
    </row>
    <row r="453" ht="15.75" customHeight="1">
      <c r="A453" s="35">
        <v>44979.0</v>
      </c>
      <c r="B453" s="22">
        <v>4172.0</v>
      </c>
      <c r="C453" s="23">
        <f>332368.4/1000</f>
        <v>332.3684</v>
      </c>
      <c r="D453" s="32">
        <f>IFERROR(__xludf.DUMMYFUNCTION("C453*IMPORTRANGE(""https://docs.google.com/spreadsheets/d/1xsp01RMmkav9iTy39Zaj_7tE9677EGlOJ14KU9TZn7I"", ""2018-2025!H1140"")"),293.017643282)</f>
        <v>293.0176433</v>
      </c>
      <c r="E453" s="32">
        <f>IFERROR(__xludf.DUMMYFUNCTION("C453*IMPORTRANGE(""https://docs.google.com/spreadsheets/d/1xsp01RMmkav9iTy39Zaj_7tE9677EGlOJ14KU9TZn7I"", ""2018-2025!T1140"")"),245.351029196)</f>
        <v>245.3510292</v>
      </c>
      <c r="F453" s="32">
        <f>IFERROR(__xludf.DUMMYFUNCTION("C453*IMPORTRANGE(""https://docs.google.com/spreadsheets/d/1xsp01RMmkav9iTy39Zaj_7tE9677EGlOJ14KU9TZn7I"", ""2018-2025!AC1140"")"),38279.699549)</f>
        <v>38279.69955</v>
      </c>
      <c r="G453" s="1" t="s">
        <v>43</v>
      </c>
      <c r="I453" s="12"/>
      <c r="J453" s="38"/>
      <c r="K453" s="39"/>
    </row>
    <row r="454" ht="15.75" customHeight="1">
      <c r="A454" s="35">
        <v>45007.0</v>
      </c>
      <c r="B454" s="22">
        <v>4582.0</v>
      </c>
      <c r="C454" s="23">
        <f>299625.2/1000</f>
        <v>299.6252</v>
      </c>
      <c r="D454" s="32">
        <f>IFERROR(__xludf.DUMMYFUNCTION("C454*IMPORTRANGE(""https://docs.google.com/spreadsheets/d/1xsp01RMmkav9iTy39Zaj_7tE9677EGlOJ14KU9TZn7I"", ""2018-2025!H1164"")"),271.960805284)</f>
        <v>271.9608053</v>
      </c>
      <c r="E454" s="32">
        <f>IFERROR(__xludf.DUMMYFUNCTION("C454*IMPORTRANGE(""https://docs.google.com/spreadsheets/d/1xsp01RMmkav9iTy39Zaj_7tE9677EGlOJ14KU9TZn7I"", ""2018-2025!T1164"")"),227.664215716)</f>
        <v>227.6642157</v>
      </c>
      <c r="F454" s="32">
        <f>IFERROR(__xludf.DUMMYFUNCTION("C454*IMPORTRANGE(""https://docs.google.com/spreadsheets/d/1xsp01RMmkav9iTy39Zaj_7tE9677EGlOJ14KU9TZn7I"", ""2018-2025!AC1164"")"),35443.2641584)</f>
        <v>35443.26416</v>
      </c>
      <c r="G454" s="1" t="s">
        <v>43</v>
      </c>
      <c r="I454" s="12"/>
      <c r="J454" s="12"/>
      <c r="K454" s="39"/>
    </row>
    <row r="455" ht="15.75" customHeight="1">
      <c r="A455" s="35">
        <v>45038.0</v>
      </c>
      <c r="B455" s="22">
        <v>3933.0</v>
      </c>
      <c r="C455" s="23">
        <f>411756.6/1000</f>
        <v>411.7566</v>
      </c>
      <c r="D455" s="32">
        <f>IFERROR(__xludf.DUMMYFUNCTION("C455*IMPORTRANGE(""https://docs.google.com/spreadsheets/d/1xsp01RMmkav9iTy39Zaj_7tE9677EGlOJ14KU9TZn7I"", ""2018-2025!H1186"")"),380.01840127199995)</f>
        <v>380.0184013</v>
      </c>
      <c r="E455" s="32">
        <f>IFERROR(__xludf.DUMMYFUNCTION("C455*IMPORTRANGE(""https://docs.google.com/spreadsheets/d/1xsp01RMmkav9iTy39Zaj_7tE9677EGlOJ14KU9TZn7I"", ""2018-2025!T1186"")"),315.953191878)</f>
        <v>315.9531919</v>
      </c>
      <c r="F455" s="32">
        <f>IFERROR(__xludf.DUMMYFUNCTION("C455*IMPORTRANGE(""https://docs.google.com/spreadsheets/d/1xsp01RMmkav9iTy39Zaj_7tE9677EGlOJ14KU9TZn7I"", ""2018-2025!AC1186"")"),51955.0360314)</f>
        <v>51955.03603</v>
      </c>
      <c r="G455" s="1" t="s">
        <v>43</v>
      </c>
      <c r="I455" s="12"/>
      <c r="J455" s="12"/>
      <c r="K455" s="39"/>
    </row>
    <row r="456" ht="15.75" customHeight="1">
      <c r="A456" s="35">
        <v>45068.0</v>
      </c>
      <c r="B456" s="22">
        <v>4237.0</v>
      </c>
      <c r="C456" s="23">
        <f>456793.4/1000</f>
        <v>456.7934</v>
      </c>
      <c r="D456" s="32">
        <f>IFERROR(__xludf.DUMMYFUNCTION("C456*IMPORTRANGE(""https://docs.google.com/spreadsheets/d/1xsp01RMmkav9iTy39Zaj_7tE9677EGlOJ14KU9TZn7I"", ""2018-2025!H1209"")"),433.234280395)</f>
        <v>433.2342804</v>
      </c>
      <c r="E456" s="32">
        <f>IFERROR(__xludf.DUMMYFUNCTION("C456*IMPORTRANGE(""https://docs.google.com/spreadsheets/d/1xsp01RMmkav9iTy39Zaj_7tE9677EGlOJ14KU9TZn7I"", ""2018-2025!T1209"")"),365.688240337)</f>
        <v>365.6882403</v>
      </c>
      <c r="F456" s="32">
        <f>IFERROR(__xludf.DUMMYFUNCTION("C456*IMPORTRANGE(""https://docs.google.com/spreadsheets/d/1xsp01RMmkav9iTy39Zaj_7tE9677EGlOJ14KU9TZn7I"", ""2018-2025!AC1209"")"),58959.694518200005)</f>
        <v>58959.69452</v>
      </c>
      <c r="G456" s="1" t="s">
        <v>43</v>
      </c>
      <c r="I456" s="12"/>
      <c r="J456" s="12"/>
      <c r="K456" s="39"/>
    </row>
    <row r="457" ht="15.75" customHeight="1">
      <c r="A457" s="35">
        <v>45099.0</v>
      </c>
      <c r="B457" s="22">
        <v>4223.0</v>
      </c>
      <c r="C457" s="23">
        <f>214657.9/1000</f>
        <v>214.6579</v>
      </c>
      <c r="D457" s="32">
        <f>IFERROR(__xludf.DUMMYFUNCTION("C457*IMPORTRANGE(""https://docs.google.com/spreadsheets/d/1xsp01RMmkav9iTy39Zaj_7tE9677EGlOJ14KU9TZn7I"", ""2018-2025!H1232"")"),203.36152801249997)</f>
        <v>203.361528</v>
      </c>
      <c r="E457" s="32">
        <f>IFERROR(__xludf.DUMMYFUNCTION("C457*IMPORTRANGE(""https://docs.google.com/spreadsheets/d/1xsp01RMmkav9iTy39Zaj_7tE9677EGlOJ14KU9TZn7I"", ""2018-2025!T1232"")"),174.929015868)</f>
        <v>174.9290159</v>
      </c>
      <c r="F457" s="32">
        <f>IFERROR(__xludf.DUMMYFUNCTION("C457*IMPORTRANGE(""https://docs.google.com/spreadsheets/d/1xsp01RMmkav9iTy39Zaj_7tE9677EGlOJ14KU9TZn7I"", ""2018-2025!AC1232"")"),28897.6758138)</f>
        <v>28897.67581</v>
      </c>
      <c r="G457" s="1" t="s">
        <v>43</v>
      </c>
      <c r="I457" s="12"/>
      <c r="J457" s="12"/>
      <c r="K457" s="39"/>
    </row>
    <row r="458" ht="15.75" customHeight="1">
      <c r="A458" s="35">
        <v>45129.0</v>
      </c>
      <c r="B458" s="22">
        <v>4120.0</v>
      </c>
      <c r="C458" s="23">
        <f>186317.1/1000</f>
        <v>186.3171</v>
      </c>
      <c r="D458" s="32">
        <f>IFERROR(__xludf.DUMMYFUNCTION("C458*IMPORTRANGE(""https://docs.google.com/spreadsheets/d/1xsp01RMmkav9iTy39Zaj_7tE9677EGlOJ14KU9TZn7I"", ""2018-2025!H1254"")"),182.90749707)</f>
        <v>182.9074971</v>
      </c>
      <c r="E458" s="32">
        <f>IFERROR(__xludf.DUMMYFUNCTION("C458*IMPORTRANGE(""https://docs.google.com/spreadsheets/d/1xsp01RMmkav9iTy39Zaj_7tE9677EGlOJ14KU9TZn7I"", ""2018-2025!T1254"")"),155.31393456)</f>
        <v>155.3139346</v>
      </c>
      <c r="F458" s="32">
        <f>IFERROR(__xludf.DUMMYFUNCTION("C458*IMPORTRANGE(""https://docs.google.com/spreadsheets/d/1xsp01RMmkav9iTy39Zaj_7tE9677EGlOJ14KU9TZn7I"", ""2018-2025!AC1254"")"),25419.428270100005)</f>
        <v>25419.42827</v>
      </c>
      <c r="G458" s="1" t="s">
        <v>43</v>
      </c>
      <c r="I458" s="12"/>
      <c r="J458" s="12"/>
      <c r="K458" s="39"/>
    </row>
    <row r="459" ht="15.75" customHeight="1">
      <c r="A459" s="35">
        <v>45160.0</v>
      </c>
      <c r="B459" s="22">
        <v>3781.0</v>
      </c>
      <c r="C459" s="23">
        <f>222269/1000</f>
        <v>222.269</v>
      </c>
      <c r="D459" s="32">
        <f>IFERROR(__xludf.DUMMYFUNCTION("C459*IMPORTRANGE(""https://docs.google.com/spreadsheets/d/1xsp01RMmkav9iTy39Zaj_7tE9677EGlOJ14KU9TZn7I"", ""2018-2025!H1278"")"),218.72603214000003)</f>
        <v>218.7260321</v>
      </c>
      <c r="E459" s="32">
        <f>IFERROR(__xludf.DUMMYFUNCTION("C459*IMPORTRANGE(""https://docs.google.com/spreadsheets/d/1xsp01RMmkav9iTy39Zaj_7tE9677EGlOJ14KU9TZn7I"", ""2018-2025!T1278"")"),184.30990018)</f>
        <v>184.3099002</v>
      </c>
      <c r="F459" s="32">
        <f>IFERROR(__xludf.DUMMYFUNCTION("C459*IMPORTRANGE(""https://docs.google.com/spreadsheets/d/1xsp01RMmkav9iTy39Zaj_7tE9677EGlOJ14KU9TZn7I"", ""2018-2025!AC1278"")"),29993.867936)</f>
        <v>29993.86794</v>
      </c>
      <c r="G459" s="1" t="s">
        <v>43</v>
      </c>
      <c r="I459" s="12"/>
      <c r="J459" s="12"/>
      <c r="K459" s="39"/>
    </row>
    <row r="460" ht="15.75" customHeight="1">
      <c r="A460" s="35">
        <v>45191.0</v>
      </c>
      <c r="B460" s="22">
        <v>4070.0</v>
      </c>
      <c r="C460" s="23">
        <f>227975.8/1000</f>
        <v>227.9758</v>
      </c>
      <c r="D460" s="32">
        <f>IFERROR(__xludf.DUMMYFUNCTION("C460*IMPORTRANGE(""https://docs.google.com/spreadsheets/d/1xsp01RMmkav9iTy39Zaj_7tE9677EGlOJ14KU9TZn7I"", ""2018-2025!H1301"")"),228.85578658799997)</f>
        <v>228.8557866</v>
      </c>
      <c r="E460" s="32">
        <f>IFERROR(__xludf.DUMMYFUNCTION("C460*IMPORTRANGE(""https://docs.google.com/spreadsheets/d/1xsp01RMmkav9iTy39Zaj_7tE9677EGlOJ14KU9TZn7I"", ""2018-2025!T1301"")"),198.86898973499999)</f>
        <v>198.8689897</v>
      </c>
      <c r="F460" s="32">
        <f>IFERROR(__xludf.DUMMYFUNCTION("C460*IMPORTRANGE(""https://docs.google.com/spreadsheets/d/1xsp01RMmkav9iTy39Zaj_7tE9677EGlOJ14KU9TZn7I"", ""2018-2025!AC1301"")"),32667.564285200002)</f>
        <v>32667.56429</v>
      </c>
      <c r="G460" s="1" t="s">
        <v>43</v>
      </c>
      <c r="I460" s="40"/>
      <c r="J460" s="12"/>
      <c r="K460" s="39"/>
    </row>
    <row r="461" ht="15.75" customHeight="1">
      <c r="A461" s="35">
        <v>45221.0</v>
      </c>
      <c r="B461" s="22">
        <v>3833.0</v>
      </c>
      <c r="C461" s="23">
        <f>211383.3/1000</f>
        <v>211.3833</v>
      </c>
      <c r="D461" s="32">
        <f>IFERROR(__xludf.DUMMYFUNCTION("C461*IMPORTRANGE(""https://docs.google.com/spreadsheets/d/1xsp01RMmkav9iTy39Zaj_7tE9677EGlOJ14KU9TZn7I"", ""2018-2025!H1323"")"),214.993726764)</f>
        <v>214.9937268</v>
      </c>
      <c r="E461" s="32">
        <f>IFERROR(__xludf.DUMMYFUNCTION("C461*IMPORTRANGE(""https://docs.google.com/spreadsheets/d/1xsp01RMmkav9iTy39Zaj_7tE9677EGlOJ14KU9TZn7I"", ""2018-2025!T1323"")"),186.93682135499998)</f>
        <v>186.9368214</v>
      </c>
      <c r="F461" s="32">
        <f>IFERROR(__xludf.DUMMYFUNCTION("C461*IMPORTRANGE(""https://docs.google.com/spreadsheets/d/1xsp01RMmkav9iTy39Zaj_7tE9677EGlOJ14KU9TZn7I"", ""2018-2025!AC1323"")"),31017.751292099998)</f>
        <v>31017.75129</v>
      </c>
      <c r="G461" s="1" t="s">
        <v>43</v>
      </c>
      <c r="I461" s="40"/>
      <c r="J461" s="12"/>
      <c r="K461" s="39"/>
    </row>
    <row r="462" ht="15.75" customHeight="1">
      <c r="A462" s="35">
        <v>45252.0</v>
      </c>
      <c r="B462" s="22">
        <v>4146.0</v>
      </c>
      <c r="C462" s="23">
        <f>265068.5/1000</f>
        <v>265.0685</v>
      </c>
      <c r="D462" s="32">
        <f>IFERROR(__xludf.DUMMYFUNCTION("C462*IMPORTRANGE(""https://docs.google.com/spreadsheets/d/1xsp01RMmkav9iTy39Zaj_7tE9677EGlOJ14KU9TZn7I"", ""2018-2025!H1346"")"),256.96933198249997)</f>
        <v>256.969332</v>
      </c>
      <c r="E462" s="32">
        <f>IFERROR(__xludf.DUMMYFUNCTION("C462*IMPORTRANGE(""https://docs.google.com/spreadsheets/d/1xsp01RMmkav9iTy39Zaj_7tE9677EGlOJ14KU9TZn7I"", ""2018-2025!T1346"")"),224.38048525)</f>
        <v>224.3804853</v>
      </c>
      <c r="F462" s="32">
        <f>IFERROR(__xludf.DUMMYFUNCTION("C462*IMPORTRANGE(""https://docs.google.com/spreadsheets/d/1xsp01RMmkav9iTy39Zaj_7tE9677EGlOJ14KU9TZn7I"", ""2018-2025!AC1346"")"),37317.27116975)</f>
        <v>37317.27117</v>
      </c>
      <c r="G462" s="1" t="s">
        <v>43</v>
      </c>
      <c r="I462" s="40"/>
      <c r="J462" s="12"/>
      <c r="K462" s="39"/>
    </row>
    <row r="463" ht="15.75" customHeight="1">
      <c r="A463" s="35">
        <v>45282.0</v>
      </c>
      <c r="B463" s="22">
        <v>4490.0</v>
      </c>
      <c r="C463" s="23">
        <f>230634.9/1000</f>
        <v>230.6349</v>
      </c>
      <c r="D463" s="32">
        <f>IFERROR(__xludf.DUMMYFUNCTION("C463*IMPORTRANGE(""https://docs.google.com/spreadsheets/d/1xsp01RMmkav9iTy39Zaj_7tE9677EGlOJ14KU9TZn7I"", ""2018-2025!H1369"")"),217.44258372)</f>
        <v>217.4425837</v>
      </c>
      <c r="E463" s="32">
        <f>IFERROR(__xludf.DUMMYFUNCTION("C463*IMPORTRANGE(""https://docs.google.com/spreadsheets/d/1xsp01RMmkav9iTy39Zaj_7tE9677EGlOJ14KU9TZn7I"", ""2018-2025!T1369"")"),189.43774098749998)</f>
        <v>189.437741</v>
      </c>
      <c r="F463" s="32">
        <f>IFERROR(__xludf.DUMMYFUNCTION("C463*IMPORTRANGE(""https://docs.google.com/spreadsheets/d/1xsp01RMmkav9iTy39Zaj_7tE9677EGlOJ14KU9TZn7I"", ""2018-2025!AC1369"")"),31243.1873634)</f>
        <v>31243.18736</v>
      </c>
      <c r="G463" s="1" t="s">
        <v>43</v>
      </c>
      <c r="I463" s="40"/>
      <c r="J463" s="12"/>
      <c r="K463" s="39"/>
    </row>
    <row r="464" ht="15.75" customHeight="1">
      <c r="A464" s="31">
        <v>2023.0</v>
      </c>
      <c r="B464" s="31"/>
      <c r="C464" s="41"/>
      <c r="D464" s="41"/>
      <c r="E464" s="41"/>
      <c r="F464" s="41"/>
      <c r="G464" s="31"/>
      <c r="I464" s="12"/>
      <c r="J464" s="40"/>
      <c r="K464" s="37"/>
    </row>
    <row r="465" ht="15.75" customHeight="1">
      <c r="A465" s="35">
        <v>44949.0</v>
      </c>
      <c r="B465" s="22">
        <v>3896.0</v>
      </c>
      <c r="C465" s="23">
        <f>148755.1/1000</f>
        <v>148.7551</v>
      </c>
      <c r="D465" s="32">
        <f>IFERROR(__xludf.DUMMYFUNCTION("C465*IMPORTRANGE(""https://docs.google.com/spreadsheets/d/1xsp01RMmkav9iTy39Zaj_7tE9677EGlOJ14KU9TZn7I"", ""2018-2025!H1393"")"),137.5932610715)</f>
        <v>137.5932611</v>
      </c>
      <c r="E465" s="32">
        <f>IFERROR(__xludf.DUMMYFUNCTION("C465*IMPORTRANGE(""https://docs.google.com/spreadsheets/d/1xsp01RMmkav9iTy39Zaj_7tE9677EGlOJ14KU9TZn7I"", ""2018-2025!T1393"")"),121.708447718)</f>
        <v>121.7084477</v>
      </c>
      <c r="F465" s="32">
        <f>IFERROR(__xludf.DUMMYFUNCTION("C465*IMPORTRANGE(""https://docs.google.com/spreadsheets/d/1xsp01RMmkav9iTy39Zaj_7tE9677EGlOJ14KU9TZn7I"", ""2018-2025!AC1393"")"),19391.5662296551)</f>
        <v>19391.56623</v>
      </c>
      <c r="G465" s="12" t="s">
        <v>43</v>
      </c>
      <c r="I465" s="12"/>
      <c r="J465" s="36"/>
      <c r="K465" s="37"/>
    </row>
    <row r="466" ht="15.75" customHeight="1">
      <c r="A466" s="35">
        <v>44980.0</v>
      </c>
      <c r="B466" s="22">
        <v>3518.0</v>
      </c>
      <c r="C466" s="23">
        <f>209358.8/1000</f>
        <v>209.3588</v>
      </c>
      <c r="D466" s="32">
        <f>IFERROR(__xludf.DUMMYFUNCTION("C466*IMPORTRANGE(""https://docs.google.com/spreadsheets/d/1xsp01RMmkav9iTy39Zaj_7tE9677EGlOJ14KU9TZn7I"", ""2018-2025!H1414"")"),195.37363216)</f>
        <v>195.3736322</v>
      </c>
      <c r="E466" s="32">
        <f>IFERROR(__xludf.DUMMYFUNCTION("C466*IMPORTRANGE(""https://docs.google.com/spreadsheets/d/1xsp01RMmkav9iTy39Zaj_7tE9677EGlOJ14KU9TZn7I"", ""2018-2025!T1414"")"),173.69243483199998)</f>
        <v>173.6924348</v>
      </c>
      <c r="F466" s="32">
        <f>IFERROR(__xludf.DUMMYFUNCTION("C466*IMPORTRANGE(""https://docs.google.com/spreadsheets/d/1xsp01RMmkav9iTy39Zaj_7tE9677EGlOJ14KU9TZn7I"", ""2018-2025!AC1414"")"),27804.314151600003)</f>
        <v>27804.31415</v>
      </c>
      <c r="G466" s="12" t="s">
        <v>43</v>
      </c>
      <c r="I466" s="12"/>
      <c r="J466" s="40"/>
      <c r="K466" s="40"/>
    </row>
    <row r="467" ht="15.75" customHeight="1">
      <c r="A467" s="35">
        <v>45008.0</v>
      </c>
      <c r="B467" s="22">
        <v>3855.0</v>
      </c>
      <c r="C467" s="23">
        <f>242734.6/1000</f>
        <v>242.7346</v>
      </c>
      <c r="D467" s="32">
        <f>IFERROR(__xludf.DUMMYFUNCTION("C467*IMPORTRANGE(""https://docs.google.com/spreadsheets/d/1xsp01RMmkav9iTy39Zaj_7tE9677EGlOJ14KU9TZn7I"", ""2018-2025!H1438"")"),227.10249176)</f>
        <v>227.1024918</v>
      </c>
      <c r="E467" s="32">
        <f>IFERROR(__xludf.DUMMYFUNCTION("C467*IMPORTRANGE(""https://docs.google.com/spreadsheets/d/1xsp01RMmkav9iTy39Zaj_7tE9677EGlOJ14KU9TZn7I"", ""2018-2025!T1438"")"),199.74630234)</f>
        <v>199.7463023</v>
      </c>
      <c r="F467" s="32">
        <f>IFERROR(__xludf.DUMMYFUNCTION("C467*IMPORTRANGE(""https://docs.google.com/spreadsheets/d/1xsp01RMmkav9iTy39Zaj_7tE9677EGlOJ14KU9TZn7I"", ""2018-2025!AC1438"")"),32332.492425538403)</f>
        <v>32332.49243</v>
      </c>
      <c r="G467" s="12" t="s">
        <v>43</v>
      </c>
      <c r="I467" s="12"/>
      <c r="J467" s="40"/>
      <c r="K467" s="40"/>
    </row>
    <row r="468" ht="15.75" customHeight="1">
      <c r="A468" s="35">
        <v>45039.0</v>
      </c>
      <c r="B468" s="22">
        <v>3290.0</v>
      </c>
      <c r="C468" s="23">
        <f>230549/1000</f>
        <v>230.549</v>
      </c>
      <c r="D468" s="32">
        <f>IFERROR(__xludf.DUMMYFUNCTION("C468*IMPORTRANGE(""https://docs.google.com/spreadsheets/d/1xsp01RMmkav9iTy39Zaj_7tE9677EGlOJ14KU9TZn7I"", ""2018-2025!H1459"")"),210.24916055000003)</f>
        <v>210.2491606</v>
      </c>
      <c r="E468" s="32">
        <f>IFERROR(__xludf.DUMMYFUNCTION("C468*IMPORTRANGE(""https://docs.google.com/spreadsheets/d/1xsp01RMmkav9iTy39Zaj_7tE9677EGlOJ14KU9TZn7I"", ""2018-2025!T1459"")"),185.3986296635)</f>
        <v>185.3986297</v>
      </c>
      <c r="F468" s="32">
        <f>IFERROR(__xludf.DUMMYFUNCTION("C468*IMPORTRANGE(""https://docs.google.com/spreadsheets/d/1xsp01RMmkav9iTy39Zaj_7tE9677EGlOJ14KU9TZn7I"", ""2018-2025!AC364"")"),25744.8304575)</f>
        <v>25744.83046</v>
      </c>
      <c r="G468" s="12" t="s">
        <v>43</v>
      </c>
      <c r="I468" s="12"/>
      <c r="J468" s="40"/>
      <c r="K468" s="40"/>
      <c r="N468" s="42">
        <v>2023.0</v>
      </c>
      <c r="O468" s="1" t="s">
        <v>1</v>
      </c>
      <c r="P468" s="1" t="s">
        <v>245</v>
      </c>
      <c r="S468" s="1">
        <v>2022.0</v>
      </c>
      <c r="T468" s="1" t="s">
        <v>1</v>
      </c>
      <c r="U468" s="1" t="s">
        <v>245</v>
      </c>
      <c r="W468" s="1">
        <v>2021.0</v>
      </c>
      <c r="X468" s="1" t="s">
        <v>1</v>
      </c>
      <c r="Y468" s="1" t="s">
        <v>245</v>
      </c>
    </row>
    <row r="469" ht="15.75" customHeight="1">
      <c r="A469" s="43">
        <v>45069.0</v>
      </c>
      <c r="B469" s="16">
        <v>3603.0</v>
      </c>
      <c r="C469" s="23">
        <f>210106/1000</f>
        <v>210.106</v>
      </c>
      <c r="D469" s="32">
        <f>IFERROR(__xludf.DUMMYFUNCTION("C469*IMPORTRANGE(""https://docs.google.com/spreadsheets/d/1xsp01RMmkav9iTy39Zaj_7tE9677EGlOJ14KU9TZn7I"", ""2018-2025!H1483"")"),193.36685498)</f>
        <v>193.366855</v>
      </c>
      <c r="E469" s="32">
        <f>IFERROR(__xludf.DUMMYFUNCTION("C469*IMPORTRANGE(""https://docs.google.com/spreadsheets/d/1xsp01RMmkav9iTy39Zaj_7tE9677EGlOJ14KU9TZn7I"", ""2018-2025!T1483"")"),168.316336812)</f>
        <v>168.3163368</v>
      </c>
      <c r="F469" s="32">
        <f>IFERROR(__xludf.DUMMYFUNCTION("C469*IMPORTRANGE(""https://docs.google.com/spreadsheets/d/1xsp01RMmkav9iTy39Zaj_7tE9677EGlOJ14KU9TZn7I"", ""2018-2025!AC1483"")"),28672.325396)</f>
        <v>28672.3254</v>
      </c>
      <c r="G469" s="12" t="s">
        <v>43</v>
      </c>
      <c r="I469" s="12"/>
      <c r="J469" s="40"/>
      <c r="K469" s="40"/>
      <c r="N469" s="1" t="s">
        <v>246</v>
      </c>
      <c r="O469" s="16">
        <f t="shared" ref="O469:P469" si="1">SUM(B465:B467)</f>
        <v>11269</v>
      </c>
      <c r="P469" s="44">
        <f t="shared" si="1"/>
        <v>600.8485</v>
      </c>
      <c r="S469" s="1" t="s">
        <v>246</v>
      </c>
      <c r="T469" s="16">
        <f t="shared" ref="T469:U469" si="2">SUM(B452:B454)</f>
        <v>13930</v>
      </c>
      <c r="U469" s="44">
        <f t="shared" si="2"/>
        <v>956.9373</v>
      </c>
      <c r="W469" s="1" t="s">
        <v>246</v>
      </c>
      <c r="X469" s="16">
        <f t="shared" ref="X469:Y469" si="3">SUM(B439:B441)</f>
        <v>14299</v>
      </c>
      <c r="Y469" s="44">
        <f t="shared" si="3"/>
        <v>1240.7265</v>
      </c>
    </row>
    <row r="470" ht="15.75" customHeight="1">
      <c r="A470" s="45">
        <v>45100.0</v>
      </c>
      <c r="B470" s="16">
        <v>3603.0</v>
      </c>
      <c r="C470" s="23">
        <f>211571.4/1000</f>
        <v>211.5714</v>
      </c>
      <c r="D470" s="32">
        <f>IFERROR(__xludf.DUMMYFUNCTION("C470*IMPORTRANGE(""https://docs.google.com/spreadsheets/d/1xsp01RMmkav9iTy39Zaj_7tE9677EGlOJ14KU9TZn7I"", ""2018-2025!H1506"")"),195.116434365)</f>
        <v>195.1164344</v>
      </c>
      <c r="E470" s="32">
        <f>IFERROR(__xludf.DUMMYFUNCTION("C470*IMPORTRANGE(""https://docs.google.com/spreadsheets/d/1xsp01RMmkav9iTy39Zaj_7tE9677EGlOJ14KU9TZn7I"", ""2018-2025!T1506"")"),167.49790380899998)</f>
        <v>167.4979038</v>
      </c>
      <c r="F470" s="32">
        <f>IFERROR(__xludf.DUMMYFUNCTION("C470*IMPORTRANGE(""https://docs.google.com/spreadsheets/d/1xsp01RMmkav9iTy39Zaj_7tE9677EGlOJ14KU9TZn7I"", ""2018-2025!AC1506"")"),29670.244842214197)</f>
        <v>29670.24484</v>
      </c>
      <c r="G470" s="12" t="s">
        <v>43</v>
      </c>
      <c r="I470" s="12"/>
      <c r="J470" s="40"/>
      <c r="K470" s="40"/>
      <c r="N470" s="1" t="s">
        <v>247</v>
      </c>
      <c r="O470" s="16">
        <f t="shared" ref="O470:P470" si="4">SUM(B468:B470)</f>
        <v>10496</v>
      </c>
      <c r="P470" s="44">
        <f t="shared" si="4"/>
        <v>652.2264</v>
      </c>
      <c r="S470" s="1" t="s">
        <v>247</v>
      </c>
      <c r="T470" s="16">
        <f t="shared" ref="T470:U470" si="5">SUM(B455:B457)</f>
        <v>12393</v>
      </c>
      <c r="U470" s="44">
        <f t="shared" si="5"/>
        <v>1083.2079</v>
      </c>
      <c r="W470" s="1" t="s">
        <v>247</v>
      </c>
      <c r="X470" s="16">
        <f t="shared" ref="X470:Y470" si="6">SUM(B442:B444)</f>
        <v>14399</v>
      </c>
      <c r="Y470" s="44">
        <f t="shared" si="6"/>
        <v>1399.0162</v>
      </c>
    </row>
    <row r="471" ht="15.75" customHeight="1">
      <c r="A471" s="43">
        <v>45130.0</v>
      </c>
      <c r="B471" s="16">
        <v>3106.0</v>
      </c>
      <c r="C471" s="23">
        <f>155332.8/1000</f>
        <v>155.3328</v>
      </c>
      <c r="D471" s="32">
        <f>IFERROR(__xludf.DUMMYFUNCTION("C471*IMPORTRANGE(""https://docs.google.com/spreadsheets/d/1xsp01RMmkav9iTy39Zaj_7tE9677EGlOJ14KU9TZn7I"", ""2018-2025!H1528"")"),140.56686403199998)</f>
        <v>140.566864</v>
      </c>
      <c r="E471" s="32">
        <f>IFERROR(__xludf.DUMMYFUNCTION("C471*IMPORTRANGE(""https://docs.google.com/spreadsheets/d/1xsp01RMmkav9iTy39Zaj_7tE9677EGlOJ14KU9TZn7I"", ""2018-2025!T1528"")"),120.74329209599999)</f>
        <v>120.7432921</v>
      </c>
      <c r="F471" s="32">
        <f>IFERROR(__xludf.DUMMYFUNCTION("C471*IMPORTRANGE(""https://docs.google.com/spreadsheets/d/1xsp01RMmkav9iTy39Zaj_7tE9677EGlOJ14KU9TZn7I"", ""2018-2025!AC1528"")"),21888.409914403197)</f>
        <v>21888.40991</v>
      </c>
      <c r="G471" s="12" t="s">
        <v>43</v>
      </c>
      <c r="I471" s="12"/>
      <c r="J471" s="40"/>
      <c r="K471" s="40"/>
      <c r="N471" s="1" t="s">
        <v>248</v>
      </c>
      <c r="O471" s="16">
        <f t="shared" ref="O471:P471" si="7">SUM(B471:B473)</f>
        <v>9380</v>
      </c>
      <c r="P471" s="44">
        <f t="shared" si="7"/>
        <v>565.14</v>
      </c>
      <c r="S471" s="1" t="s">
        <v>248</v>
      </c>
      <c r="T471" s="16">
        <f t="shared" ref="T471:U471" si="8">SUM(B458:B460)</f>
        <v>11971</v>
      </c>
      <c r="U471" s="44">
        <f t="shared" si="8"/>
        <v>636.5619</v>
      </c>
      <c r="W471" s="1" t="s">
        <v>248</v>
      </c>
      <c r="X471" s="16">
        <f t="shared" ref="X471:Y471" si="9">SUM(B445:B447)</f>
        <v>14067</v>
      </c>
      <c r="Y471" s="44">
        <f t="shared" si="9"/>
        <v>1371.9977</v>
      </c>
    </row>
    <row r="472" ht="15.75" customHeight="1">
      <c r="A472" s="35">
        <v>45161.0</v>
      </c>
      <c r="B472" s="16">
        <v>3131.0</v>
      </c>
      <c r="C472" s="23">
        <f>200068.2/1000</f>
        <v>200.0682</v>
      </c>
      <c r="D472" s="32">
        <f>IFERROR(__xludf.DUMMYFUNCTION("C472*IMPORTRANGE(""https://docs.google.com/spreadsheets/d/1xsp01RMmkav9iTy39Zaj_7tE9677EGlOJ14KU9TZn7I"", ""2018-2025!H1552"")"),183.38251212)</f>
        <v>183.3825121</v>
      </c>
      <c r="E472" s="32">
        <f>IFERROR(__xludf.DUMMYFUNCTION("C472*IMPORTRANGE(""https://docs.google.com/spreadsheets/d/1xsp01RMmkav9iTy39Zaj_7tE9677EGlOJ14KU9TZn7I"", ""2018-2025!T1552"")"),157.281614748)</f>
        <v>157.2816147</v>
      </c>
      <c r="F472" s="32">
        <f>IFERROR(__xludf.DUMMYFUNCTION("C472*IMPORTRANGE(""https://docs.google.com/spreadsheets/d/1xsp01RMmkav9iTy39Zaj_7tE9677EGlOJ14KU9TZn7I"", ""2018-2025!AC1552"")"),29070.908400522603)</f>
        <v>29070.9084</v>
      </c>
      <c r="G472" s="12" t="s">
        <v>43</v>
      </c>
      <c r="I472" s="12"/>
      <c r="J472" s="40"/>
      <c r="K472" s="40"/>
      <c r="N472" s="1" t="s">
        <v>249</v>
      </c>
      <c r="O472" s="16">
        <f t="shared" ref="O472:P472" si="10">SUM(B474:B476)</f>
        <v>8458</v>
      </c>
      <c r="P472" s="44">
        <f t="shared" si="10"/>
        <v>676.8422</v>
      </c>
      <c r="S472" s="1" t="s">
        <v>249</v>
      </c>
      <c r="T472" s="16">
        <f t="shared" ref="T472:U472" si="11">SUM(B461:B463)</f>
        <v>12469</v>
      </c>
      <c r="U472" s="44">
        <f t="shared" si="11"/>
        <v>707.0867</v>
      </c>
      <c r="W472" s="1" t="s">
        <v>249</v>
      </c>
      <c r="X472" s="16">
        <f t="shared" ref="X472:Y472" si="12">SUM(B448:B450)</f>
        <v>15543</v>
      </c>
      <c r="Y472" s="44">
        <f t="shared" si="12"/>
        <v>1223.9072</v>
      </c>
    </row>
    <row r="473" ht="15.75" customHeight="1">
      <c r="A473" s="46">
        <v>45192.0</v>
      </c>
      <c r="B473" s="11">
        <v>3143.0</v>
      </c>
      <c r="C473" s="23">
        <f>209739/1000</f>
        <v>209.739</v>
      </c>
      <c r="D473" s="32">
        <f>IFERROR(__xludf.DUMMYFUNCTION("C473*IMPORTRANGE(""https://docs.google.com/spreadsheets/d/1xsp01RMmkav9iTy39Zaj_7tE9677EGlOJ14KU9TZn7I"", ""2018-2025!H1574"")"),196.15210758)</f>
        <v>196.1521076</v>
      </c>
      <c r="E473" s="32">
        <f>IFERROR(__xludf.DUMMYFUNCTION("C473*IMPORTRANGE(""https://docs.google.com/spreadsheets/d/1xsp01RMmkav9iTy39Zaj_7tE9677EGlOJ14KU9TZn7I"", ""2018-2025!T1574"")"),169.11884787)</f>
        <v>169.1188479</v>
      </c>
      <c r="F473" s="32">
        <f>IFERROR(__xludf.DUMMYFUNCTION("C473*IMPORTRANGE(""https://docs.google.com/spreadsheets/d/1xsp01RMmkav9iTy39Zaj_7tE9677EGlOJ14KU9TZn7I"", ""2018-2025!AC1574"")"),30958.524256044002)</f>
        <v>30958.52426</v>
      </c>
      <c r="G473" s="12" t="s">
        <v>43</v>
      </c>
      <c r="I473" s="12"/>
      <c r="J473" s="40"/>
      <c r="K473" s="40"/>
    </row>
    <row r="474" ht="15.75" customHeight="1">
      <c r="A474" s="46">
        <v>45222.0</v>
      </c>
      <c r="B474" s="16">
        <v>3092.0</v>
      </c>
      <c r="C474" s="23">
        <f>280959.9/1000</f>
        <v>280.9599</v>
      </c>
      <c r="D474" s="32">
        <f>IFERROR(__xludf.DUMMYFUNCTION("C474*IMPORTRANGE(""https://docs.google.com/spreadsheets/d/1xsp01RMmkav9iTy39Zaj_7tE9677EGlOJ14KU9TZn7I"", ""2018-2025!H1597"")"),265.90325895899997)</f>
        <v>265.903259</v>
      </c>
      <c r="E474" s="32">
        <f>IFERROR(__xludf.DUMMYFUNCTION("C474*IMPORTRANGE(""https://docs.google.com/spreadsheets/d/1xsp01RMmkav9iTy39Zaj_7tE9677EGlOJ14KU9TZn7I"", ""2018-2025!T1597"")"),230.996800983)</f>
        <v>230.996801</v>
      </c>
      <c r="F474" s="32">
        <f>IFERROR(__xludf.DUMMYFUNCTION("C474*IMPORTRANGE(""https://docs.google.com/spreadsheets/d/1xsp01RMmkav9iTy39Zaj_7tE9677EGlOJ14KU9TZn7I"", ""2018-2025!AC1597"")"),42070.233869129705)</f>
        <v>42070.23387</v>
      </c>
      <c r="G474" s="12" t="s">
        <v>43</v>
      </c>
      <c r="I474" s="12"/>
      <c r="J474" s="40"/>
      <c r="K474" s="40"/>
      <c r="O474" s="16">
        <f t="shared" ref="O474:P474" si="13">SUM(O469:O472)</f>
        <v>39603</v>
      </c>
      <c r="P474" s="44">
        <f t="shared" si="13"/>
        <v>2495.0571</v>
      </c>
      <c r="T474" s="16">
        <f t="shared" ref="T474:U474" si="14">SUM(T469:T472)</f>
        <v>50763</v>
      </c>
      <c r="U474" s="44">
        <f t="shared" si="14"/>
        <v>3383.7938</v>
      </c>
      <c r="X474" s="16">
        <f t="shared" ref="X474:Y474" si="15">SUM(X469:X472)</f>
        <v>58308</v>
      </c>
      <c r="Y474" s="44">
        <f t="shared" si="15"/>
        <v>5235.6476</v>
      </c>
    </row>
    <row r="475" ht="15.75" customHeight="1">
      <c r="A475" s="35">
        <v>45253.0</v>
      </c>
      <c r="B475" s="16">
        <v>2984.0</v>
      </c>
      <c r="C475" s="23">
        <f>171425.2/1000</f>
        <v>171.4252</v>
      </c>
      <c r="D475" s="32">
        <f>IFERROR(__xludf.DUMMYFUNCTION("C475*IMPORTRANGE(""https://docs.google.com/spreadsheets/d/1xsp01RMmkav9iTy39Zaj_7tE9677EGlOJ14KU9TZn7I"", ""2018-2025!H1620"")"),157.93489388600003)</f>
        <v>157.9348939</v>
      </c>
      <c r="E475" s="32">
        <f>IFERROR(__xludf.DUMMYFUNCTION("C475*IMPORTRANGE(""https://docs.google.com/spreadsheets/d/1xsp01RMmkav9iTy39Zaj_7tE9677EGlOJ14KU9TZn7I"", ""2018-2025!T1620"")"),138.03842804800001)</f>
        <v>138.038428</v>
      </c>
      <c r="F475" s="32">
        <f>IFERROR(__xludf.DUMMYFUNCTION("C475*IMPORTRANGE(""https://docs.google.com/spreadsheets/d/1xsp01RMmkav9iTy39Zaj_7tE9677EGlOJ14KU9TZn7I"", ""2018-2025!AC1620"")"),25746.778836724403)</f>
        <v>25746.77884</v>
      </c>
      <c r="G475" s="12" t="s">
        <v>43</v>
      </c>
      <c r="I475" s="12"/>
      <c r="J475" s="40"/>
      <c r="K475" s="40"/>
    </row>
    <row r="476" ht="15.75" customHeight="1">
      <c r="A476" s="35">
        <v>45283.0</v>
      </c>
      <c r="B476" s="16">
        <v>2382.0</v>
      </c>
      <c r="C476" s="23">
        <f>224457.1/1000</f>
        <v>224.4571</v>
      </c>
      <c r="D476" s="32">
        <f>IFERROR(__xludf.DUMMYFUNCTION("C476*IMPORTRANGE(""https://docs.google.com/spreadsheets/d/1xsp01RMmkav9iTy39Zaj_7tE9677EGlOJ14KU9TZn7I"", ""2018-2025!H1642"")"),206.013460093)</f>
        <v>206.0134601</v>
      </c>
      <c r="E476" s="32">
        <f>IFERROR(__xludf.DUMMYFUNCTION("C476*IMPORTRANGE(""https://docs.google.com/spreadsheets/d/1xsp01RMmkav9iTy39Zaj_7tE9677EGlOJ14KU9TZn7I"", ""2018-2025!T1642"")"),177.41089184)</f>
        <v>177.4108918</v>
      </c>
      <c r="F476" s="32">
        <f>IFERROR(__xludf.DUMMYFUNCTION("C476*IMPORTRANGE(""https://docs.google.com/spreadsheets/d/1xsp01RMmkav9iTy39Zaj_7tE9677EGlOJ14KU9TZn7I"", ""2018-2025!AC1642"")"),32214.7552410145)</f>
        <v>32214.75524</v>
      </c>
      <c r="G476" s="12" t="s">
        <v>43</v>
      </c>
      <c r="I476" s="12"/>
      <c r="J476" s="40"/>
      <c r="K476" s="40"/>
    </row>
    <row r="477" ht="15.75" customHeight="1">
      <c r="A477" s="31">
        <v>2024.0</v>
      </c>
      <c r="B477" s="31"/>
      <c r="C477" s="41"/>
      <c r="D477" s="41"/>
      <c r="E477" s="41"/>
      <c r="F477" s="41"/>
      <c r="G477" s="31"/>
      <c r="I477" s="12"/>
      <c r="J477" s="40"/>
      <c r="K477" s="37"/>
    </row>
    <row r="478" ht="15.75" customHeight="1">
      <c r="A478" s="47">
        <v>45292.0</v>
      </c>
      <c r="B478" s="22">
        <v>2656.0</v>
      </c>
      <c r="C478" s="23">
        <f>178620.9/1000</f>
        <v>178.6209</v>
      </c>
      <c r="D478" s="32">
        <f>IFERROR(__xludf.DUMMYFUNCTION("C478*IMPORTRANGE(""https://docs.google.com/spreadsheets/d/1xsp01RMmkav9iTy39Zaj_7tE9677EGlOJ14KU9TZn7I"", ""2018-2025!H1667"")"),163.45598559)</f>
        <v>163.4559856</v>
      </c>
      <c r="E478" s="32">
        <f>IFERROR(__xludf.DUMMYFUNCTION("C478*IMPORTRANGE(""https://docs.google.com/spreadsheets/d/1xsp01RMmkav9iTy39Zaj_7tE9677EGlOJ14KU9TZn7I"", ""2018-2025!T1667"")"),140.537137911)</f>
        <v>140.5371379</v>
      </c>
      <c r="F478" s="32">
        <f>IFERROR(__xludf.DUMMYFUNCTION("C478*IMPORTRANGE(""https://docs.google.com/spreadsheets/d/1xsp01RMmkav9iTy39Zaj_7tE9677EGlOJ14KU9TZn7I"", ""2018-2025!AC1667"")"),26041.8565663254)</f>
        <v>26041.85657</v>
      </c>
      <c r="G478" s="12" t="s">
        <v>43</v>
      </c>
      <c r="I478" s="12"/>
      <c r="J478" s="36"/>
      <c r="K478" s="37"/>
      <c r="N478" s="1" t="s">
        <v>250</v>
      </c>
      <c r="O478" s="48">
        <f t="shared" ref="O478:P478" si="16">((O474-T474)/T474)*100</f>
        <v>-21.98451628</v>
      </c>
      <c r="P478" s="48">
        <f t="shared" si="16"/>
        <v>-26.26450524</v>
      </c>
      <c r="S478" s="1" t="s">
        <v>251</v>
      </c>
      <c r="T478" s="48">
        <f t="shared" ref="T478:U478" si="17">((T474-X474)/X474)*100</f>
        <v>-12.93990533</v>
      </c>
      <c r="U478" s="48">
        <f t="shared" si="17"/>
        <v>-35.37010016</v>
      </c>
      <c r="W478" s="1" t="s">
        <v>252</v>
      </c>
      <c r="X478" s="48">
        <f t="shared" ref="X478:Y478" si="18">((O474-X474)/X474)*100</f>
        <v>-32.07964602</v>
      </c>
      <c r="Y478" s="48">
        <f t="shared" si="18"/>
        <v>-52.34482359</v>
      </c>
    </row>
    <row r="479" ht="15.75" customHeight="1">
      <c r="A479" s="47">
        <v>45323.0</v>
      </c>
      <c r="B479" s="16">
        <v>2396.0</v>
      </c>
      <c r="C479" s="44">
        <f>214387.6/1000       </f>
        <v>214.3876</v>
      </c>
      <c r="D479" s="32">
        <f>IFERROR(__xludf.DUMMYFUNCTION("C479*IMPORTRANGE(""https://docs.google.com/spreadsheets/d/1xsp01RMmkav9iTy39Zaj_7tE9677EGlOJ14KU9TZn7I"", ""2018-2025!H1689"")"),198.66226953999998)</f>
        <v>198.6622695</v>
      </c>
      <c r="E479" s="32">
        <f>IFERROR(__xludf.DUMMYFUNCTION("C479*IMPORTRANGE(""https://docs.google.com/spreadsheets/d/1xsp01RMmkav9iTy39Zaj_7tE9677EGlOJ14KU9TZn7I"", ""2018-2025!T1689"")"),169.779972068)</f>
        <v>169.7799721</v>
      </c>
      <c r="F479" s="32">
        <f>IFERROR(__xludf.DUMMYFUNCTION("C479*IMPORTRANGE(""https://docs.google.com/spreadsheets/d/1xsp01RMmkav9iTy39Zaj_7tE9677EGlOJ14KU9TZn7I"", ""2018-2025!AC1689"")"),32145.8120698372)</f>
        <v>32145.81207</v>
      </c>
      <c r="G479" s="12" t="s">
        <v>43</v>
      </c>
      <c r="I479" s="42"/>
    </row>
    <row r="480" ht="15.75" customHeight="1">
      <c r="A480" s="47">
        <v>45352.0</v>
      </c>
      <c r="B480" s="16">
        <v>2620.0</v>
      </c>
      <c r="C480" s="44">
        <f>147028.3/1000</f>
        <v>147.0283</v>
      </c>
      <c r="D480" s="32">
        <f>IFERROR(__xludf.DUMMYFUNCTION("C480*IMPORTRANGE(""https://docs.google.com/spreadsheets/d/1xsp01RMmkav9iTy39Zaj_7tE9677EGlOJ14KU9TZn7I"", ""2018-2025!H1712"")"),135.343960999)</f>
        <v>135.343961</v>
      </c>
      <c r="E480" s="32">
        <f>IFERROR(__xludf.DUMMYFUNCTION("C480*IMPORTRANGE(""https://docs.google.com/spreadsheets/d/1xsp01RMmkav9iTy39Zaj_7tE9677EGlOJ14KU9TZn7I"", ""2018-2025!T1712"")"),115.59364946000001)</f>
        <v>115.5936495</v>
      </c>
      <c r="F480" s="32">
        <f>IFERROR(__xludf.DUMMYFUNCTION("C480*IMPORTRANGE(""https://docs.google.com/spreadsheets/d/1xsp01RMmkav9iTy39Zaj_7tE9677EGlOJ14KU9TZn7I"", ""2018-2025!AC1712"")"),22068.94760945755)</f>
        <v>22068.94761</v>
      </c>
      <c r="G480" s="12" t="s">
        <v>43</v>
      </c>
      <c r="I480" s="42"/>
    </row>
    <row r="481" ht="15.75" customHeight="1">
      <c r="A481" s="47">
        <v>45383.0</v>
      </c>
      <c r="B481" s="16">
        <v>2608.0</v>
      </c>
      <c r="C481" s="44">
        <f>233479.9/1000</f>
        <v>233.4799</v>
      </c>
      <c r="D481" s="32">
        <f>IFERROR(__xludf.DUMMYFUNCTION("C481*IMPORTRANGE(""https://docs.google.com/spreadsheets/d/1xsp01RMmkav9iTy39Zaj_7tE9677EGlOJ14KU9TZn7I"", ""2018-2025!H1735"")"),217.862429489)</f>
        <v>217.8624295</v>
      </c>
      <c r="E481" s="32">
        <f>IFERROR(__xludf.DUMMYFUNCTION("C481*IMPORTRANGE(""https://docs.google.com/spreadsheets/d/1xsp01RMmkav9iTy39Zaj_7tE9677EGlOJ14KU9TZn7I"", ""2018-2025!T1735"")"),186.445374145)</f>
        <v>186.4453741</v>
      </c>
      <c r="F481" s="32">
        <f>IFERROR(__xludf.DUMMYFUNCTION("C481*IMPORTRANGE(""https://docs.google.com/spreadsheets/d/1xsp01RMmkav9iTy39Zaj_7tE9677EGlOJ14KU9TZn7I"", ""2018-2025!AC1735"")"),35896.250368810055)</f>
        <v>35896.25037</v>
      </c>
      <c r="G481" s="12" t="s">
        <v>43</v>
      </c>
    </row>
    <row r="482" ht="15.75" customHeight="1">
      <c r="A482" s="47">
        <v>45413.0</v>
      </c>
      <c r="B482" s="16">
        <v>2896.0</v>
      </c>
      <c r="C482" s="44">
        <f>246396.9/1000</f>
        <v>246.3969</v>
      </c>
      <c r="D482" s="32">
        <f>IFERROR(__xludf.DUMMYFUNCTION("C482*IMPORTRANGE(""https://docs.google.com/spreadsheets/d/1xsp01RMmkav9iTy39Zaj_7tE9677EGlOJ14KU9TZn7I"", ""2018-2025!H1759"")"),227.877708996)</f>
        <v>227.877709</v>
      </c>
      <c r="E482" s="32">
        <f>IFERROR(__xludf.DUMMYFUNCTION("C482*IMPORTRANGE(""https://docs.google.com/spreadsheets/d/1xsp01RMmkav9iTy39Zaj_7tE9677EGlOJ14KU9TZn7I"", ""2018-2025!T1759"")"),194.44189606289999)</f>
        <v>194.4418961</v>
      </c>
      <c r="F482" s="32">
        <f>IFERROR(__xludf.DUMMYFUNCTION("C482*IMPORTRANGE(""https://docs.google.com/spreadsheets/d/1xsp01RMmkav9iTy39Zaj_7tE9677EGlOJ14KU9TZn7I"", ""2018-2025!AC1759"")"),38495.3273704938)</f>
        <v>38495.32737</v>
      </c>
      <c r="G482" s="12" t="s">
        <v>43</v>
      </c>
    </row>
    <row r="483" ht="15.75" customHeight="1">
      <c r="A483" s="47">
        <v>45473.0</v>
      </c>
      <c r="B483" s="16">
        <v>2824.0</v>
      </c>
      <c r="C483" s="44">
        <f>177270.29/1000</f>
        <v>177.27029</v>
      </c>
      <c r="D483" s="32">
        <f>IFERROR(__xludf.DUMMYFUNCTION("C483*IMPORTRANGE(""https://docs.google.com/spreadsheets/d/1xsp01RMmkav9iTy39Zaj_7tE9677EGlOJ14KU9TZn7I"", ""2018-2025!H1781"")"),165.0457308016)</f>
        <v>165.0457308</v>
      </c>
      <c r="E483" s="32">
        <f>IFERROR(__xludf.DUMMYFUNCTION("C483*IMPORTRANGE(""https://docs.google.com/spreadsheets/d/1xsp01RMmkav9iTy39Zaj_7tE9677EGlOJ14KU9TZn7I"", ""2018-2025!T1781"")"),139.3415387516)</f>
        <v>139.3415388</v>
      </c>
      <c r="F483" s="32">
        <f>IFERROR(__xludf.DUMMYFUNCTION("C483*IMPORTRANGE(""https://docs.google.com/spreadsheets/d/1xsp01RMmkav9iTy39Zaj_7tE9677EGlOJ14KU9TZn7I"", ""2018-2025!AC1781"")"),27928.225994691453)</f>
        <v>27928.22599</v>
      </c>
      <c r="G483" s="12" t="s">
        <v>43</v>
      </c>
    </row>
    <row r="484" ht="15.75" customHeight="1">
      <c r="A484" s="47">
        <v>45504.0</v>
      </c>
      <c r="B484" s="16">
        <v>3304.0</v>
      </c>
      <c r="C484" s="44">
        <f>267336.8/1000</f>
        <v>267.3368</v>
      </c>
      <c r="D484" s="32">
        <f>IFERROR(__xludf.DUMMYFUNCTION("C484*IMPORTRANGE(""https://docs.google.com/spreadsheets/d/1xsp01RMmkav9iTy39Zaj_7tE9677EGlOJ14KU9TZn7I"", ""2018-2025!H1805"")"),246.50457985999998)</f>
        <v>246.5045799</v>
      </c>
      <c r="E484" s="32">
        <f>IFERROR(__xludf.DUMMYFUNCTION("C484*IMPORTRANGE(""https://docs.google.com/spreadsheets/d/1xsp01RMmkav9iTy39Zaj_7tE9677EGlOJ14KU9TZn7I"", ""2018-2025!T1805"")"),207.81158811199998)</f>
        <v>207.8115881</v>
      </c>
      <c r="F484" s="32">
        <f>IFERROR(__xludf.DUMMYFUNCTION("C484*IMPORTRANGE(""https://docs.google.com/spreadsheets/d/1xsp01RMmkav9iTy39Zaj_7tE9677EGlOJ14KU9TZn7I"", ""2018-2025!AC1805"")"),42284.930329484)</f>
        <v>42284.93033</v>
      </c>
      <c r="G484" s="12" t="s">
        <v>43</v>
      </c>
      <c r="I484" s="49"/>
      <c r="O484" s="48">
        <f t="shared" ref="O484:P484" si="19">((O469-T469)/T469)*100</f>
        <v>-19.10265614</v>
      </c>
      <c r="P484" s="48">
        <f t="shared" si="19"/>
        <v>-37.21129901</v>
      </c>
    </row>
    <row r="485" ht="15.75" customHeight="1">
      <c r="A485" s="47">
        <v>45535.0</v>
      </c>
      <c r="B485" s="16">
        <v>3079.0</v>
      </c>
      <c r="C485" s="44">
        <f>232891.5/1000</f>
        <v>232.8915</v>
      </c>
      <c r="D485" s="32">
        <f>IFERROR(__xludf.DUMMYFUNCTION("C485*IMPORTRANGE(""https://docs.google.com/spreadsheets/d/1xsp01RMmkav9iTy39Zaj_7tE9677EGlOJ14KU9TZn7I"", ""2018-2025!H1828"")"),211.62151930500002)</f>
        <v>211.6215193</v>
      </c>
      <c r="E485" s="32">
        <f>IFERROR(__xludf.DUMMYFUNCTION("C485*IMPORTRANGE(""https://docs.google.com/spreadsheets/d/1xsp01RMmkav9iTy39Zaj_7tE9677EGlOJ14KU9TZn7I"", ""2018-2025!T1828"")"),181.05450993)</f>
        <v>181.0545099</v>
      </c>
      <c r="F485" s="32">
        <f>IFERROR(__xludf.DUMMYFUNCTION("C485*IMPORTRANGE(""https://docs.google.com/spreadsheets/d/1xsp01RMmkav9iTy39Zaj_7tE9677EGlOJ14KU9TZn7I"", ""2018-2025!AC1828"")"),34040.119033596755)</f>
        <v>34040.11903</v>
      </c>
      <c r="G485" s="12" t="s">
        <v>43</v>
      </c>
      <c r="I485" s="49"/>
      <c r="O485" s="48">
        <f t="shared" ref="O485:P485" si="20">((O470-T470)/T470)*100</f>
        <v>-15.30702816</v>
      </c>
      <c r="P485" s="48">
        <f t="shared" si="20"/>
        <v>-39.78751447</v>
      </c>
    </row>
    <row r="486" ht="15.75" customHeight="1">
      <c r="A486" s="47">
        <v>45565.0</v>
      </c>
      <c r="B486" s="16">
        <v>3245.0</v>
      </c>
      <c r="C486" s="44">
        <f>315027.4/1000</f>
        <v>315.0274</v>
      </c>
      <c r="D486" s="32">
        <f>IFERROR(__xludf.DUMMYFUNCTION("C486*IMPORTRANGE(""https://docs.google.com/spreadsheets/d/1xsp01RMmkav9iTy39Zaj_7tE9677EGlOJ14KU9TZn7I"", ""2018-2025!H1851"")"),283.46165451999997)</f>
        <v>283.4616545</v>
      </c>
      <c r="E486" s="32">
        <f>IFERROR(__xludf.DUMMYFUNCTION("C486*IMPORTRANGE(""https://docs.google.com/spreadsheets/d/1xsp01RMmkav9iTy39Zaj_7tE9677EGlOJ14KU9TZn7I"", ""2018-2025!T1851"")"),238.71201235)</f>
        <v>238.7120124</v>
      </c>
      <c r="F486" s="32">
        <f>IFERROR(__xludf.DUMMYFUNCTION("C486*IMPORTRANGE(""https://docs.google.com/spreadsheets/d/1xsp01RMmkav9iTy39Zaj_7tE9677EGlOJ14KU9TZn7I"", ""2018-2025!AC1851"")"),44973.311623999994)</f>
        <v>44973.31162</v>
      </c>
      <c r="G486" s="12" t="s">
        <v>43</v>
      </c>
      <c r="O486" s="48">
        <f t="shared" ref="O486:P486" si="21">((O471-T471)/T471)*100</f>
        <v>-21.64397293</v>
      </c>
      <c r="P486" s="48">
        <f t="shared" si="21"/>
        <v>-11.21994577</v>
      </c>
    </row>
    <row r="487" ht="15.75" customHeight="1">
      <c r="A487" s="47">
        <v>45596.0</v>
      </c>
      <c r="B487" s="16">
        <v>3670.0</v>
      </c>
      <c r="C487" s="44">
        <f>199680.9/1000</f>
        <v>199.6809</v>
      </c>
      <c r="D487" s="32">
        <f>IFERROR(__xludf.DUMMYFUNCTION("C487*IMPORTRANGE(""https://docs.google.com/spreadsheets/d/1xsp01RMmkav9iTy39Zaj_7tE9677EGlOJ14KU9TZn7I"", ""2018-2025!H1875"")"),188.96202928800002)</f>
        <v>188.9620293</v>
      </c>
      <c r="E487" s="32">
        <f>IFERROR(__xludf.DUMMYFUNCTION("C487*IMPORTRANGE(""https://docs.google.com/spreadsheets/d/1xsp01RMmkav9iTy39Zaj_7tE9677EGlOJ14KU9TZn7I"", ""2018-2025!T1875"")"),152.9555694)</f>
        <v>152.9555694</v>
      </c>
      <c r="F487" s="32">
        <f>IFERROR(__xludf.DUMMYFUNCTION("C487*IMPORTRANGE(""https://docs.google.com/spreadsheets/d/1xsp01RMmkav9iTy39Zaj_7tE9677EGlOJ14KU9TZn7I"", ""2018-2025!AC1875"")"),29889.2355165)</f>
        <v>29889.23552</v>
      </c>
      <c r="G487" s="12" t="s">
        <v>43</v>
      </c>
      <c r="O487" s="48">
        <f t="shared" ref="O487:P487" si="22">((O472-T472)/T472)*100</f>
        <v>-32.16777608</v>
      </c>
      <c r="P487" s="48">
        <f t="shared" si="22"/>
        <v>-4.277339681</v>
      </c>
    </row>
    <row r="488" ht="15.75" customHeight="1">
      <c r="A488" s="47">
        <v>45626.0</v>
      </c>
      <c r="B488" s="16">
        <v>3236.0</v>
      </c>
      <c r="C488" s="44">
        <f>205606.4/1000</f>
        <v>205.6064</v>
      </c>
      <c r="D488" s="32">
        <f>IFERROR(__xludf.DUMMYFUNCTION("C488*IMPORTRANGE(""https://docs.google.com/spreadsheets/d/1xsp01RMmkav9iTy39Zaj_7tE9677EGlOJ14KU9TZn7I"", ""2018-2025!H1897"")"),194.38029056000002)</f>
        <v>194.3802906</v>
      </c>
      <c r="E488" s="32">
        <f>IFERROR(__xludf.DUMMYFUNCTION("C488*IMPORTRANGE(""https://docs.google.com/spreadsheets/d/1xsp01RMmkav9iTy39Zaj_7tE9677EGlOJ14KU9TZn7I"", ""2018-2025!T1897"")"),162.01784320000002)</f>
        <v>162.0178432</v>
      </c>
      <c r="F488" s="32">
        <f>IFERROR(__xludf.DUMMYFUNCTION("C488*IMPORTRANGE(""https://docs.google.com/spreadsheets/d/1xsp01RMmkav9iTy39Zaj_7tE9677EGlOJ14KU9TZn7I"", ""2018-2025!AC1897"")"),31451.611008)</f>
        <v>31451.61101</v>
      </c>
      <c r="G488" s="12" t="s">
        <v>43</v>
      </c>
    </row>
    <row r="489" ht="15.75" customHeight="1">
      <c r="A489" s="47">
        <v>45657.0</v>
      </c>
      <c r="B489" s="16">
        <v>3533.0</v>
      </c>
      <c r="C489" s="44">
        <f>209161.1/1000</f>
        <v>209.1611</v>
      </c>
      <c r="D489" s="32">
        <f>IFERROR(__xludf.DUMMYFUNCTION("C489*IMPORTRANGE(""https://docs.google.com/spreadsheets/d/1xsp01RMmkav9iTy39Zaj_7tE9677EGlOJ14KU9TZn7I"", ""2018-2025!H1920"")"),199.571063565)</f>
        <v>199.5710636</v>
      </c>
      <c r="E489" s="32">
        <f>IFERROR(__xludf.DUMMYFUNCTION("C489*IMPORTRANGE(""https://docs.google.com/spreadsheets/d/1xsp01RMmkav9iTy39Zaj_7tE9677EGlOJ14KU9TZn7I"", ""2018-2025!T1920"")"),165.48826232000002)</f>
        <v>165.4882623</v>
      </c>
      <c r="F489" s="32">
        <f>IFERROR(__xludf.DUMMYFUNCTION("C489*IMPORTRANGE(""https://docs.google.com/spreadsheets/d/1xsp01RMmkav9iTy39Zaj_7tE9677EGlOJ14KU9TZn7I"", ""2018-2025!AC1920"")"),32188.8474845)</f>
        <v>32188.84748</v>
      </c>
      <c r="G489" s="12" t="s">
        <v>43</v>
      </c>
    </row>
    <row r="490" ht="15.75" customHeight="1">
      <c r="A490" s="31">
        <v>2025.0</v>
      </c>
      <c r="B490" s="31"/>
      <c r="C490" s="41"/>
      <c r="D490" s="41"/>
      <c r="E490" s="41"/>
      <c r="F490" s="41"/>
      <c r="G490" s="31"/>
      <c r="I490" s="40"/>
      <c r="J490" s="40"/>
      <c r="K490" s="37"/>
    </row>
    <row r="491" ht="15.75" customHeight="1">
      <c r="A491" s="47">
        <v>45688.0</v>
      </c>
      <c r="B491" s="22">
        <v>3278.0</v>
      </c>
      <c r="C491" s="23">
        <f>225032.8/1000</f>
        <v>225.0328</v>
      </c>
      <c r="D491" s="32">
        <f>IFERROR(__xludf.DUMMYFUNCTION("C491*IMPORTRANGE(""https://docs.google.com/spreadsheets/d/1xsp01RMmkav9iTy39Zaj_7tE9677EGlOJ14KU9TZn7I"", ""2018-2025!H1945"")"),217.24666512)</f>
        <v>217.2466651</v>
      </c>
      <c r="E491" s="32">
        <f>IFERROR(__xludf.DUMMYFUNCTION("C491*IMPORTRANGE(""https://docs.google.com/spreadsheets/d/1xsp01RMmkav9iTy39Zaj_7tE9677EGlOJ14KU9TZn7I"", ""2018-2025!T1945"")"),182.02903191999997)</f>
        <v>182.0290319</v>
      </c>
      <c r="F491" s="32">
        <f>IFERROR(__xludf.DUMMYFUNCTION("C491*IMPORTRANGE(""https://docs.google.com/spreadsheets/d/1xsp01RMmkav9iTy39Zaj_7tE9677EGlOJ14KU9TZn7I"", ""2018-2025!AC1945"")"),35210.882216)</f>
        <v>35210.88222</v>
      </c>
      <c r="G491" s="12" t="s">
        <v>43</v>
      </c>
      <c r="I491" s="12"/>
      <c r="J491" s="36"/>
      <c r="K491" s="37"/>
    </row>
    <row r="492" ht="15.75" customHeight="1">
      <c r="A492" s="47">
        <v>45716.0</v>
      </c>
      <c r="B492" s="22">
        <v>2870.0</v>
      </c>
      <c r="C492" s="23">
        <f>331853.6/1000</f>
        <v>331.8536</v>
      </c>
      <c r="D492" s="32">
        <f>IFERROR(__xludf.DUMMYFUNCTION("C492*IMPORTRANGE(""https://docs.google.com/spreadsheets/d/1xsp01RMmkav9iTy39Zaj_7tE9677EGlOJ14KU9TZn7I"", ""2018-2025!H1966"")"),318.69560476)</f>
        <v>318.6956048</v>
      </c>
      <c r="E492" s="32">
        <f>IFERROR(__xludf.DUMMYFUNCTION("C492*IMPORTRANGE(""https://docs.google.com/spreadsheets/d/1xsp01RMmkav9iTy39Zaj_7tE9677EGlOJ14KU9TZn7I"", ""2018-2025!T1966"")"),263.72405591999996)</f>
        <v>263.7240559</v>
      </c>
      <c r="F492" s="32">
        <f>IFERROR(__xludf.DUMMYFUNCTION("C492*IMPORTRANGE(""https://docs.google.com/spreadsheets/d/1xsp01RMmkav9iTy39Zaj_7tE9677EGlOJ14KU9TZn7I"", ""2018-2025!AC1966"")"),50270.842596)</f>
        <v>50270.8426</v>
      </c>
      <c r="G492" s="12" t="s">
        <v>43</v>
      </c>
    </row>
    <row r="493" ht="15.75" customHeight="1">
      <c r="A493" s="47">
        <v>45747.0</v>
      </c>
      <c r="B493" s="22">
        <v>3219.0</v>
      </c>
      <c r="C493" s="23">
        <f>354740.8/1000</f>
        <v>354.7408</v>
      </c>
      <c r="D493" s="32">
        <f>IFERROR(__xludf.DUMMYFUNCTION("C493*IMPORTRANGE(""https://docs.google.com/spreadsheets/d/1xsp01RMmkav9iTy39Zaj_7tE9677EGlOJ14KU9TZn7I"", ""2018-2025!H1988"")"),327.56765472)</f>
        <v>327.5676547</v>
      </c>
      <c r="E493" s="32">
        <f>IFERROR(__xludf.DUMMYFUNCTION("C493*IMPORTRANGE(""https://docs.google.com/spreadsheets/d/1xsp01RMmkav9iTy39Zaj_7tE9677EGlOJ14KU9TZn7I"", ""2018-2025!T1988"")"),274.25011248)</f>
        <v>274.2501125</v>
      </c>
      <c r="F493" s="32">
        <f>IFERROR(__xludf.DUMMYFUNCTION("C493*IMPORTRANGE(""https://docs.google.com/spreadsheets/d/1xsp01RMmkav9iTy39Zaj_7tE9677EGlOJ14KU9TZn7I"", ""2018-2025!AC1988"")"),52930.874768)</f>
        <v>52930.87477</v>
      </c>
      <c r="G493" s="12" t="s">
        <v>43</v>
      </c>
    </row>
    <row r="494" ht="15.75" customHeight="1">
      <c r="A494" s="47">
        <v>45777.0</v>
      </c>
      <c r="B494" s="22">
        <v>3315.0</v>
      </c>
      <c r="C494" s="23">
        <f>202110.6/1000</f>
        <v>202.1106</v>
      </c>
      <c r="D494" s="32">
        <f>IFERROR(__xludf.DUMMYFUNCTION("C494*IMPORTRANGE(""https://docs.google.com/spreadsheets/d/1xsp01RMmkav9iTy39Zaj_7tE9677EGlOJ14KU9TZn7I"", ""2018-2025!H2011"")"),178.24133814)</f>
        <v>178.2413381</v>
      </c>
      <c r="E494" s="32">
        <f>IFERROR(__xludf.DUMMYFUNCTION("C494*IMPORTRANGE(""https://docs.google.com/spreadsheets/d/1xsp01RMmkav9iTy39Zaj_7tE9677EGlOJ14KU9TZn7I"", ""2018-2025!T2011"")"),152.68445277)</f>
        <v>152.6844528</v>
      </c>
      <c r="F494" s="32">
        <f>IFERROR(__xludf.DUMMYFUNCTION("C494*IMPORTRANGE(""https://docs.google.com/spreadsheets/d/1xsp01RMmkav9iTy39Zaj_7tE9677EGlOJ14KU9TZn7I"", ""2018-2025!AC2011"")"),28970.533403999994)</f>
        <v>28970.5334</v>
      </c>
      <c r="G494" s="12" t="s">
        <v>43</v>
      </c>
    </row>
    <row r="495" ht="15.75" customHeight="1">
      <c r="A495" s="47">
        <v>45808.0</v>
      </c>
      <c r="B495" s="22">
        <v>3301.0</v>
      </c>
      <c r="C495" s="23">
        <f>295286.5/1000</f>
        <v>295.2865</v>
      </c>
      <c r="D495" s="32">
        <f>IFERROR(__xludf.DUMMYFUNCTION("C495*IMPORTRANGE(""https://docs.google.com/spreadsheets/d/1xsp01RMmkav9iTy39Zaj_7tE9677EGlOJ14KU9TZn7I"", ""2018-2025!H2035"")"),261.47619575)</f>
        <v>261.4761958</v>
      </c>
      <c r="E495" s="32">
        <f>IFERROR(__xludf.DUMMYFUNCTION("C495*IMPORTRANGE(""https://docs.google.com/spreadsheets/d/1xsp01RMmkav9iTy39Zaj_7tE9677EGlOJ14KU9TZn7I"", ""2018-2025!T2035"")"),220.99241659999998)</f>
        <v>220.9924166</v>
      </c>
      <c r="F495" s="32">
        <f>IFERROR(__xludf.DUMMYFUNCTION("C495*IMPORTRANGE(""https://docs.google.com/spreadsheets/d/1xsp01RMmkav9iTy39Zaj_7tE9677EGlOJ14KU9TZn7I"", ""2018-2025!AC2035"")"),42671.852114999994)</f>
        <v>42671.85212</v>
      </c>
      <c r="G495" s="12" t="s">
        <v>43</v>
      </c>
    </row>
    <row r="496" ht="15.75" customHeight="1">
      <c r="A496" s="47">
        <v>45838.0</v>
      </c>
      <c r="B496" s="22">
        <v>3328.0</v>
      </c>
      <c r="C496" s="23">
        <f>286481.8/1000</f>
        <v>286.4818</v>
      </c>
      <c r="D496" s="32">
        <f>IFERROR(__xludf.DUMMYFUNCTION("C496*IMPORTRANGE(""https://docs.google.com/spreadsheets/d/1xsp01RMmkav9iTy39Zaj_7tE9677EGlOJ14KU9TZn7I"", ""2018-2025!H2058"")"),248.93836010999996)</f>
        <v>248.9383601</v>
      </c>
      <c r="E496" s="32">
        <f>IFERROR(__xludf.DUMMYFUNCTION("C496*IMPORTRANGE(""https://docs.google.com/spreadsheets/d/1xsp01RMmkav9iTy39Zaj_7tE9677EGlOJ14KU9TZn7I"", ""2018-2025!T2058"")"),211.39492021999996)</f>
        <v>211.3949202</v>
      </c>
      <c r="F496" s="32">
        <f>IFERROR(__xludf.DUMMYFUNCTION("C496*IMPORTRANGE(""https://docs.google.com/spreadsheets/d/1xsp01RMmkav9iTy39Zaj_7tE9677EGlOJ14KU9TZn7I"", ""2018-2025!AC2058"")"),41436.72755199999)</f>
        <v>41436.72755</v>
      </c>
      <c r="G496" s="12" t="s">
        <v>43</v>
      </c>
    </row>
    <row r="497" ht="15.75" customHeight="1">
      <c r="A497" s="47">
        <v>45869.0</v>
      </c>
      <c r="B497" s="22">
        <v>3815.0</v>
      </c>
      <c r="C497" s="23">
        <f>387221.7/1000</f>
        <v>387.2217</v>
      </c>
      <c r="D497" s="32">
        <f>IFERROR(__xludf.DUMMYFUNCTION("C497*IMPORTRANGE(""https://docs.google.com/spreadsheets/d/1xsp01RMmkav9iTy39Zaj_7tE9677EGlOJ14KU9TZn7I"", ""2018-2025!H2083"")"),330.84222048000004)</f>
        <v>330.8422205</v>
      </c>
      <c r="E497" s="32">
        <f>IFERROR(__xludf.DUMMYFUNCTION("C497*IMPORTRANGE(""https://docs.google.com/spreadsheets/d/1xsp01RMmkav9iTy39Zaj_7tE9677EGlOJ14KU9TZn7I"", ""2018-2025!T2083"")"),286.911918615)</f>
        <v>286.9119186</v>
      </c>
      <c r="F497" s="32">
        <f>IFERROR(__xludf.DUMMYFUNCTION("C497*IMPORTRANGE(""https://docs.google.com/spreadsheets/d/1xsp01RMmkav9iTy39Zaj_7tE9677EGlOJ14KU9TZn7I"", ""2018-2025!AC2083"")"),57078.41468849999)</f>
        <v>57078.41469</v>
      </c>
      <c r="G497" s="12" t="s">
        <v>43</v>
      </c>
    </row>
    <row r="498" ht="15.75" customHeight="1">
      <c r="A498" s="47">
        <v>45900.0</v>
      </c>
      <c r="B498" s="22">
        <v>3069.0</v>
      </c>
      <c r="C498" s="23">
        <f>349645.5/1000</f>
        <v>349.6455</v>
      </c>
      <c r="D498" s="32">
        <f>IFERROR(__xludf.DUMMYFUNCTION("C498*IMPORTRANGE(""https://docs.google.com/spreadsheets/d/1xsp01RMmkav9iTy39Zaj_7tE9677EGlOJ14KU9TZn7I"", ""2018-2025!H2106"")"),300.153179475)</f>
        <v>300.1531795</v>
      </c>
      <c r="E498" s="32">
        <f>IFERROR(__xludf.DUMMYFUNCTION("C498*IMPORTRANGE(""https://docs.google.com/spreadsheets/d/1xsp01RMmkav9iTy39Zaj_7tE9677EGlOJ14KU9TZn7I"", ""2018-2025!T2106"")"),259.26213825)</f>
        <v>259.2621383</v>
      </c>
      <c r="F498" s="32">
        <f>IFERROR(__xludf.DUMMYFUNCTION("C498*IMPORTRANGE(""https://docs.google.com/spreadsheets/d/1xsp01RMmkav9iTy39Zaj_7tE9677EGlOJ14KU9TZn7I"", ""2018-2025!AC2106"")"),51537.746699999996)</f>
        <v>51537.7467</v>
      </c>
      <c r="G498" s="12" t="s">
        <v>43</v>
      </c>
    </row>
    <row r="499" ht="15.75" customHeight="1">
      <c r="A499" s="47">
        <v>45930.0</v>
      </c>
      <c r="B499" s="22">
        <v>3425.0</v>
      </c>
      <c r="C499" s="23">
        <f>343005.3/1000</f>
        <v>343.0053</v>
      </c>
      <c r="D499" s="32">
        <f>IFERROR(__xludf.DUMMYFUNCTION("C499*IMPORTRANGE(""https://docs.google.com/spreadsheets/d/1xsp01RMmkav9iTy39Zaj_7tE9677EGlOJ14KU9TZn7I"", ""2018-2025!H2130"")"),292.34341718999997)</f>
        <v>292.3434172</v>
      </c>
      <c r="E499" s="32">
        <f>IFERROR(__xludf.DUMMYFUNCTION("C499*IMPORTRANGE(""https://docs.google.com/spreadsheets/d/1xsp01RMmkav9iTy39Zaj_7tE9677EGlOJ14KU9TZn7I"", ""2018-2025!T2130"")"),253.82392199999998)</f>
        <v>253.823922</v>
      </c>
      <c r="F499" s="32">
        <f>IFERROR(__xludf.DUMMYFUNCTION("C499*IMPORTRANGE(""https://docs.google.com/spreadsheets/d/1xsp01RMmkav9iTy39Zaj_7tE9677EGlOJ14KU9TZn7I"", ""2018-2025!AC2130"")"),50668.742915999996)</f>
        <v>50668.74292</v>
      </c>
      <c r="G499" s="12" t="s">
        <v>43</v>
      </c>
    </row>
    <row r="500" ht="15.75" customHeight="1">
      <c r="A500" s="47">
        <v>45961.0</v>
      </c>
      <c r="B500" s="22">
        <v>3413.0</v>
      </c>
      <c r="C500" s="23">
        <f>438255.9/1000</f>
        <v>438.2559</v>
      </c>
      <c r="D500" s="32">
        <f>IFERROR(__xludf.DUMMYFUNCTION("C500*IMPORTRANGE(""https://docs.google.com/spreadsheets/d/1xsp01RMmkav9iTy39Zaj_7tE9677EGlOJ14KU9TZn7I"", ""2018-2025!H2154"")"),376.900074)</f>
        <v>376.900074</v>
      </c>
      <c r="E500" s="32">
        <f>IFERROR(__xludf.DUMMYFUNCTION("C500*IMPORTRANGE(""https://docs.google.com/spreadsheets/d/1xsp01RMmkav9iTy39Zaj_7tE9677EGlOJ14KU9TZn7I"", ""2018-2025!T2154"")"),328.03454115)</f>
        <v>328.0345412</v>
      </c>
      <c r="F500" s="32">
        <f>IFERROR(__xludf.DUMMYFUNCTION("C500*IMPORTRANGE(""https://docs.google.com/spreadsheets/d/1xsp01RMmkav9iTy39Zaj_7tE9677EGlOJ14KU9TZn7I"", ""2018-2025!AC2154"")"),66588.601446)</f>
        <v>66588.60145</v>
      </c>
      <c r="G500" s="12" t="s">
        <v>43</v>
      </c>
    </row>
    <row r="501" ht="15.75" customHeight="1">
      <c r="A501" s="47">
        <v>45991.0</v>
      </c>
      <c r="B501" s="22">
        <v>3021.0</v>
      </c>
      <c r="C501" s="23">
        <f>339122.5/1000</f>
        <v>339.1225</v>
      </c>
      <c r="D501" s="32">
        <f>IFERROR(__xludf.DUMMYFUNCTION("C501*IMPORTRANGE(""https://docs.google.com/spreadsheets/d/1xsp01RMmkav9iTy39Zaj_7tE9677EGlOJ14KU9TZn7I"", ""2018-2025!H2175"")"),293.154445125)</f>
        <v>293.1544451</v>
      </c>
      <c r="E501" s="32">
        <f>IFERROR(__xludf.DUMMYFUNCTION("C501*IMPORTRANGE(""https://docs.google.com/spreadsheets/d/1xsp01RMmkav9iTy39Zaj_7tE9677EGlOJ14KU9TZn7I"", ""2018-2025!T2175"")"),257.91961737500003)</f>
        <v>257.9196174</v>
      </c>
      <c r="F501" s="32">
        <f>IFERROR(__xludf.DUMMYFUNCTION("C501*IMPORTRANGE(""https://docs.google.com/spreadsheets/d/1xsp01RMmkav9iTy39Zaj_7tE9677EGlOJ14KU9TZn7I"", ""2018-2025!AC2175"")"),52572.465562499994)</f>
        <v>52572.46556</v>
      </c>
      <c r="G501" s="12" t="s">
        <v>43</v>
      </c>
    </row>
    <row r="502" ht="15.75" customHeight="1">
      <c r="A502" s="47">
        <v>46022.0</v>
      </c>
      <c r="B502" s="22">
        <v>3440.0</v>
      </c>
      <c r="C502" s="23">
        <f>484093.2/1000</f>
        <v>484.0932</v>
      </c>
      <c r="D502" s="32">
        <f>IFERROR(__xludf.DUMMYFUNCTION("C502*IMPORTRANGE(""https://docs.google.com/spreadsheets/d/1xsp01RMmkav9iTy39Zaj_7tE9677EGlOJ14KU9TZn7I"", ""2018-2025!H2199"")"),412.35058776)</f>
        <v>412.3505878</v>
      </c>
      <c r="E502" s="32">
        <f>IFERROR(__xludf.DUMMYFUNCTION("C502*IMPORTRANGE(""https://docs.google.com/spreadsheets/d/1xsp01RMmkav9iTy39Zaj_7tE9677EGlOJ14KU9TZn7I"", ""2018-2025!T2199"")"),361.76284836)</f>
        <v>361.7628484</v>
      </c>
      <c r="F502" s="32">
        <f>IFERROR(__xludf.DUMMYFUNCTION("C502*IMPORTRANGE(""https://docs.google.com/spreadsheets/d/1xsp01RMmkav9iTy39Zaj_7tE9677EGlOJ14KU9TZn7I"", ""2018-2025!AC2199"")"),75455.607084)</f>
        <v>75455.60708</v>
      </c>
      <c r="G502" s="12" t="s">
        <v>43</v>
      </c>
    </row>
    <row r="503" ht="15.75" customHeight="1">
      <c r="A503" s="31">
        <v>2026.0</v>
      </c>
      <c r="B503" s="31"/>
      <c r="C503" s="41"/>
      <c r="D503" s="41"/>
      <c r="E503" s="41"/>
      <c r="F503" s="41"/>
      <c r="G503" s="31"/>
    </row>
    <row r="504" ht="15.75" customHeight="1">
      <c r="A504" s="47">
        <v>46053.0</v>
      </c>
      <c r="B504" s="22">
        <v>3657.0</v>
      </c>
      <c r="C504" s="23">
        <f>221587.2/1000</f>
        <v>221.5872</v>
      </c>
      <c r="D504" s="32">
        <f>IFERROR(__xludf.DUMMYFUNCTION("C504*IMPORTRANGE(""https://docs.google.com/spreadsheets/d/1xsp01RMmkav9iTy39Zaj_7tE9677EGlOJ14KU9TZn7I/edit?gid=298733920#gid=298733920"",""2026 - Most Recent!H25"")"),189.33518304)</f>
        <v>189.335183</v>
      </c>
      <c r="E504" s="32">
        <f>IFERROR(__xludf.DUMMYFUNCTION("C504*IMPORTRANGE(""https://docs.google.com/spreadsheets/d/1xsp01RMmkav9iTy39Zaj_7tE9677EGlOJ14KU9TZn7I/edit?gid=298733920#gid=298733920"",""2026 - Most Recent!Q25"")"),164.60605152000002)</f>
        <v>164.6060515</v>
      </c>
      <c r="F504" s="32">
        <f>IFERROR(__xludf.DUMMYFUNCTION("C504*IMPORTRANGE(""https://docs.google.com/spreadsheets/d/1xsp01RMmkav9iTy39Zaj_7tE9677EGlOJ14KU9TZn7I/edit?gid=298733920#gid=298733920"",""2026 - Most Recent!Z25"")"),34758.168192000005)</f>
        <v>34758.16819</v>
      </c>
      <c r="G504" s="12" t="s">
        <v>43</v>
      </c>
    </row>
    <row r="505" ht="15.75" customHeight="1">
      <c r="A505" s="47">
        <v>46081.0</v>
      </c>
      <c r="B505" s="22">
        <v>3269.0</v>
      </c>
      <c r="C505" s="23">
        <f>572098/1000</f>
        <v>572.098</v>
      </c>
      <c r="D505" s="32">
        <f>IFERROR(__xludf.DUMMYFUNCTION("C505*IMPORTRANGE(""https://docs.google.com/spreadsheets/d/1xsp01RMmkav9iTy39Zaj_7tE9677EGlOJ14KU9TZn7I/edit?gid=298733920#gid=298733920"",""2026 - Most Recent!H46"")"),489.5728635)</f>
        <v>489.5728635</v>
      </c>
      <c r="E505" s="32">
        <f>IFERROR(__xludf.DUMMYFUNCTION("C505*IMPORTRANGE(""https://docs.google.com/spreadsheets/d/1xsp01RMmkav9iTy39Zaj_7tE9677EGlOJ14KU9TZn7I/edit?gid=298733920#gid=298733920"",""2026 - Most Recent!Q46"")"),420.92110349999996)</f>
        <v>420.9211035</v>
      </c>
      <c r="F505" s="32">
        <f>IFERROR(__xludf.DUMMYFUNCTION("C505*IMPORTRANGE(""https://docs.google.com/spreadsheets/d/1xsp01RMmkav9iTy39Zaj_7tE9677EGlOJ14KU9TZn7I/edit?gid=298733920#gid=298733920"",""2026 - Most Recent!Z46"")"),88872.56380999999)</f>
        <v>88872.56381</v>
      </c>
      <c r="G505" s="12" t="s">
        <v>43</v>
      </c>
    </row>
    <row r="506" ht="15.75" customHeight="1">
      <c r="A506" s="47">
        <v>46112.0</v>
      </c>
      <c r="B506" s="22">
        <v>3241.0</v>
      </c>
      <c r="C506" s="23">
        <f>388672.9/1000</f>
        <v>388.6729</v>
      </c>
      <c r="D506" s="32">
        <f>IFERROR(__xludf.DUMMYFUNCTION("C506*IMPORTRANGE(""https://docs.google.com/spreadsheets/d/1xsp01RMmkav9iTy39Zaj_7tE9677EGlOJ14KU9TZn7I/edit?gid=298733920#gid=298733920"",""2026 - Most Recent!H70"")"),335.988288405)</f>
        <v>335.9882884</v>
      </c>
      <c r="E506" s="32">
        <f>IFERROR(__xludf.DUMMYFUNCTION("C506*IMPORTRANGE(""https://docs.google.com/spreadsheets/d/1xsp01RMmkav9iTy39Zaj_7tE9677EGlOJ14KU9TZn7I/edit?gid=298733920#gid=298733920"",""2026 - Most Recent!Q70"")"),335.988288405)</f>
        <v>335.9882884</v>
      </c>
      <c r="F506" s="32">
        <f>IFERROR(__xludf.DUMMYFUNCTION("C506*IMPORTRANGE(""https://docs.google.com/spreadsheets/d/1xsp01RMmkav9iTy39Zaj_7tE9677EGlOJ14KU9TZn7I/edit?gid=298733920#gid=298733920"",""2026 - Most Recent!Z70"")"),61779.557455)</f>
        <v>61779.55746</v>
      </c>
      <c r="G506" s="12" t="s">
        <v>43</v>
      </c>
    </row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25"/>
    <col customWidth="1" min="2" max="6" width="12.63"/>
    <col customWidth="1" min="7" max="7" width="15.13"/>
  </cols>
  <sheetData>
    <row r="1" ht="15.75" customHeight="1">
      <c r="A1" s="20" t="s">
        <v>50</v>
      </c>
      <c r="B1" s="10" t="s">
        <v>51</v>
      </c>
      <c r="C1" s="10" t="s">
        <v>2</v>
      </c>
      <c r="D1" s="10"/>
      <c r="E1" s="20"/>
      <c r="F1" s="20"/>
    </row>
    <row r="2" ht="15.75" customHeight="1">
      <c r="A2" s="20"/>
      <c r="B2" s="20"/>
      <c r="C2" s="21" t="s">
        <v>4</v>
      </c>
      <c r="D2" s="10" t="s">
        <v>5</v>
      </c>
      <c r="E2" s="10" t="s">
        <v>6</v>
      </c>
      <c r="F2" s="10" t="s">
        <v>7</v>
      </c>
    </row>
    <row r="3" ht="15.75" customHeight="1">
      <c r="A3" s="20" t="s">
        <v>253</v>
      </c>
      <c r="B3" s="21">
        <v>625.0</v>
      </c>
      <c r="C3" s="21">
        <v>67.62</v>
      </c>
      <c r="D3" s="21">
        <v>96.88</v>
      </c>
      <c r="E3" s="21">
        <v>58.99</v>
      </c>
      <c r="F3" s="50">
        <v>17301.0</v>
      </c>
      <c r="G3" s="1" t="s">
        <v>9</v>
      </c>
    </row>
    <row r="4" ht="15.75" customHeight="1">
      <c r="A4" s="20" t="s">
        <v>254</v>
      </c>
      <c r="B4" s="21">
        <v>631.0</v>
      </c>
      <c r="C4" s="21">
        <v>108.27</v>
      </c>
      <c r="D4" s="21">
        <v>150.01</v>
      </c>
      <c r="E4" s="21">
        <v>88.0</v>
      </c>
      <c r="F4" s="50">
        <v>26535.65</v>
      </c>
      <c r="G4" s="1" t="s">
        <v>9</v>
      </c>
    </row>
    <row r="5" ht="15.75" customHeight="1">
      <c r="A5" s="20" t="s">
        <v>255</v>
      </c>
      <c r="B5" s="21">
        <v>599.0</v>
      </c>
      <c r="C5" s="21">
        <v>66.72</v>
      </c>
      <c r="D5" s="21">
        <v>85.5</v>
      </c>
      <c r="E5" s="21">
        <v>49.09</v>
      </c>
      <c r="F5" s="50">
        <v>15360.48</v>
      </c>
      <c r="G5" s="1" t="s">
        <v>9</v>
      </c>
    </row>
    <row r="6" ht="15.75" customHeight="1">
      <c r="A6" s="20" t="s">
        <v>256</v>
      </c>
      <c r="B6" s="21">
        <v>821.0</v>
      </c>
      <c r="C6" s="21">
        <v>104.67</v>
      </c>
      <c r="D6" s="21">
        <v>124.08</v>
      </c>
      <c r="E6" s="21">
        <v>73.57</v>
      </c>
      <c r="F6" s="50">
        <v>20899.57</v>
      </c>
      <c r="G6" s="1" t="s">
        <v>9</v>
      </c>
    </row>
    <row r="7" ht="15.75" customHeight="1">
      <c r="A7" s="20" t="s">
        <v>257</v>
      </c>
      <c r="B7" s="21">
        <v>737.0</v>
      </c>
      <c r="C7" s="21">
        <v>78.11</v>
      </c>
      <c r="D7" s="21">
        <v>84.62</v>
      </c>
      <c r="E7" s="21">
        <v>54.0</v>
      </c>
      <c r="F7" s="50">
        <v>13912.26</v>
      </c>
      <c r="G7" s="1" t="s">
        <v>9</v>
      </c>
    </row>
    <row r="8" ht="15.75" customHeight="1">
      <c r="A8" s="20" t="s">
        <v>258</v>
      </c>
      <c r="B8" s="21">
        <v>927.0</v>
      </c>
      <c r="C8" s="21">
        <v>98.19</v>
      </c>
      <c r="D8" s="21">
        <v>102.9</v>
      </c>
      <c r="E8" s="21">
        <v>65.49</v>
      </c>
      <c r="F8" s="50">
        <v>16272.58</v>
      </c>
      <c r="G8" s="1" t="s">
        <v>9</v>
      </c>
    </row>
    <row r="9" ht="15.75" customHeight="1">
      <c r="A9" s="20" t="s">
        <v>259</v>
      </c>
      <c r="B9" s="21">
        <v>923.0</v>
      </c>
      <c r="C9" s="21">
        <v>98.66</v>
      </c>
      <c r="D9" s="21">
        <v>99.54</v>
      </c>
      <c r="E9" s="21">
        <v>66.75</v>
      </c>
      <c r="F9" s="50">
        <v>15403.28</v>
      </c>
      <c r="G9" s="1" t="s">
        <v>9</v>
      </c>
    </row>
    <row r="10" ht="15.75" customHeight="1">
      <c r="A10" s="20" t="s">
        <v>260</v>
      </c>
      <c r="B10" s="22">
        <v>1642.0</v>
      </c>
      <c r="C10" s="21">
        <v>159.78</v>
      </c>
      <c r="D10" s="21">
        <v>154.65</v>
      </c>
      <c r="E10" s="21">
        <v>110.85</v>
      </c>
      <c r="F10" s="50">
        <v>25444.33</v>
      </c>
      <c r="G10" s="1" t="s">
        <v>9</v>
      </c>
    </row>
    <row r="11" ht="15.75" customHeight="1">
      <c r="A11" s="20" t="s">
        <v>261</v>
      </c>
      <c r="B11" s="22">
        <v>1163.0</v>
      </c>
      <c r="C11" s="21">
        <v>103.59</v>
      </c>
      <c r="D11" s="21">
        <v>92.35</v>
      </c>
      <c r="E11" s="21">
        <v>66.99</v>
      </c>
      <c r="F11" s="50">
        <v>15374.08</v>
      </c>
      <c r="G11" s="1" t="s">
        <v>9</v>
      </c>
    </row>
    <row r="12" ht="15.75" customHeight="1">
      <c r="A12" s="20" t="s">
        <v>262</v>
      </c>
      <c r="B12" s="22">
        <v>1207.0</v>
      </c>
      <c r="C12" s="21">
        <v>131.98</v>
      </c>
      <c r="D12" s="21">
        <v>115.54</v>
      </c>
      <c r="E12" s="21">
        <v>81.53</v>
      </c>
      <c r="F12" s="50">
        <v>18794.71</v>
      </c>
      <c r="G12" s="1" t="s">
        <v>9</v>
      </c>
    </row>
    <row r="13" ht="15.75" customHeight="1">
      <c r="A13" s="20" t="s">
        <v>263</v>
      </c>
      <c r="B13" s="22">
        <v>1209.0</v>
      </c>
      <c r="C13" s="21">
        <v>138.7</v>
      </c>
      <c r="D13" s="21">
        <v>123.18</v>
      </c>
      <c r="E13" s="21">
        <v>85.98</v>
      </c>
      <c r="F13" s="50">
        <v>19936.45</v>
      </c>
      <c r="G13" s="1" t="s">
        <v>9</v>
      </c>
    </row>
    <row r="14" ht="15.75" customHeight="1">
      <c r="A14" s="20" t="s">
        <v>264</v>
      </c>
      <c r="B14" s="22">
        <v>1701.0</v>
      </c>
      <c r="C14" s="21">
        <v>131.68</v>
      </c>
      <c r="D14" s="21">
        <v>110.13</v>
      </c>
      <c r="E14" s="21">
        <v>76.39</v>
      </c>
      <c r="F14" s="50">
        <v>17502.75</v>
      </c>
      <c r="G14" s="1" t="s">
        <v>9</v>
      </c>
    </row>
    <row r="15" ht="15.75" customHeight="1">
      <c r="A15" s="20" t="s">
        <v>265</v>
      </c>
      <c r="B15" s="22">
        <v>1623.0</v>
      </c>
      <c r="C15" s="21">
        <v>196.18</v>
      </c>
      <c r="D15" s="21">
        <v>161.31</v>
      </c>
      <c r="E15" s="21">
        <v>110.77</v>
      </c>
      <c r="F15" s="50">
        <v>25135.81</v>
      </c>
      <c r="G15" s="1" t="s">
        <v>9</v>
      </c>
    </row>
    <row r="16" ht="15.75" customHeight="1">
      <c r="A16" s="20" t="s">
        <v>266</v>
      </c>
      <c r="B16" s="22">
        <v>1806.0</v>
      </c>
      <c r="C16" s="21">
        <v>139.25</v>
      </c>
      <c r="D16" s="21">
        <v>114.5</v>
      </c>
      <c r="E16" s="21">
        <v>76.74</v>
      </c>
      <c r="F16" s="50">
        <v>17710.83</v>
      </c>
      <c r="G16" s="1" t="s">
        <v>9</v>
      </c>
    </row>
    <row r="17" ht="15.75" customHeight="1">
      <c r="A17" s="20" t="s">
        <v>267</v>
      </c>
      <c r="B17" s="22">
        <v>1850.0</v>
      </c>
      <c r="C17" s="21">
        <v>167.85</v>
      </c>
      <c r="D17" s="21">
        <v>148.96</v>
      </c>
      <c r="E17" s="21">
        <v>98.14</v>
      </c>
      <c r="F17" s="50">
        <v>22237.48</v>
      </c>
      <c r="G17" s="1" t="s">
        <v>9</v>
      </c>
    </row>
    <row r="18" ht="15.75" customHeight="1">
      <c r="A18" s="20" t="s">
        <v>268</v>
      </c>
      <c r="B18" s="22">
        <v>2160.0</v>
      </c>
      <c r="C18" s="21">
        <v>273.29</v>
      </c>
      <c r="D18" s="21">
        <v>237.05</v>
      </c>
      <c r="E18" s="21">
        <v>154.75</v>
      </c>
      <c r="F18" s="50">
        <v>34246.0</v>
      </c>
      <c r="G18" s="1" t="s">
        <v>9</v>
      </c>
    </row>
    <row r="19" ht="15.75" customHeight="1">
      <c r="A19" s="20" t="s">
        <v>269</v>
      </c>
      <c r="B19" s="22">
        <v>2433.0</v>
      </c>
      <c r="C19" s="21">
        <v>172.22</v>
      </c>
      <c r="D19" s="21">
        <v>153.1</v>
      </c>
      <c r="E19" s="21">
        <v>99.41</v>
      </c>
      <c r="F19" s="50">
        <v>22804.43</v>
      </c>
      <c r="G19" s="1" t="s">
        <v>9</v>
      </c>
    </row>
    <row r="20" ht="15.75" customHeight="1">
      <c r="A20" s="20" t="s">
        <v>270</v>
      </c>
      <c r="B20" s="22">
        <v>2416.0</v>
      </c>
      <c r="C20" s="21">
        <v>170.9</v>
      </c>
      <c r="D20" s="21">
        <v>156.27</v>
      </c>
      <c r="E20" s="21">
        <v>104.24</v>
      </c>
      <c r="F20" s="50">
        <v>23878.79</v>
      </c>
      <c r="G20" s="1" t="s">
        <v>9</v>
      </c>
    </row>
    <row r="21" ht="15.75" customHeight="1">
      <c r="A21" s="20" t="s">
        <v>271</v>
      </c>
      <c r="B21" s="22">
        <v>2401.0</v>
      </c>
      <c r="C21" s="21">
        <v>257.9</v>
      </c>
      <c r="D21" s="21">
        <v>236.56</v>
      </c>
      <c r="E21" s="21">
        <v>159.69</v>
      </c>
      <c r="F21" s="50">
        <v>36834.52</v>
      </c>
      <c r="G21" s="1" t="s">
        <v>9</v>
      </c>
    </row>
    <row r="22" ht="15.75" customHeight="1">
      <c r="A22" s="20" t="s">
        <v>272</v>
      </c>
      <c r="B22" s="22">
        <v>2886.0</v>
      </c>
      <c r="C22" s="21">
        <v>156.69</v>
      </c>
      <c r="D22" s="21">
        <v>139.5</v>
      </c>
      <c r="E22" s="21">
        <v>98.55</v>
      </c>
      <c r="F22" s="50">
        <v>22451.07</v>
      </c>
      <c r="G22" s="1" t="s">
        <v>9</v>
      </c>
    </row>
    <row r="23" ht="15.75" customHeight="1">
      <c r="A23" s="20" t="s">
        <v>273</v>
      </c>
      <c r="B23" s="22">
        <v>2629.0</v>
      </c>
      <c r="C23" s="21">
        <v>108.93</v>
      </c>
      <c r="D23" s="21">
        <v>90.52</v>
      </c>
      <c r="E23" s="21">
        <v>65.52</v>
      </c>
      <c r="F23" s="50">
        <v>16134.78</v>
      </c>
      <c r="G23" s="1" t="s">
        <v>9</v>
      </c>
    </row>
    <row r="24" ht="15.75" customHeight="1">
      <c r="A24" s="20" t="s">
        <v>274</v>
      </c>
      <c r="B24" s="22">
        <v>2874.0</v>
      </c>
      <c r="C24" s="21">
        <v>134.7</v>
      </c>
      <c r="D24" s="21">
        <v>109.34</v>
      </c>
      <c r="E24" s="21">
        <v>80.0</v>
      </c>
      <c r="F24" s="50">
        <v>20713.61</v>
      </c>
      <c r="G24" s="1" t="s">
        <v>9</v>
      </c>
    </row>
    <row r="25" ht="15.75" customHeight="1">
      <c r="A25" s="20" t="s">
        <v>275</v>
      </c>
      <c r="B25" s="22">
        <v>2406.0</v>
      </c>
      <c r="C25" s="21">
        <v>140.67</v>
      </c>
      <c r="D25" s="21">
        <v>109.96</v>
      </c>
      <c r="E25" s="21">
        <v>77.56</v>
      </c>
      <c r="F25" s="50">
        <v>20095.52</v>
      </c>
      <c r="G25" s="1" t="s">
        <v>9</v>
      </c>
    </row>
    <row r="26" ht="15.75" customHeight="1">
      <c r="A26" s="20" t="s">
        <v>276</v>
      </c>
      <c r="B26" s="22">
        <v>3044.0</v>
      </c>
      <c r="C26" s="21">
        <v>156.53</v>
      </c>
      <c r="D26" s="21">
        <v>114.08</v>
      </c>
      <c r="E26" s="21">
        <v>81.73</v>
      </c>
      <c r="F26" s="50">
        <v>20464.55</v>
      </c>
      <c r="G26" s="1" t="s">
        <v>9</v>
      </c>
    </row>
    <row r="27" ht="15.75" customHeight="1">
      <c r="A27" s="20" t="s">
        <v>277</v>
      </c>
      <c r="B27" s="22">
        <v>3713.0</v>
      </c>
      <c r="C27" s="21">
        <v>88.95</v>
      </c>
      <c r="D27" s="21">
        <v>67.15</v>
      </c>
      <c r="E27" s="21">
        <v>47.49</v>
      </c>
      <c r="F27" s="50">
        <v>11925.29</v>
      </c>
      <c r="G27" s="1" t="s">
        <v>9</v>
      </c>
    </row>
    <row r="28" ht="15.75" customHeight="1">
      <c r="A28" s="20" t="s">
        <v>278</v>
      </c>
      <c r="B28" s="22">
        <v>3727.0</v>
      </c>
      <c r="C28" s="21">
        <v>106.73</v>
      </c>
      <c r="D28" s="21">
        <v>87.18</v>
      </c>
      <c r="E28" s="21">
        <v>62.06</v>
      </c>
      <c r="F28" s="50">
        <v>14645.22</v>
      </c>
      <c r="G28" s="1" t="s">
        <v>9</v>
      </c>
    </row>
    <row r="29" ht="15.75" customHeight="1">
      <c r="A29" s="20" t="s">
        <v>279</v>
      </c>
      <c r="B29" s="22">
        <v>3610.0</v>
      </c>
      <c r="C29" s="21">
        <v>98.25</v>
      </c>
      <c r="D29" s="21">
        <v>80.77</v>
      </c>
      <c r="E29" s="21">
        <v>57.43</v>
      </c>
      <c r="F29" s="50">
        <v>13256.07</v>
      </c>
      <c r="G29" s="1" t="s">
        <v>9</v>
      </c>
    </row>
    <row r="30" ht="15.75" customHeight="1">
      <c r="A30" s="20" t="s">
        <v>280</v>
      </c>
      <c r="B30" s="22">
        <v>3917.0</v>
      </c>
      <c r="C30" s="21">
        <v>104.58</v>
      </c>
      <c r="D30" s="21">
        <v>83.07</v>
      </c>
      <c r="E30" s="21">
        <v>59.29</v>
      </c>
      <c r="F30" s="50">
        <v>13505.13</v>
      </c>
      <c r="G30" s="1" t="s">
        <v>9</v>
      </c>
    </row>
    <row r="31" ht="15.75" customHeight="1">
      <c r="A31" s="20" t="s">
        <v>281</v>
      </c>
      <c r="B31" s="22">
        <v>3763.0</v>
      </c>
      <c r="C31" s="21">
        <v>97.13</v>
      </c>
      <c r="D31" s="21">
        <v>77.09</v>
      </c>
      <c r="E31" s="21">
        <v>55.38</v>
      </c>
      <c r="F31" s="50">
        <v>12491.41</v>
      </c>
      <c r="G31" s="1" t="s">
        <v>9</v>
      </c>
    </row>
    <row r="32" ht="15.75" customHeight="1">
      <c r="A32" s="20" t="s">
        <v>282</v>
      </c>
      <c r="B32" s="22">
        <v>3440.0</v>
      </c>
      <c r="C32" s="21">
        <v>102.45</v>
      </c>
      <c r="D32" s="21">
        <v>79.71</v>
      </c>
      <c r="E32" s="21">
        <v>57.36</v>
      </c>
      <c r="F32" s="50">
        <v>13095.24</v>
      </c>
      <c r="G32" s="1" t="s">
        <v>9</v>
      </c>
    </row>
    <row r="33" ht="15.75" customHeight="1">
      <c r="A33" s="20" t="s">
        <v>283</v>
      </c>
      <c r="B33" s="22">
        <v>3263.0</v>
      </c>
      <c r="C33" s="21">
        <v>93.98</v>
      </c>
      <c r="D33" s="21">
        <v>68.13</v>
      </c>
      <c r="E33" s="21">
        <v>51.49</v>
      </c>
      <c r="F33" s="50">
        <v>11567.0</v>
      </c>
      <c r="G33" s="1" t="s">
        <v>9</v>
      </c>
    </row>
    <row r="34" ht="15.75" customHeight="1">
      <c r="A34" s="20" t="s">
        <v>284</v>
      </c>
      <c r="B34" s="22">
        <v>3882.0</v>
      </c>
      <c r="C34" s="21">
        <v>107.79</v>
      </c>
      <c r="D34" s="21">
        <v>84.71</v>
      </c>
      <c r="E34" s="21">
        <v>67.49</v>
      </c>
      <c r="F34" s="50">
        <v>13144.15</v>
      </c>
      <c r="G34" s="1" t="s">
        <v>9</v>
      </c>
    </row>
    <row r="35" ht="15.75" customHeight="1">
      <c r="A35" s="20" t="s">
        <v>285</v>
      </c>
      <c r="B35" s="22">
        <v>3628.0</v>
      </c>
      <c r="C35" s="21">
        <v>80.27</v>
      </c>
      <c r="D35" s="21">
        <v>66.47</v>
      </c>
      <c r="E35" s="21">
        <v>53.1</v>
      </c>
      <c r="F35" s="50">
        <v>9577.1</v>
      </c>
      <c r="G35" s="1" t="s">
        <v>9</v>
      </c>
    </row>
    <row r="36" ht="15.75" customHeight="1">
      <c r="A36" s="20" t="s">
        <v>286</v>
      </c>
      <c r="B36" s="22">
        <v>3654.0</v>
      </c>
      <c r="C36" s="21">
        <v>128.48</v>
      </c>
      <c r="D36" s="21">
        <v>106.99</v>
      </c>
      <c r="E36" s="21">
        <v>83.08</v>
      </c>
      <c r="F36" s="50">
        <v>14005.38</v>
      </c>
      <c r="G36" s="1" t="s">
        <v>9</v>
      </c>
    </row>
    <row r="37" ht="15.75" customHeight="1">
      <c r="A37" s="20" t="s">
        <v>287</v>
      </c>
      <c r="B37" s="22">
        <v>3646.0</v>
      </c>
      <c r="C37" s="21">
        <v>141.98</v>
      </c>
      <c r="D37" s="21">
        <v>121.1</v>
      </c>
      <c r="E37" s="21">
        <v>92.84</v>
      </c>
      <c r="F37" s="50">
        <v>14928.68</v>
      </c>
      <c r="G37" s="1" t="s">
        <v>9</v>
      </c>
    </row>
    <row r="38" ht="15.75" customHeight="1">
      <c r="A38" s="20" t="s">
        <v>288</v>
      </c>
      <c r="B38" s="22">
        <v>4170.0</v>
      </c>
      <c r="C38" s="21">
        <v>167.12</v>
      </c>
      <c r="D38" s="21">
        <v>144.19</v>
      </c>
      <c r="E38" s="21">
        <v>111.16</v>
      </c>
      <c r="F38" s="50">
        <v>17950.12</v>
      </c>
      <c r="G38" s="1" t="s">
        <v>9</v>
      </c>
    </row>
    <row r="39" ht="15.75" customHeight="1">
      <c r="A39" s="20" t="s">
        <v>289</v>
      </c>
      <c r="B39" s="22">
        <v>4031.0</v>
      </c>
      <c r="C39" s="21">
        <v>113.75</v>
      </c>
      <c r="D39" s="21">
        <v>99.7</v>
      </c>
      <c r="E39" s="21">
        <v>75.87</v>
      </c>
      <c r="F39" s="50">
        <v>12189.62</v>
      </c>
      <c r="G39" s="1" t="s">
        <v>9</v>
      </c>
    </row>
    <row r="40" ht="15.75" customHeight="1">
      <c r="A40" s="20" t="s">
        <v>290</v>
      </c>
      <c r="B40" s="22">
        <v>4354.0</v>
      </c>
      <c r="C40" s="21">
        <v>148.52</v>
      </c>
      <c r="D40" s="21">
        <v>126.17</v>
      </c>
      <c r="E40" s="21">
        <v>97.91</v>
      </c>
      <c r="F40" s="50">
        <v>15161.26</v>
      </c>
      <c r="G40" s="1" t="s">
        <v>9</v>
      </c>
    </row>
    <row r="41" ht="15.75" customHeight="1">
      <c r="A41" s="20" t="s">
        <v>291</v>
      </c>
      <c r="B41" s="22">
        <v>4141.0</v>
      </c>
      <c r="C41" s="21">
        <v>167.28</v>
      </c>
      <c r="D41" s="21">
        <v>137.18</v>
      </c>
      <c r="E41" s="21">
        <v>108.02</v>
      </c>
      <c r="F41" s="50">
        <v>16565.57</v>
      </c>
      <c r="G41" s="1" t="s">
        <v>9</v>
      </c>
    </row>
    <row r="42" ht="15.75" customHeight="1">
      <c r="A42" s="20" t="s">
        <v>292</v>
      </c>
      <c r="B42" s="22">
        <v>4605.0</v>
      </c>
      <c r="C42" s="21">
        <v>196.76</v>
      </c>
      <c r="D42" s="21">
        <v>159.95</v>
      </c>
      <c r="E42" s="21">
        <v>124.77</v>
      </c>
      <c r="F42" s="50">
        <v>19388.03</v>
      </c>
      <c r="G42" s="1" t="s">
        <v>9</v>
      </c>
    </row>
    <row r="43" ht="15.75" customHeight="1">
      <c r="A43" s="20" t="s">
        <v>293</v>
      </c>
      <c r="B43" s="22">
        <v>4809.0</v>
      </c>
      <c r="C43" s="21">
        <v>204.37</v>
      </c>
      <c r="D43" s="21">
        <v>161.44</v>
      </c>
      <c r="E43" s="21">
        <v>129.1</v>
      </c>
      <c r="F43" s="50">
        <v>19333.83</v>
      </c>
      <c r="G43" s="1" t="s">
        <v>9</v>
      </c>
    </row>
    <row r="44" ht="15.75" customHeight="1">
      <c r="A44" s="20" t="s">
        <v>294</v>
      </c>
      <c r="B44" s="22">
        <v>4957.0</v>
      </c>
      <c r="C44" s="21">
        <v>244.26</v>
      </c>
      <c r="D44" s="21">
        <v>193.29</v>
      </c>
      <c r="E44" s="21">
        <v>153.13</v>
      </c>
      <c r="F44" s="50">
        <v>20979.97</v>
      </c>
      <c r="G44" s="1" t="s">
        <v>9</v>
      </c>
    </row>
    <row r="45" ht="15.75" customHeight="1">
      <c r="A45" s="20" t="s">
        <v>295</v>
      </c>
      <c r="B45" s="22">
        <v>5304.0</v>
      </c>
      <c r="C45" s="21">
        <v>320.14</v>
      </c>
      <c r="D45" s="21">
        <v>245.88</v>
      </c>
      <c r="E45" s="21">
        <v>203.47</v>
      </c>
      <c r="F45" s="50">
        <v>30430.56</v>
      </c>
      <c r="G45" s="1" t="s">
        <v>9</v>
      </c>
    </row>
    <row r="46" ht="15.75" customHeight="1">
      <c r="A46" s="20" t="s">
        <v>296</v>
      </c>
      <c r="B46" s="22">
        <v>5602.0</v>
      </c>
      <c r="C46" s="21">
        <v>273.95</v>
      </c>
      <c r="D46" s="21">
        <v>212.54</v>
      </c>
      <c r="E46" s="21">
        <v>175.47</v>
      </c>
      <c r="F46" s="50">
        <v>27957.78</v>
      </c>
      <c r="G46" s="1" t="s">
        <v>9</v>
      </c>
    </row>
    <row r="47" ht="15.75" customHeight="1">
      <c r="A47" s="20" t="s">
        <v>297</v>
      </c>
      <c r="B47" s="22">
        <v>6195.0</v>
      </c>
      <c r="C47" s="21">
        <v>279.47</v>
      </c>
      <c r="D47" s="21">
        <v>221.93</v>
      </c>
      <c r="E47" s="21">
        <v>181.7</v>
      </c>
      <c r="F47" s="50">
        <v>29693.19</v>
      </c>
      <c r="G47" s="1" t="s">
        <v>9</v>
      </c>
    </row>
    <row r="48" ht="15.75" customHeight="1">
      <c r="A48" s="20" t="s">
        <v>298</v>
      </c>
      <c r="B48" s="22">
        <v>6155.0</v>
      </c>
      <c r="C48" s="21">
        <v>303.89</v>
      </c>
      <c r="D48" s="21">
        <v>243.84</v>
      </c>
      <c r="E48" s="21">
        <v>198.66</v>
      </c>
      <c r="F48" s="50">
        <v>32719.75</v>
      </c>
      <c r="G48" s="1" t="s">
        <v>9</v>
      </c>
    </row>
    <row r="49" ht="15.75" customHeight="1">
      <c r="A49" s="20" t="s">
        <v>299</v>
      </c>
      <c r="B49" s="22">
        <v>6168.0</v>
      </c>
      <c r="C49" s="21">
        <v>259.7</v>
      </c>
      <c r="D49" s="21">
        <v>205.6</v>
      </c>
      <c r="E49" s="21">
        <v>166.9</v>
      </c>
      <c r="F49" s="50">
        <v>28337.0</v>
      </c>
      <c r="G49" s="1" t="s">
        <v>9</v>
      </c>
    </row>
    <row r="50" ht="15.75" customHeight="1">
      <c r="A50" s="20" t="s">
        <v>300</v>
      </c>
      <c r="B50" s="22">
        <v>6187.0</v>
      </c>
      <c r="C50" s="21">
        <v>378.69</v>
      </c>
      <c r="D50" s="21">
        <v>303.26</v>
      </c>
      <c r="E50" s="21">
        <v>232.51</v>
      </c>
      <c r="F50" s="50">
        <v>42956.74</v>
      </c>
      <c r="G50" s="1" t="s">
        <v>9</v>
      </c>
    </row>
    <row r="51" ht="15.75" customHeight="1">
      <c r="A51" s="20" t="s">
        <v>301</v>
      </c>
      <c r="B51" s="22">
        <v>6011.0</v>
      </c>
      <c r="C51" s="21">
        <v>361.05</v>
      </c>
      <c r="D51" s="21">
        <v>305.71</v>
      </c>
      <c r="E51" s="21">
        <v>221.81</v>
      </c>
      <c r="F51" s="50">
        <v>43702.69</v>
      </c>
      <c r="G51" s="1" t="s">
        <v>9</v>
      </c>
    </row>
    <row r="52" ht="15.75" customHeight="1">
      <c r="A52" s="20" t="s">
        <v>302</v>
      </c>
      <c r="B52" s="22">
        <v>6195.0</v>
      </c>
      <c r="C52" s="21">
        <v>391.84</v>
      </c>
      <c r="D52" s="21">
        <v>344.67</v>
      </c>
      <c r="E52" s="21">
        <v>239.47</v>
      </c>
      <c r="F52" s="50">
        <v>46947.16</v>
      </c>
      <c r="G52" s="1" t="s">
        <v>9</v>
      </c>
    </row>
    <row r="53" ht="15.75" customHeight="1">
      <c r="A53" s="20" t="s">
        <v>303</v>
      </c>
      <c r="B53" s="22">
        <v>7101.0</v>
      </c>
      <c r="C53" s="21">
        <v>438.76</v>
      </c>
      <c r="D53" s="21">
        <v>401.35</v>
      </c>
      <c r="E53" s="21">
        <v>270.08</v>
      </c>
      <c r="F53" s="50">
        <v>52056.19</v>
      </c>
      <c r="G53" s="1" t="s">
        <v>9</v>
      </c>
    </row>
    <row r="54" ht="15.75" customHeight="1">
      <c r="A54" s="20" t="s">
        <v>304</v>
      </c>
      <c r="B54" s="22">
        <v>7201.0</v>
      </c>
      <c r="C54" s="21">
        <v>637.48</v>
      </c>
      <c r="D54" s="21">
        <v>559.44</v>
      </c>
      <c r="E54" s="21">
        <v>386.51</v>
      </c>
      <c r="F54" s="50">
        <v>79389.81</v>
      </c>
      <c r="G54" s="1" t="s">
        <v>9</v>
      </c>
    </row>
    <row r="55" ht="15.75" customHeight="1">
      <c r="A55" s="20" t="s">
        <v>305</v>
      </c>
      <c r="B55" s="22">
        <v>7213.0</v>
      </c>
      <c r="C55" s="21">
        <v>531.57</v>
      </c>
      <c r="D55" s="21">
        <v>488.12</v>
      </c>
      <c r="E55" s="21">
        <v>322.45</v>
      </c>
      <c r="F55" s="50">
        <v>68534.18</v>
      </c>
      <c r="G55" s="1" t="s">
        <v>9</v>
      </c>
    </row>
    <row r="56" ht="15.75" customHeight="1">
      <c r="A56" s="20" t="s">
        <v>306</v>
      </c>
      <c r="B56" s="22">
        <v>7849.0</v>
      </c>
      <c r="C56" s="21">
        <v>990.55</v>
      </c>
      <c r="D56" s="21">
        <v>899.88</v>
      </c>
      <c r="E56" s="21">
        <v>599.02</v>
      </c>
      <c r="F56" s="50">
        <v>134095.87</v>
      </c>
      <c r="G56" s="1" t="s">
        <v>9</v>
      </c>
    </row>
    <row r="57" ht="15.75" customHeight="1">
      <c r="A57" s="20" t="s">
        <v>307</v>
      </c>
      <c r="B57" s="22">
        <v>7791.0</v>
      </c>
      <c r="C57" s="21">
        <v>543.22</v>
      </c>
      <c r="D57" s="21">
        <v>487.16</v>
      </c>
      <c r="E57" s="21">
        <v>329.05</v>
      </c>
      <c r="F57" s="50">
        <v>91581.0</v>
      </c>
      <c r="G57" s="1" t="s">
        <v>9</v>
      </c>
    </row>
    <row r="58" ht="15.75" customHeight="1">
      <c r="A58" s="20" t="s">
        <v>308</v>
      </c>
      <c r="B58" s="22">
        <v>7506.0</v>
      </c>
      <c r="C58" s="21">
        <v>613.84</v>
      </c>
      <c r="D58" s="21">
        <v>525.56</v>
      </c>
      <c r="E58" s="21">
        <v>367.96</v>
      </c>
      <c r="F58" s="50">
        <v>73544.86</v>
      </c>
      <c r="G58" s="1" t="s">
        <v>9</v>
      </c>
    </row>
    <row r="59" ht="15.75" customHeight="1">
      <c r="A59" s="20" t="s">
        <v>309</v>
      </c>
      <c r="B59" s="22">
        <v>8205.0</v>
      </c>
      <c r="C59" s="21">
        <v>887.14</v>
      </c>
      <c r="D59" s="21">
        <v>801.51</v>
      </c>
      <c r="E59" s="21">
        <v>545.11</v>
      </c>
      <c r="F59" s="50">
        <v>104071.14</v>
      </c>
      <c r="G59" s="1" t="s">
        <v>9</v>
      </c>
    </row>
    <row r="60" ht="15.75" customHeight="1">
      <c r="A60" s="20" t="s">
        <v>310</v>
      </c>
      <c r="B60" s="22">
        <v>8281.0</v>
      </c>
      <c r="C60" s="21">
        <v>974.79</v>
      </c>
      <c r="D60" s="21">
        <v>919.51</v>
      </c>
      <c r="E60" s="21">
        <v>605.47</v>
      </c>
      <c r="F60" s="50">
        <v>117237.17</v>
      </c>
      <c r="G60" s="1" t="s">
        <v>9</v>
      </c>
    </row>
    <row r="61" ht="15.75" customHeight="1">
      <c r="A61" s="20" t="s">
        <v>311</v>
      </c>
      <c r="B61" s="22">
        <v>8134.0</v>
      </c>
      <c r="C61" s="21">
        <v>938.64</v>
      </c>
      <c r="D61" s="21">
        <v>904.06</v>
      </c>
      <c r="E61" s="21">
        <v>585.98</v>
      </c>
      <c r="F61" s="50">
        <v>104631.47</v>
      </c>
      <c r="G61" s="1" t="s">
        <v>9</v>
      </c>
    </row>
    <row r="62" ht="15.75" customHeight="1">
      <c r="A62" s="20" t="s">
        <v>312</v>
      </c>
      <c r="B62" s="22">
        <v>8653.0</v>
      </c>
      <c r="C62" s="50">
        <v>1318.81</v>
      </c>
      <c r="D62" s="50">
        <v>1290.76</v>
      </c>
      <c r="E62" s="21">
        <v>813.47</v>
      </c>
      <c r="F62" s="50">
        <v>139286.03</v>
      </c>
      <c r="G62" s="1" t="s">
        <v>9</v>
      </c>
    </row>
    <row r="63" ht="15.75" customHeight="1">
      <c r="A63" s="20" t="s">
        <v>313</v>
      </c>
      <c r="B63" s="22">
        <v>10769.0</v>
      </c>
      <c r="C63" s="50">
        <v>1260.23</v>
      </c>
      <c r="D63" s="50">
        <v>1284.98</v>
      </c>
      <c r="E63" s="21">
        <v>788.71</v>
      </c>
      <c r="F63" s="50">
        <v>135061.3</v>
      </c>
      <c r="G63" s="1" t="s">
        <v>9</v>
      </c>
    </row>
    <row r="64" ht="15.75" customHeight="1">
      <c r="A64" s="20" t="s">
        <v>314</v>
      </c>
      <c r="B64" s="22">
        <v>10133.0</v>
      </c>
      <c r="C64" s="21">
        <v>802.1</v>
      </c>
      <c r="D64" s="21">
        <v>857.56</v>
      </c>
      <c r="E64" s="21">
        <v>525.15</v>
      </c>
      <c r="F64" s="50">
        <v>85656.25</v>
      </c>
      <c r="G64" s="1" t="s">
        <v>9</v>
      </c>
    </row>
    <row r="65" ht="15.75" customHeight="1">
      <c r="A65" s="20" t="s">
        <v>315</v>
      </c>
      <c r="B65" s="22">
        <v>9660.0</v>
      </c>
      <c r="C65" s="21">
        <v>813.27</v>
      </c>
      <c r="D65" s="21">
        <v>893.77</v>
      </c>
      <c r="E65" s="21">
        <v>548.03</v>
      </c>
      <c r="F65" s="50">
        <v>87974.82</v>
      </c>
      <c r="G65" s="1" t="s">
        <v>9</v>
      </c>
    </row>
    <row r="66" ht="15.75" customHeight="1">
      <c r="A66" s="20" t="s">
        <v>316</v>
      </c>
      <c r="B66" s="22">
        <v>9463.0</v>
      </c>
      <c r="C66" s="21">
        <v>753.0</v>
      </c>
      <c r="D66" s="21">
        <v>865.33</v>
      </c>
      <c r="E66" s="21">
        <v>519.13</v>
      </c>
      <c r="F66" s="50">
        <v>82938.27</v>
      </c>
      <c r="G66" s="1" t="s">
        <v>9</v>
      </c>
    </row>
    <row r="67" ht="15.75" customHeight="1">
      <c r="A67" s="20" t="s">
        <v>317</v>
      </c>
      <c r="B67" s="22">
        <v>8533.0</v>
      </c>
      <c r="C67" s="21">
        <v>492.65</v>
      </c>
      <c r="D67" s="21">
        <v>538.4</v>
      </c>
      <c r="E67" s="21">
        <v>338.89</v>
      </c>
      <c r="F67" s="50">
        <v>58451.2</v>
      </c>
      <c r="G67" s="1" t="s">
        <v>9</v>
      </c>
    </row>
    <row r="68" ht="15.75" customHeight="1">
      <c r="A68" s="20" t="s">
        <v>318</v>
      </c>
      <c r="B68" s="22">
        <v>8421.0</v>
      </c>
      <c r="C68" s="21">
        <v>493.28</v>
      </c>
      <c r="D68" s="21">
        <v>558.54</v>
      </c>
      <c r="E68" s="21">
        <v>344.31</v>
      </c>
      <c r="F68" s="50">
        <v>60665.56</v>
      </c>
      <c r="G68" s="1" t="s">
        <v>9</v>
      </c>
    </row>
    <row r="69" ht="15.75" customHeight="1">
      <c r="A69" s="20" t="s">
        <v>319</v>
      </c>
      <c r="B69" s="22">
        <v>6973.0</v>
      </c>
      <c r="C69" s="21">
        <v>486.07</v>
      </c>
      <c r="D69" s="21">
        <v>550.69</v>
      </c>
      <c r="E69" s="21">
        <v>338.83</v>
      </c>
      <c r="F69" s="50">
        <v>59605.78</v>
      </c>
      <c r="G69" s="1" t="s">
        <v>9</v>
      </c>
    </row>
    <row r="70" ht="15.75" customHeight="1">
      <c r="A70" s="20" t="s">
        <v>320</v>
      </c>
      <c r="B70" s="22">
        <v>7285.0</v>
      </c>
      <c r="C70" s="21">
        <v>397.98</v>
      </c>
      <c r="D70" s="21">
        <v>444.09</v>
      </c>
      <c r="E70" s="21">
        <v>275.61</v>
      </c>
      <c r="F70" s="50">
        <v>49547.16</v>
      </c>
      <c r="G70" s="1" t="s">
        <v>9</v>
      </c>
    </row>
    <row r="71" ht="15.75" customHeight="1">
      <c r="A71" s="20" t="s">
        <v>321</v>
      </c>
      <c r="B71" s="22">
        <v>6833.0</v>
      </c>
      <c r="C71" s="21">
        <v>268.3</v>
      </c>
      <c r="D71" s="21">
        <v>302.43</v>
      </c>
      <c r="E71" s="21">
        <v>186.77</v>
      </c>
      <c r="F71" s="50">
        <v>35177.83</v>
      </c>
      <c r="G71" s="1" t="s">
        <v>9</v>
      </c>
    </row>
    <row r="72" ht="15.75" customHeight="1">
      <c r="A72" s="20" t="s">
        <v>322</v>
      </c>
      <c r="B72" s="22">
        <v>6901.0</v>
      </c>
      <c r="C72" s="21">
        <v>333.51</v>
      </c>
      <c r="D72" s="21">
        <v>359.48</v>
      </c>
      <c r="E72" s="21">
        <v>226.62</v>
      </c>
      <c r="F72" s="50">
        <v>42021.99</v>
      </c>
      <c r="G72" s="1" t="s">
        <v>9</v>
      </c>
    </row>
    <row r="73" ht="15.75" customHeight="1">
      <c r="A73" s="20" t="s">
        <v>323</v>
      </c>
      <c r="B73" s="22">
        <v>6766.0</v>
      </c>
      <c r="C73" s="21">
        <v>304.21</v>
      </c>
      <c r="D73" s="21">
        <v>309.14</v>
      </c>
      <c r="E73" s="21">
        <v>196.65</v>
      </c>
      <c r="F73" s="50">
        <v>36176.61</v>
      </c>
      <c r="G73" s="1" t="s">
        <v>9</v>
      </c>
    </row>
    <row r="74" ht="15.75" customHeight="1">
      <c r="A74" s="20" t="s">
        <v>324</v>
      </c>
      <c r="B74" s="22">
        <v>6960.0</v>
      </c>
      <c r="C74" s="21">
        <v>338.48</v>
      </c>
      <c r="D74" s="21">
        <v>334.76</v>
      </c>
      <c r="E74" s="21">
        <v>215.02</v>
      </c>
      <c r="F74" s="50">
        <v>41297.43</v>
      </c>
      <c r="G74" s="1" t="s">
        <v>9</v>
      </c>
    </row>
    <row r="75" ht="15.75" customHeight="1">
      <c r="A75" s="20" t="s">
        <v>325</v>
      </c>
      <c r="B75" s="22">
        <v>6977.0</v>
      </c>
      <c r="C75" s="21">
        <v>290.94</v>
      </c>
      <c r="D75" s="21">
        <v>266.25</v>
      </c>
      <c r="E75" s="21">
        <v>179.75</v>
      </c>
      <c r="F75" s="50">
        <v>34197.13</v>
      </c>
      <c r="G75" s="1" t="s">
        <v>9</v>
      </c>
    </row>
    <row r="76" ht="15.75" customHeight="1">
      <c r="A76" s="20" t="s">
        <v>326</v>
      </c>
      <c r="B76" s="22">
        <v>7165.0</v>
      </c>
      <c r="C76" s="21">
        <v>357.85</v>
      </c>
      <c r="D76" s="21">
        <v>314.95</v>
      </c>
      <c r="E76" s="21">
        <v>220.67</v>
      </c>
      <c r="F76" s="50">
        <v>42046.28</v>
      </c>
      <c r="G76" s="1" t="s">
        <v>9</v>
      </c>
    </row>
    <row r="77" ht="15.75" customHeight="1">
      <c r="A77" s="20" t="s">
        <v>327</v>
      </c>
      <c r="B77" s="22">
        <v>7493.0</v>
      </c>
      <c r="C77" s="21">
        <v>334.15</v>
      </c>
      <c r="D77" s="21">
        <v>294.71</v>
      </c>
      <c r="E77" s="21">
        <v>205.15</v>
      </c>
      <c r="F77" s="50">
        <v>38688.71</v>
      </c>
      <c r="G77" s="1" t="s">
        <v>9</v>
      </c>
    </row>
    <row r="78" ht="15.75" customHeight="1">
      <c r="A78" s="20" t="s">
        <v>328</v>
      </c>
      <c r="B78" s="22">
        <v>8136.0</v>
      </c>
      <c r="C78" s="21">
        <v>431.04</v>
      </c>
      <c r="D78" s="21">
        <v>364.2</v>
      </c>
      <c r="E78" s="21">
        <v>253.35</v>
      </c>
      <c r="F78" s="50">
        <v>46917.89</v>
      </c>
      <c r="G78" s="1" t="s">
        <v>9</v>
      </c>
    </row>
    <row r="79" ht="15.75" customHeight="1">
      <c r="A79" s="20" t="s">
        <v>329</v>
      </c>
      <c r="B79" s="22">
        <v>8435.0</v>
      </c>
      <c r="C79" s="21">
        <v>560.6</v>
      </c>
      <c r="D79" s="21">
        <v>449.67</v>
      </c>
      <c r="E79" s="21">
        <v>305.07</v>
      </c>
      <c r="F79" s="50">
        <v>60248.65</v>
      </c>
      <c r="G79" s="1" t="s">
        <v>9</v>
      </c>
    </row>
    <row r="80" ht="15.75" customHeight="1">
      <c r="A80" s="20" t="s">
        <v>330</v>
      </c>
      <c r="B80" s="22">
        <v>8004.0</v>
      </c>
      <c r="C80" s="21">
        <v>414.38</v>
      </c>
      <c r="D80" s="21">
        <v>342.72</v>
      </c>
      <c r="E80" s="21">
        <v>229.22</v>
      </c>
      <c r="F80" s="50">
        <v>45443.06</v>
      </c>
      <c r="G80" s="1" t="s">
        <v>9</v>
      </c>
    </row>
    <row r="81" ht="15.75" customHeight="1">
      <c r="A81" s="20" t="s">
        <v>331</v>
      </c>
      <c r="B81" s="22">
        <v>8055.0</v>
      </c>
      <c r="C81" s="21">
        <v>483.52</v>
      </c>
      <c r="D81" s="21">
        <v>392.24</v>
      </c>
      <c r="E81" s="21">
        <v>264.44</v>
      </c>
      <c r="F81" s="50">
        <v>52823.54</v>
      </c>
      <c r="G81" s="1" t="s">
        <v>9</v>
      </c>
    </row>
    <row r="82" ht="15.75" customHeight="1">
      <c r="A82" s="20" t="s">
        <v>332</v>
      </c>
      <c r="B82" s="22">
        <v>8658.0</v>
      </c>
      <c r="C82" s="21">
        <v>688.92</v>
      </c>
      <c r="D82" s="21">
        <v>529.88</v>
      </c>
      <c r="E82" s="21">
        <v>367.35</v>
      </c>
      <c r="F82" s="50">
        <v>73050.89</v>
      </c>
      <c r="G82" s="1" t="s">
        <v>9</v>
      </c>
    </row>
    <row r="83" ht="15.75" customHeight="1">
      <c r="A83" s="20" t="s">
        <v>333</v>
      </c>
      <c r="B83" s="22">
        <v>8722.0</v>
      </c>
      <c r="C83" s="21">
        <v>584.56</v>
      </c>
      <c r="D83" s="21">
        <v>447.5</v>
      </c>
      <c r="E83" s="21">
        <v>310.25</v>
      </c>
      <c r="F83" s="50">
        <v>61477.9</v>
      </c>
      <c r="G83" s="1" t="s">
        <v>9</v>
      </c>
    </row>
    <row r="84" ht="15.75" customHeight="1">
      <c r="A84" s="20" t="s">
        <v>334</v>
      </c>
      <c r="B84" s="22">
        <v>8776.0</v>
      </c>
      <c r="C84" s="21">
        <v>751.12</v>
      </c>
      <c r="D84" s="21">
        <v>598.52</v>
      </c>
      <c r="E84" s="21">
        <v>407.26</v>
      </c>
      <c r="F84" s="50">
        <v>81492.75</v>
      </c>
      <c r="G84" s="1" t="s">
        <v>9</v>
      </c>
    </row>
    <row r="85" ht="15.75" customHeight="1">
      <c r="A85" s="20" t="s">
        <v>335</v>
      </c>
      <c r="B85" s="22">
        <v>9121.0</v>
      </c>
      <c r="C85" s="21">
        <v>647.5</v>
      </c>
      <c r="D85" s="21">
        <v>528.78</v>
      </c>
      <c r="E85" s="21">
        <v>360.9</v>
      </c>
      <c r="F85" s="50">
        <v>72672.43</v>
      </c>
      <c r="G85" s="1" t="s">
        <v>9</v>
      </c>
    </row>
    <row r="86" ht="15.75" customHeight="1">
      <c r="A86" s="20" t="s">
        <v>336</v>
      </c>
      <c r="B86" s="22">
        <v>9587.0</v>
      </c>
      <c r="C86" s="21">
        <v>817.51</v>
      </c>
      <c r="D86" s="21">
        <v>679.64</v>
      </c>
      <c r="E86" s="21">
        <v>462.4</v>
      </c>
      <c r="F86" s="50">
        <v>95874.06</v>
      </c>
      <c r="G86" s="1" t="s">
        <v>9</v>
      </c>
    </row>
    <row r="87" ht="15.75" customHeight="1">
      <c r="A87" s="20" t="s">
        <v>337</v>
      </c>
      <c r="B87" s="22">
        <v>10022.0</v>
      </c>
      <c r="C87" s="50">
        <v>1109.61</v>
      </c>
      <c r="D87" s="21">
        <v>900.37</v>
      </c>
      <c r="E87" s="21">
        <v>617.86</v>
      </c>
      <c r="F87" s="50">
        <v>129683.35</v>
      </c>
      <c r="G87" s="1" t="s">
        <v>9</v>
      </c>
    </row>
    <row r="88" ht="15.75" customHeight="1">
      <c r="A88" s="20" t="s">
        <v>338</v>
      </c>
      <c r="B88" s="22">
        <v>10319.0</v>
      </c>
      <c r="C88" s="21">
        <v>954.91</v>
      </c>
      <c r="D88" s="21">
        <v>755.41</v>
      </c>
      <c r="E88" s="21">
        <v>521.11</v>
      </c>
      <c r="F88" s="50">
        <v>109223.46</v>
      </c>
      <c r="G88" s="1" t="s">
        <v>9</v>
      </c>
    </row>
    <row r="89" ht="15.75" customHeight="1">
      <c r="A89" s="20" t="s">
        <v>339</v>
      </c>
      <c r="B89" s="22">
        <v>10260.0</v>
      </c>
      <c r="C89" s="21">
        <v>753.61</v>
      </c>
      <c r="D89" s="21">
        <v>590.36</v>
      </c>
      <c r="E89" s="21">
        <v>400.96</v>
      </c>
      <c r="F89" s="50">
        <v>87839.48</v>
      </c>
      <c r="G89" s="1" t="s">
        <v>9</v>
      </c>
    </row>
    <row r="90" ht="15.75" customHeight="1">
      <c r="A90" s="20" t="s">
        <v>340</v>
      </c>
      <c r="B90" s="22">
        <v>11083.0</v>
      </c>
      <c r="C90" s="50">
        <v>1243.07</v>
      </c>
      <c r="D90" s="21">
        <v>962.21</v>
      </c>
      <c r="E90" s="21">
        <v>648.53</v>
      </c>
      <c r="F90" s="50">
        <v>146322.01</v>
      </c>
      <c r="G90" s="1" t="s">
        <v>9</v>
      </c>
    </row>
    <row r="91" ht="15.75" customHeight="1">
      <c r="A91" s="20" t="s">
        <v>341</v>
      </c>
      <c r="B91" s="22">
        <v>11527.0</v>
      </c>
      <c r="C91" s="50">
        <v>1221.06</v>
      </c>
      <c r="D91" s="21">
        <v>922.81</v>
      </c>
      <c r="E91" s="21">
        <v>622.8</v>
      </c>
      <c r="F91" s="50">
        <v>145716.28</v>
      </c>
      <c r="G91" s="1" t="s">
        <v>9</v>
      </c>
    </row>
    <row r="92" ht="15.75" customHeight="1">
      <c r="A92" s="20" t="s">
        <v>342</v>
      </c>
      <c r="B92" s="22">
        <v>12185.0</v>
      </c>
      <c r="C92" s="50">
        <v>1564.1</v>
      </c>
      <c r="D92" s="50">
        <v>1154.85</v>
      </c>
      <c r="E92" s="21">
        <v>787.81</v>
      </c>
      <c r="F92" s="50">
        <v>187818.22</v>
      </c>
      <c r="G92" s="1" t="s">
        <v>9</v>
      </c>
    </row>
    <row r="93" ht="15.75" customHeight="1">
      <c r="A93" s="20" t="s">
        <v>343</v>
      </c>
      <c r="B93" s="22">
        <v>11919.0</v>
      </c>
      <c r="C93" s="50">
        <v>1073.93</v>
      </c>
      <c r="D93" s="21">
        <v>764.27</v>
      </c>
      <c r="E93" s="21">
        <v>532.39</v>
      </c>
      <c r="F93" s="50">
        <v>124314.15</v>
      </c>
      <c r="G93" s="1" t="s">
        <v>9</v>
      </c>
    </row>
    <row r="94" ht="15.75" customHeight="1">
      <c r="A94" s="20" t="s">
        <v>344</v>
      </c>
      <c r="B94" s="22">
        <v>12224.0</v>
      </c>
      <c r="C94" s="50">
        <v>1099.26</v>
      </c>
      <c r="D94" s="21">
        <v>756.64</v>
      </c>
      <c r="E94" s="21">
        <v>543.97</v>
      </c>
      <c r="F94" s="50">
        <v>122163.51</v>
      </c>
      <c r="G94" s="1" t="s">
        <v>9</v>
      </c>
    </row>
    <row r="95" ht="15.75" customHeight="1">
      <c r="A95" s="20" t="s">
        <v>345</v>
      </c>
      <c r="B95" s="22">
        <v>11395.0</v>
      </c>
      <c r="C95" s="21">
        <v>649.21</v>
      </c>
      <c r="D95" s="21">
        <v>431.96</v>
      </c>
      <c r="E95" s="21">
        <v>328.56</v>
      </c>
      <c r="F95" s="50">
        <v>67777.56</v>
      </c>
      <c r="G95" s="1" t="s">
        <v>9</v>
      </c>
    </row>
    <row r="96" ht="15.75" customHeight="1">
      <c r="A96" s="20" t="s">
        <v>346</v>
      </c>
      <c r="B96" s="22">
        <v>11880.0</v>
      </c>
      <c r="C96" s="21">
        <v>982.52</v>
      </c>
      <c r="D96" s="21">
        <v>641.51</v>
      </c>
      <c r="E96" s="21">
        <v>504.55</v>
      </c>
      <c r="F96" s="50">
        <v>102405.05</v>
      </c>
      <c r="G96" s="1" t="s">
        <v>9</v>
      </c>
    </row>
    <row r="97" ht="15.75" customHeight="1">
      <c r="A97" s="20" t="s">
        <v>347</v>
      </c>
      <c r="B97" s="22">
        <v>11365.0</v>
      </c>
      <c r="C97" s="21">
        <v>884.52</v>
      </c>
      <c r="D97" s="21">
        <v>596.24</v>
      </c>
      <c r="E97" s="21">
        <v>478.23</v>
      </c>
      <c r="F97" s="50">
        <v>93109.59</v>
      </c>
      <c r="G97" s="1" t="s">
        <v>9</v>
      </c>
    </row>
    <row r="98" ht="15.75" customHeight="1">
      <c r="A98" s="20" t="s">
        <v>348</v>
      </c>
      <c r="B98" s="22">
        <v>11138.0</v>
      </c>
      <c r="C98" s="21">
        <v>578.2</v>
      </c>
      <c r="D98" s="21">
        <v>433.91</v>
      </c>
      <c r="E98" s="21">
        <v>357.9</v>
      </c>
      <c r="F98" s="50">
        <v>56094.94</v>
      </c>
      <c r="G98" s="1" t="s">
        <v>9</v>
      </c>
    </row>
    <row r="99" ht="15.75" customHeight="1">
      <c r="A99" s="20" t="s">
        <v>349</v>
      </c>
      <c r="B99" s="22">
        <v>9662.0</v>
      </c>
      <c r="C99" s="21">
        <v>587.18</v>
      </c>
      <c r="D99" s="21">
        <v>444.56</v>
      </c>
      <c r="E99" s="21">
        <v>402.33</v>
      </c>
      <c r="F99" s="50">
        <v>54872.69</v>
      </c>
      <c r="G99" s="1" t="s">
        <v>9</v>
      </c>
    </row>
    <row r="100" ht="15.75" customHeight="1">
      <c r="A100" s="20" t="s">
        <v>350</v>
      </c>
      <c r="B100" s="22">
        <v>10006.0</v>
      </c>
      <c r="C100" s="21">
        <v>557.91</v>
      </c>
      <c r="D100" s="21">
        <v>404.76</v>
      </c>
      <c r="E100" s="21">
        <v>354.5</v>
      </c>
      <c r="F100" s="50">
        <v>53821.72</v>
      </c>
      <c r="G100" s="1" t="s">
        <v>9</v>
      </c>
    </row>
    <row r="101" ht="15.75" customHeight="1">
      <c r="A101" s="20" t="s">
        <v>351</v>
      </c>
      <c r="B101" s="22">
        <v>10251.0</v>
      </c>
      <c r="C101" s="21">
        <v>446.34</v>
      </c>
      <c r="D101" s="21">
        <v>313.81</v>
      </c>
      <c r="E101" s="21">
        <v>275.38</v>
      </c>
      <c r="F101" s="50">
        <v>41077.59</v>
      </c>
      <c r="G101" s="1" t="s">
        <v>9</v>
      </c>
    </row>
    <row r="102" ht="15.75" customHeight="1">
      <c r="A102" s="20" t="s">
        <v>352</v>
      </c>
      <c r="B102" s="22">
        <v>11388.0</v>
      </c>
      <c r="C102" s="21">
        <v>602.79</v>
      </c>
      <c r="D102" s="21">
        <v>414.51</v>
      </c>
      <c r="E102" s="21">
        <v>371.49</v>
      </c>
      <c r="F102" s="50">
        <v>54087.68</v>
      </c>
      <c r="G102" s="1" t="s">
        <v>9</v>
      </c>
    </row>
    <row r="103" ht="15.75" customHeight="1">
      <c r="A103" s="20" t="s">
        <v>353</v>
      </c>
      <c r="B103" s="22">
        <v>10393.0</v>
      </c>
      <c r="C103" s="21">
        <v>574.94</v>
      </c>
      <c r="D103" s="21">
        <v>420.48</v>
      </c>
      <c r="E103" s="21">
        <v>371.36</v>
      </c>
      <c r="F103" s="50">
        <v>51783.7</v>
      </c>
      <c r="G103" s="1" t="s">
        <v>9</v>
      </c>
    </row>
    <row r="104" ht="15.75" customHeight="1">
      <c r="A104" s="20" t="s">
        <v>354</v>
      </c>
      <c r="B104" s="22">
        <v>10764.0</v>
      </c>
      <c r="C104" s="21">
        <v>598.36</v>
      </c>
      <c r="D104" s="21">
        <v>467.0</v>
      </c>
      <c r="E104" s="21">
        <v>397.98</v>
      </c>
      <c r="F104" s="50">
        <v>54325.37</v>
      </c>
      <c r="G104" s="1" t="s">
        <v>9</v>
      </c>
    </row>
    <row r="105" ht="15.75" customHeight="1">
      <c r="A105" s="20" t="s">
        <v>355</v>
      </c>
      <c r="B105" s="22">
        <v>10736.0</v>
      </c>
      <c r="C105" s="21">
        <v>808.87</v>
      </c>
      <c r="D105" s="21">
        <v>618.79</v>
      </c>
      <c r="E105" s="21">
        <v>519.36</v>
      </c>
      <c r="F105" s="50">
        <v>68848.05</v>
      </c>
      <c r="G105" s="1" t="s">
        <v>9</v>
      </c>
    </row>
    <row r="106" ht="15.75" customHeight="1">
      <c r="A106" s="20" t="s">
        <v>356</v>
      </c>
      <c r="B106" s="22">
        <v>12048.0</v>
      </c>
      <c r="C106" s="21">
        <v>768.24</v>
      </c>
      <c r="D106" s="21">
        <v>566.61</v>
      </c>
      <c r="E106" s="21">
        <v>485.92</v>
      </c>
      <c r="F106" s="50">
        <v>63598.06</v>
      </c>
      <c r="G106" s="1" t="s">
        <v>9</v>
      </c>
    </row>
    <row r="107" ht="15.75" customHeight="1">
      <c r="A107" s="20" t="s">
        <v>357</v>
      </c>
      <c r="B107" s="22">
        <v>11002.0</v>
      </c>
      <c r="C107" s="21">
        <v>778.87</v>
      </c>
      <c r="D107" s="21">
        <v>567.84</v>
      </c>
      <c r="E107" s="21">
        <v>485.39</v>
      </c>
      <c r="F107" s="50">
        <v>63932.95</v>
      </c>
      <c r="G107" s="1" t="s">
        <v>9</v>
      </c>
    </row>
    <row r="108" ht="15.75" customHeight="1">
      <c r="A108" s="20" t="s">
        <v>358</v>
      </c>
      <c r="B108" s="22">
        <v>11046.0</v>
      </c>
      <c r="C108" s="21">
        <v>679.32</v>
      </c>
      <c r="D108" s="21">
        <v>475.97</v>
      </c>
      <c r="E108" s="21">
        <v>418.87</v>
      </c>
      <c r="F108" s="50">
        <v>55184.23</v>
      </c>
      <c r="G108" s="1" t="s">
        <v>9</v>
      </c>
    </row>
    <row r="109" ht="15.75" customHeight="1">
      <c r="A109" s="20" t="s">
        <v>359</v>
      </c>
      <c r="B109" s="22">
        <v>10276.0</v>
      </c>
      <c r="C109" s="21">
        <v>603.51</v>
      </c>
      <c r="D109" s="21">
        <v>428.8</v>
      </c>
      <c r="E109" s="21">
        <v>374.96</v>
      </c>
      <c r="F109" s="50">
        <v>47072.58</v>
      </c>
      <c r="G109" s="1" t="s">
        <v>9</v>
      </c>
    </row>
    <row r="110" ht="15.75" customHeight="1">
      <c r="A110" s="20" t="s">
        <v>360</v>
      </c>
      <c r="B110" s="22">
        <v>10812.0</v>
      </c>
      <c r="C110" s="21">
        <v>607.08</v>
      </c>
      <c r="D110" s="21">
        <v>450.84</v>
      </c>
      <c r="E110" s="21">
        <v>385.65</v>
      </c>
      <c r="F110" s="50">
        <v>47667.86</v>
      </c>
      <c r="G110" s="1" t="s">
        <v>9</v>
      </c>
    </row>
    <row r="111" ht="15.75" customHeight="1">
      <c r="A111" s="20" t="s">
        <v>361</v>
      </c>
      <c r="B111" s="22">
        <v>9882.0</v>
      </c>
      <c r="C111" s="21">
        <v>504.18</v>
      </c>
      <c r="D111" s="21">
        <v>384.26</v>
      </c>
      <c r="E111" s="21">
        <v>319.37</v>
      </c>
      <c r="F111" s="50">
        <v>40278.5</v>
      </c>
      <c r="G111" s="1" t="s">
        <v>9</v>
      </c>
    </row>
    <row r="112" ht="15.75" customHeight="1">
      <c r="A112" s="20" t="s">
        <v>362</v>
      </c>
      <c r="B112" s="22">
        <v>10013.0</v>
      </c>
      <c r="C112" s="21">
        <v>675.54</v>
      </c>
      <c r="D112" s="21">
        <v>524.45</v>
      </c>
      <c r="E112" s="21">
        <v>425.89</v>
      </c>
      <c r="F112" s="50">
        <v>54917.33</v>
      </c>
      <c r="G112" s="1" t="s">
        <v>9</v>
      </c>
    </row>
    <row r="113" ht="15.75" customHeight="1">
      <c r="A113" s="20" t="s">
        <v>363</v>
      </c>
      <c r="B113" s="22">
        <v>9626.0</v>
      </c>
      <c r="C113" s="21">
        <v>552.45</v>
      </c>
      <c r="D113" s="21">
        <v>437.76</v>
      </c>
      <c r="E113" s="21">
        <v>350.22</v>
      </c>
      <c r="F113" s="50">
        <v>44520.54</v>
      </c>
      <c r="G113" s="1" t="s">
        <v>9</v>
      </c>
    </row>
    <row r="114" ht="15.75" customHeight="1">
      <c r="A114" s="20" t="s">
        <v>364</v>
      </c>
      <c r="B114" s="22">
        <v>11246.0</v>
      </c>
      <c r="C114" s="21">
        <v>800.64</v>
      </c>
      <c r="D114" s="21">
        <v>614.88</v>
      </c>
      <c r="E114" s="21">
        <v>500.69</v>
      </c>
      <c r="F114" s="50">
        <v>67137.6</v>
      </c>
      <c r="G114" s="1" t="s">
        <v>9</v>
      </c>
    </row>
    <row r="115" ht="15.75" customHeight="1">
      <c r="A115" s="20" t="s">
        <v>365</v>
      </c>
      <c r="B115" s="22">
        <v>9368.0</v>
      </c>
      <c r="C115" s="21">
        <v>542.54</v>
      </c>
      <c r="D115" s="21">
        <v>410.96</v>
      </c>
      <c r="E115" s="21">
        <v>348.52</v>
      </c>
      <c r="F115" s="50">
        <v>51129.36</v>
      </c>
      <c r="G115" s="1" t="s">
        <v>9</v>
      </c>
    </row>
    <row r="116" ht="15.75" customHeight="1">
      <c r="A116" s="20" t="s">
        <v>366</v>
      </c>
      <c r="B116" s="22">
        <v>9333.0</v>
      </c>
      <c r="C116" s="21">
        <v>575.82</v>
      </c>
      <c r="D116" s="21">
        <v>439.76</v>
      </c>
      <c r="E116" s="21">
        <v>372.1</v>
      </c>
      <c r="F116" s="50">
        <v>57184.28</v>
      </c>
      <c r="G116" s="1" t="s">
        <v>9</v>
      </c>
    </row>
    <row r="117" ht="15.75" customHeight="1">
      <c r="A117" s="20" t="s">
        <v>367</v>
      </c>
      <c r="B117" s="22">
        <v>9656.0</v>
      </c>
      <c r="C117" s="21">
        <v>736.58</v>
      </c>
      <c r="D117" s="21">
        <v>556.96</v>
      </c>
      <c r="E117" s="21">
        <v>474.85</v>
      </c>
      <c r="F117" s="50">
        <v>73143.92</v>
      </c>
      <c r="G117" s="1" t="s">
        <v>9</v>
      </c>
    </row>
    <row r="118" ht="15.75" customHeight="1">
      <c r="A118" s="20" t="s">
        <v>368</v>
      </c>
      <c r="B118" s="22">
        <v>10558.0</v>
      </c>
      <c r="C118" s="21">
        <v>682.13</v>
      </c>
      <c r="D118" s="21">
        <v>502.56</v>
      </c>
      <c r="E118" s="21">
        <v>421.45</v>
      </c>
      <c r="F118" s="50">
        <v>69120.92</v>
      </c>
      <c r="G118" s="1" t="s">
        <v>9</v>
      </c>
    </row>
    <row r="119" ht="15.75" customHeight="1">
      <c r="A119" s="20" t="s">
        <v>369</v>
      </c>
      <c r="B119" s="22">
        <v>9626.0</v>
      </c>
      <c r="C119" s="21">
        <v>785.66</v>
      </c>
      <c r="D119" s="21">
        <v>579.1</v>
      </c>
      <c r="E119" s="21">
        <v>479.02</v>
      </c>
      <c r="F119" s="50">
        <v>81723.47</v>
      </c>
      <c r="G119" s="1" t="s">
        <v>9</v>
      </c>
    </row>
    <row r="120" ht="15.75" customHeight="1">
      <c r="A120" s="20" t="s">
        <v>370</v>
      </c>
      <c r="B120" s="22">
        <v>10706.0</v>
      </c>
      <c r="C120" s="50">
        <v>1181.48</v>
      </c>
      <c r="D120" s="21">
        <v>871.36</v>
      </c>
      <c r="E120" s="21">
        <v>705.65</v>
      </c>
      <c r="F120" s="50">
        <v>121677.17</v>
      </c>
      <c r="G120" s="1" t="s">
        <v>9</v>
      </c>
    </row>
    <row r="121" ht="15.75" customHeight="1">
      <c r="A121" s="20" t="s">
        <v>371</v>
      </c>
      <c r="B121" s="22">
        <v>10832.0</v>
      </c>
      <c r="C121" s="50">
        <v>1022.78</v>
      </c>
      <c r="D121" s="21">
        <v>774.51</v>
      </c>
      <c r="E121" s="21">
        <v>615.12</v>
      </c>
      <c r="F121" s="50">
        <v>108778.91</v>
      </c>
      <c r="G121" s="1" t="s">
        <v>9</v>
      </c>
    </row>
    <row r="122" ht="15.75" customHeight="1">
      <c r="A122" s="20" t="s">
        <v>372</v>
      </c>
      <c r="B122" s="22">
        <v>12018.0</v>
      </c>
      <c r="C122" s="21">
        <v>970.34</v>
      </c>
      <c r="D122" s="21">
        <v>781.01</v>
      </c>
      <c r="E122" s="21">
        <v>613.52</v>
      </c>
      <c r="F122" s="50">
        <v>112674.31</v>
      </c>
      <c r="G122" s="1" t="s">
        <v>9</v>
      </c>
    </row>
    <row r="123" ht="15.75" customHeight="1">
      <c r="A123" s="20" t="s">
        <v>373</v>
      </c>
      <c r="B123" s="22">
        <v>10658.0</v>
      </c>
      <c r="C123" s="21">
        <v>890.9</v>
      </c>
      <c r="D123" s="21">
        <v>788.33</v>
      </c>
      <c r="E123" s="21">
        <v>586.07</v>
      </c>
      <c r="F123" s="50">
        <v>106487.24</v>
      </c>
      <c r="G123" s="1" t="s">
        <v>9</v>
      </c>
    </row>
    <row r="124" ht="15.75" customHeight="1">
      <c r="A124" s="20" t="s">
        <v>374</v>
      </c>
      <c r="B124" s="22">
        <v>12286.0</v>
      </c>
      <c r="C124" s="50">
        <v>1275.3</v>
      </c>
      <c r="D124" s="50">
        <v>1152.38</v>
      </c>
      <c r="E124" s="21">
        <v>832.77</v>
      </c>
      <c r="F124" s="50">
        <v>154751.95</v>
      </c>
      <c r="G124" s="1" t="s">
        <v>9</v>
      </c>
    </row>
    <row r="125" ht="15.75" customHeight="1">
      <c r="A125" s="20" t="s">
        <v>375</v>
      </c>
      <c r="B125" s="22">
        <v>11922.0</v>
      </c>
      <c r="C125" s="50">
        <v>1206.69</v>
      </c>
      <c r="D125" s="50">
        <v>1087.89</v>
      </c>
      <c r="E125" s="21">
        <v>798.13</v>
      </c>
      <c r="F125" s="50">
        <v>144964.61</v>
      </c>
      <c r="G125" s="1" t="s">
        <v>9</v>
      </c>
    </row>
    <row r="126" ht="15.75" customHeight="1">
      <c r="A126" s="20" t="s">
        <v>376</v>
      </c>
      <c r="B126" s="22">
        <v>12518.0</v>
      </c>
      <c r="C126" s="50">
        <v>1403.98</v>
      </c>
      <c r="D126" s="50">
        <v>1267.0</v>
      </c>
      <c r="E126" s="21">
        <v>928.53</v>
      </c>
      <c r="F126" s="50">
        <v>169056.5</v>
      </c>
      <c r="G126" s="1" t="s">
        <v>9</v>
      </c>
    </row>
    <row r="127" ht="15.75" customHeight="1">
      <c r="A127" s="20" t="s">
        <v>377</v>
      </c>
      <c r="B127" s="22">
        <v>11776.0</v>
      </c>
      <c r="C127" s="21">
        <v>850.57</v>
      </c>
      <c r="D127" s="21">
        <v>768.04</v>
      </c>
      <c r="E127" s="21">
        <v>594.85</v>
      </c>
      <c r="F127" s="50">
        <v>97368.56</v>
      </c>
      <c r="G127" s="1" t="s">
        <v>9</v>
      </c>
    </row>
    <row r="128" ht="15.75" customHeight="1">
      <c r="A128" s="20" t="s">
        <v>378</v>
      </c>
      <c r="B128" s="22">
        <v>12612.0</v>
      </c>
      <c r="C128" s="21">
        <v>885.63</v>
      </c>
      <c r="D128" s="21">
        <v>786.66</v>
      </c>
      <c r="E128" s="21">
        <v>622.5</v>
      </c>
      <c r="F128" s="50">
        <v>95128.9</v>
      </c>
      <c r="G128" s="1" t="s">
        <v>9</v>
      </c>
    </row>
    <row r="129" ht="15.75" customHeight="1">
      <c r="A129" s="20" t="s">
        <v>379</v>
      </c>
      <c r="B129" s="22">
        <v>11681.0</v>
      </c>
      <c r="C129" s="21">
        <v>801.71</v>
      </c>
      <c r="D129" s="21">
        <v>721.69</v>
      </c>
      <c r="E129" s="21">
        <v>610.52</v>
      </c>
      <c r="F129" s="50">
        <v>83263.46</v>
      </c>
      <c r="G129" s="1" t="s">
        <v>9</v>
      </c>
    </row>
    <row r="130" ht="15.75" customHeight="1">
      <c r="A130" s="20" t="s">
        <v>380</v>
      </c>
      <c r="B130" s="22">
        <v>13229.0</v>
      </c>
      <c r="C130" s="50">
        <v>1111.44</v>
      </c>
      <c r="D130" s="50">
        <v>1020.13</v>
      </c>
      <c r="E130" s="21">
        <v>884.73</v>
      </c>
      <c r="F130" s="50">
        <v>121160.74</v>
      </c>
      <c r="G130" s="1" t="s">
        <v>9</v>
      </c>
    </row>
    <row r="131" ht="15.75" customHeight="1">
      <c r="A131" s="20" t="s">
        <v>381</v>
      </c>
      <c r="B131" s="22">
        <v>12834.0</v>
      </c>
      <c r="C131" s="21">
        <v>922.17</v>
      </c>
      <c r="D131" s="21">
        <v>858.83</v>
      </c>
      <c r="E131" s="21">
        <v>740.0</v>
      </c>
      <c r="F131" s="50">
        <v>104427.25</v>
      </c>
      <c r="G131" s="1" t="s">
        <v>9</v>
      </c>
    </row>
    <row r="132" ht="15.75" customHeight="1">
      <c r="A132" s="20" t="s">
        <v>382</v>
      </c>
      <c r="B132" s="22">
        <v>13222.0</v>
      </c>
      <c r="C132" s="21">
        <v>807.31</v>
      </c>
      <c r="D132" s="21">
        <v>732.07</v>
      </c>
      <c r="E132" s="21">
        <v>630.15</v>
      </c>
      <c r="F132" s="50">
        <v>89811.18</v>
      </c>
      <c r="G132" s="1" t="s">
        <v>9</v>
      </c>
    </row>
    <row r="133" ht="15.75" customHeight="1">
      <c r="A133" s="20" t="s">
        <v>383</v>
      </c>
      <c r="B133" s="22">
        <v>12846.0</v>
      </c>
      <c r="C133" s="50">
        <v>880.24</v>
      </c>
      <c r="D133" s="21">
        <v>752.58</v>
      </c>
      <c r="E133" s="21">
        <v>672.14</v>
      </c>
      <c r="F133" s="50">
        <v>97679.4</v>
      </c>
      <c r="G133" s="1" t="s">
        <v>9</v>
      </c>
    </row>
    <row r="134" ht="15.75" customHeight="1">
      <c r="A134" s="20" t="s">
        <v>384</v>
      </c>
      <c r="B134" s="22">
        <v>13765.0</v>
      </c>
      <c r="C134" s="50">
        <v>1161.98</v>
      </c>
      <c r="D134" s="21">
        <v>991.52</v>
      </c>
      <c r="E134" s="21">
        <v>877.39</v>
      </c>
      <c r="F134" s="50">
        <v>130703.49</v>
      </c>
      <c r="G134" s="1" t="s">
        <v>9</v>
      </c>
    </row>
    <row r="135" ht="15.75" customHeight="1">
      <c r="A135" s="51"/>
      <c r="B135" s="29"/>
      <c r="C135" s="52"/>
      <c r="D135" s="28"/>
      <c r="E135" s="28"/>
      <c r="F135" s="52"/>
      <c r="G135" s="31"/>
    </row>
    <row r="136" ht="15.75" customHeight="1">
      <c r="A136" s="20" t="s">
        <v>385</v>
      </c>
      <c r="B136" s="22">
        <f>SUM(Monthly!B400:B402)</f>
        <v>14492</v>
      </c>
      <c r="C136" s="22">
        <f>SUM(Monthly!C400:C402)</f>
        <v>1040.6</v>
      </c>
      <c r="D136" s="22">
        <f>SUM(Monthly!D400:D402)</f>
        <v>846.543466</v>
      </c>
      <c r="E136" s="22">
        <f>SUM(Monthly!E400:E402)</f>
        <v>689.8470162</v>
      </c>
      <c r="F136" s="22">
        <f>SUM(Monthly!F400:F402)</f>
        <v>93349.18537</v>
      </c>
      <c r="G136" s="1" t="s">
        <v>43</v>
      </c>
    </row>
    <row r="137" ht="15.75" customHeight="1">
      <c r="A137" s="20" t="s">
        <v>386</v>
      </c>
      <c r="B137" s="22">
        <f>SUM(Monthly!B403:B405)</f>
        <v>13634</v>
      </c>
      <c r="C137" s="22">
        <f>SUM(Monthly!C403:C405)</f>
        <v>1258.42</v>
      </c>
      <c r="D137" s="22">
        <f>SUM(Monthly!D403:D405)</f>
        <v>1052.978797</v>
      </c>
      <c r="E137" s="22">
        <f>SUM(Monthly!E403:E405)</f>
        <v>921.2833172</v>
      </c>
      <c r="F137" s="22">
        <f>SUM(Monthly!F403:F405)</f>
        <v>136919.4621</v>
      </c>
      <c r="G137" s="1" t="s">
        <v>43</v>
      </c>
    </row>
    <row r="138" ht="15.75" customHeight="1">
      <c r="A138" s="20" t="s">
        <v>387</v>
      </c>
      <c r="B138" s="22">
        <f>SUM(Monthly!B406:B408)</f>
        <v>13551</v>
      </c>
      <c r="C138" s="22">
        <f>SUM(Monthly!C406:C408)</f>
        <v>806.5</v>
      </c>
      <c r="D138" s="22">
        <f>SUM(Monthly!D406:D408)</f>
        <v>693.416406</v>
      </c>
      <c r="E138" s="22">
        <f>SUM(Monthly!E406:E408)</f>
        <v>586.730652</v>
      </c>
      <c r="F138" s="22">
        <f>SUM(Monthly!F406:F408)</f>
        <v>78550.33065</v>
      </c>
      <c r="G138" s="1" t="s">
        <v>43</v>
      </c>
    </row>
    <row r="139" ht="15.75" customHeight="1">
      <c r="A139" s="20" t="s">
        <v>388</v>
      </c>
      <c r="B139" s="22">
        <f>SUM(Monthly!B409:B411)</f>
        <v>14705</v>
      </c>
      <c r="C139" s="22">
        <f>SUM(Monthly!C409:C411)</f>
        <v>833.7529323</v>
      </c>
      <c r="D139" s="22">
        <f>SUM(Monthly!D409:D411)</f>
        <v>729.6343298</v>
      </c>
      <c r="E139" s="22">
        <f>SUM(Monthly!E409:E411)</f>
        <v>647.3840771</v>
      </c>
      <c r="F139" s="22">
        <f>SUM(Monthly!F409:F411)</f>
        <v>94067.76038</v>
      </c>
      <c r="G139" s="1" t="s">
        <v>43</v>
      </c>
    </row>
    <row r="140" ht="15.75" customHeight="1">
      <c r="A140" s="51"/>
      <c r="B140" s="29"/>
      <c r="C140" s="29"/>
      <c r="D140" s="28"/>
      <c r="E140" s="28"/>
      <c r="F140" s="52"/>
      <c r="G140" s="31"/>
    </row>
    <row r="141" ht="15.75" customHeight="1">
      <c r="A141" s="20" t="s">
        <v>389</v>
      </c>
      <c r="B141" s="22">
        <f>SUM(Monthly!B413:B415)</f>
        <v>13556</v>
      </c>
      <c r="C141" s="22">
        <f>SUM(Monthly!C413:C415)</f>
        <v>973.7798</v>
      </c>
      <c r="D141" s="22">
        <f>SUM(Monthly!D413:D415)</f>
        <v>857.1605904</v>
      </c>
      <c r="E141" s="22">
        <f>SUM(Monthly!E413:E415)</f>
        <v>747.9204357</v>
      </c>
      <c r="F141" s="22">
        <f>SUM(Monthly!F413:F415)</f>
        <v>107363.4596</v>
      </c>
      <c r="G141" s="1" t="s">
        <v>43</v>
      </c>
    </row>
    <row r="142" ht="15.75" customHeight="1">
      <c r="A142" s="20" t="s">
        <v>390</v>
      </c>
      <c r="B142" s="22">
        <f>SUM(Monthly!B416:B418)</f>
        <v>12976</v>
      </c>
      <c r="C142" s="22">
        <f>SUM(Monthly!C416:C418)</f>
        <v>1143.60821</v>
      </c>
      <c r="D142" s="22">
        <f>SUM(Monthly!D416:D418)</f>
        <v>1016.849729</v>
      </c>
      <c r="E142" s="22">
        <f>SUM(Monthly!E416:E418)</f>
        <v>890.2890681</v>
      </c>
      <c r="F142" s="22">
        <f>SUM(Monthly!F416:F418)</f>
        <v>125476.4027</v>
      </c>
      <c r="G142" s="1" t="s">
        <v>43</v>
      </c>
    </row>
    <row r="143" ht="15.75" customHeight="1">
      <c r="A143" s="20" t="s">
        <v>391</v>
      </c>
      <c r="B143" s="22">
        <f>SUM(Monthly!B419:B421)</f>
        <v>13088</v>
      </c>
      <c r="C143" s="22">
        <f>SUM(Monthly!C419:C421)</f>
        <v>753.4066</v>
      </c>
      <c r="D143" s="22">
        <f>SUM(Monthly!D419:D421)</f>
        <v>677.6824436</v>
      </c>
      <c r="E143" s="22">
        <f>SUM(Monthly!E419:E421)</f>
        <v>611.1021032</v>
      </c>
      <c r="F143" s="22">
        <f>SUM(Monthly!F419:F421)</f>
        <v>80852.86857</v>
      </c>
      <c r="G143" s="1" t="s">
        <v>43</v>
      </c>
    </row>
    <row r="144" ht="15.75" customHeight="1">
      <c r="A144" s="20" t="s">
        <v>392</v>
      </c>
      <c r="B144" s="22">
        <f>SUM(Monthly!B422:B424)</f>
        <v>13974</v>
      </c>
      <c r="C144" s="22">
        <f>SUM(Monthly!C422:C424)</f>
        <v>1023.1183</v>
      </c>
      <c r="D144" s="22">
        <f>SUM(Monthly!D422:D424)</f>
        <v>925.1988723</v>
      </c>
      <c r="E144" s="22">
        <f>SUM(Monthly!E422:E424)</f>
        <v>791.4096199</v>
      </c>
      <c r="F144" s="22">
        <f>SUM(Monthly!F422:F424)</f>
        <v>111428.6651</v>
      </c>
      <c r="G144" s="1" t="s">
        <v>43</v>
      </c>
    </row>
    <row r="145" ht="15.75" customHeight="1">
      <c r="A145" s="51"/>
      <c r="B145" s="29"/>
      <c r="C145" s="28"/>
      <c r="D145" s="28"/>
      <c r="E145" s="28"/>
      <c r="F145" s="28"/>
      <c r="G145" s="31"/>
    </row>
    <row r="146" ht="15.75" customHeight="1">
      <c r="A146" s="20" t="s">
        <v>393</v>
      </c>
      <c r="B146" s="22">
        <f>SUM(Monthly!B426:B428)</f>
        <v>12289</v>
      </c>
      <c r="C146" s="22">
        <f>SUM(Monthly!C426:C428)</f>
        <v>657.9937</v>
      </c>
      <c r="D146" s="22">
        <f>SUM(Monthly!D426:D428)</f>
        <v>596.6270546</v>
      </c>
      <c r="E146" s="22">
        <f>SUM(Monthly!E426:E428)</f>
        <v>512.8887093</v>
      </c>
      <c r="F146" s="22">
        <f>SUM(Monthly!F426:F428)</f>
        <v>71683.3612</v>
      </c>
      <c r="G146" s="1" t="s">
        <v>43</v>
      </c>
    </row>
    <row r="147" ht="15.75" customHeight="1">
      <c r="A147" s="20" t="s">
        <v>394</v>
      </c>
      <c r="B147" s="22">
        <f>SUM(Monthly!B429:B431)</f>
        <v>8797</v>
      </c>
      <c r="C147" s="22">
        <f>SUM(Monthly!C429:C431)</f>
        <v>335.0657</v>
      </c>
      <c r="D147" s="22">
        <f>SUM(Monthly!D429:D431)</f>
        <v>302.8050894</v>
      </c>
      <c r="E147" s="22">
        <f>SUM(Monthly!E429:E431)</f>
        <v>269.3797231</v>
      </c>
      <c r="F147" s="22">
        <f>SUM(Monthly!F429:F431)</f>
        <v>35998.78948</v>
      </c>
      <c r="G147" s="1" t="s">
        <v>43</v>
      </c>
    </row>
    <row r="148" ht="17.25" customHeight="1">
      <c r="A148" s="20" t="s">
        <v>395</v>
      </c>
      <c r="B148" s="22">
        <f>SUM(Monthly!B432:B434)</f>
        <v>11494</v>
      </c>
      <c r="C148" s="22">
        <f>SUM(Monthly!C432:C434)</f>
        <v>984.0268</v>
      </c>
      <c r="D148" s="22">
        <f>SUM(Monthly!D432:D434)</f>
        <v>840.023042</v>
      </c>
      <c r="E148" s="22">
        <f>SUM(Monthly!E432:E434)</f>
        <v>763.5953949</v>
      </c>
      <c r="F148" s="22">
        <f>SUM(Monthly!F432:F434)</f>
        <v>104465.871</v>
      </c>
      <c r="G148" s="1" t="s">
        <v>43</v>
      </c>
    </row>
    <row r="149" ht="15.75" customHeight="1">
      <c r="A149" s="20" t="s">
        <v>396</v>
      </c>
      <c r="B149" s="22">
        <f>SUM(Monthly!B435:B437)</f>
        <v>14727</v>
      </c>
      <c r="C149" s="22">
        <f>SUM(Monthly!C435:C437)</f>
        <v>1291.408</v>
      </c>
      <c r="D149" s="22">
        <f>SUM(Monthly!D435:D437)</f>
        <v>1082.663961</v>
      </c>
      <c r="E149" s="22">
        <f>SUM(Monthly!E435:E437)</f>
        <v>978.1499748</v>
      </c>
      <c r="F149" s="22">
        <f>SUM(Monthly!F435:F437)</f>
        <v>134981.2197</v>
      </c>
      <c r="G149" s="1" t="s">
        <v>43</v>
      </c>
    </row>
    <row r="150" ht="15.75" customHeight="1">
      <c r="A150" s="51"/>
      <c r="B150" s="31"/>
      <c r="C150" s="31"/>
      <c r="D150" s="31"/>
      <c r="E150" s="31"/>
      <c r="F150" s="31"/>
      <c r="G150" s="31"/>
    </row>
    <row r="151" ht="15.75" customHeight="1">
      <c r="A151" s="20" t="s">
        <v>397</v>
      </c>
      <c r="B151" s="16">
        <f>SUM(Monthly!B439:B441)</f>
        <v>14299</v>
      </c>
      <c r="C151" s="44">
        <f>SUM(Monthly!C439:C441)</f>
        <v>1240.7265</v>
      </c>
      <c r="D151" s="44">
        <f>SUM(Monthly!D439:D441)</f>
        <v>1029.275028</v>
      </c>
      <c r="E151" s="44">
        <f>SUM(Monthly!E439:E441)</f>
        <v>898.3896882</v>
      </c>
      <c r="F151" s="44">
        <f>SUM(Monthly!F439:F441)</f>
        <v>131778.085</v>
      </c>
      <c r="G151" s="1" t="s">
        <v>43</v>
      </c>
    </row>
    <row r="152" ht="15.75" customHeight="1">
      <c r="A152" s="20" t="s">
        <v>398</v>
      </c>
      <c r="B152" s="16">
        <f>SUM(Monthly!B442:B444)</f>
        <v>14399</v>
      </c>
      <c r="C152" s="44">
        <f>SUM(Monthly!C442:C444)</f>
        <v>1399.0162</v>
      </c>
      <c r="D152" s="44">
        <f>SUM(Monthly!D442:D444)</f>
        <v>1158.135208</v>
      </c>
      <c r="E152" s="44">
        <f>SUM(Monthly!E442:E444)</f>
        <v>998.4954606</v>
      </c>
      <c r="F152" s="44">
        <f>SUM(Monthly!F442:F444)</f>
        <v>153008.5609</v>
      </c>
      <c r="G152" s="1" t="s">
        <v>43</v>
      </c>
    </row>
    <row r="153" ht="15.75" customHeight="1">
      <c r="A153" s="20" t="s">
        <v>399</v>
      </c>
      <c r="B153" s="16">
        <f>SUM(Monthly!B445:B447)</f>
        <v>14067</v>
      </c>
      <c r="C153" s="44">
        <f>SUM(Monthly!C445:C447)</f>
        <v>1371.9977</v>
      </c>
      <c r="D153" s="44">
        <f>SUM(Monthly!D445:D447)</f>
        <v>1163.245837</v>
      </c>
      <c r="E153" s="44">
        <f>SUM(Monthly!E445:E447)</f>
        <v>993.7946505</v>
      </c>
      <c r="F153" s="44">
        <f>SUM(Monthly!F445:F447)</f>
        <v>150921.3276</v>
      </c>
      <c r="G153" s="1" t="s">
        <v>43</v>
      </c>
    </row>
    <row r="154" ht="15.75" customHeight="1">
      <c r="A154" s="20" t="s">
        <v>400</v>
      </c>
      <c r="B154" s="16">
        <f>SUM(Monthly!B448:B450)</f>
        <v>15543</v>
      </c>
      <c r="C154" s="44">
        <f>SUM(Monthly!C448:C450)</f>
        <v>1223.9072</v>
      </c>
      <c r="D154" s="44">
        <f>SUM(Monthly!D448:D450)</f>
        <v>1071.871412</v>
      </c>
      <c r="E154" s="44">
        <f>SUM(Monthly!E448:E450)</f>
        <v>911.3655873</v>
      </c>
      <c r="F154" s="44">
        <f>SUM(Monthly!F448:F450)</f>
        <v>139298.9936</v>
      </c>
      <c r="G154" s="1" t="s">
        <v>43</v>
      </c>
    </row>
    <row r="155" ht="15.75" customHeight="1">
      <c r="A155" s="51"/>
      <c r="B155" s="31"/>
      <c r="C155" s="31"/>
      <c r="D155" s="31"/>
      <c r="E155" s="31"/>
      <c r="F155" s="31"/>
      <c r="G155" s="31"/>
    </row>
    <row r="156" ht="15.75" customHeight="1">
      <c r="A156" s="20" t="s">
        <v>401</v>
      </c>
      <c r="B156" s="16">
        <f>SUM(Monthly!B452:B454)</f>
        <v>13930</v>
      </c>
      <c r="C156" s="44">
        <f>SUM(Monthly!C452:C454)</f>
        <v>956.9373</v>
      </c>
      <c r="D156" s="44">
        <f>SUM(Monthly!D452:D454)</f>
        <v>851.7867559</v>
      </c>
      <c r="E156" s="44">
        <f>SUM(Monthly!E452:E454)</f>
        <v>712.722963</v>
      </c>
      <c r="F156" s="44">
        <f>SUM(Monthly!F452:F454)</f>
        <v>111000.8299</v>
      </c>
      <c r="G156" s="1" t="s">
        <v>43</v>
      </c>
    </row>
    <row r="157" ht="15.75" customHeight="1">
      <c r="A157" s="20" t="s">
        <v>402</v>
      </c>
      <c r="B157" s="16">
        <f>SUM(Monthly!B455:B457)</f>
        <v>12393</v>
      </c>
      <c r="C157" s="44">
        <f>SUM(Monthly!C455:C457)</f>
        <v>1083.2079</v>
      </c>
      <c r="D157" s="44">
        <f>SUM(Monthly!D455:D457)</f>
        <v>1016.61421</v>
      </c>
      <c r="E157" s="44">
        <f>SUM(Monthly!E455:E457)</f>
        <v>856.5704481</v>
      </c>
      <c r="F157" s="44">
        <f>SUM(Monthly!F455:F457)</f>
        <v>139812.4064</v>
      </c>
      <c r="G157" s="1" t="s">
        <v>43</v>
      </c>
    </row>
    <row r="158" ht="15.75" customHeight="1">
      <c r="A158" s="20" t="s">
        <v>403</v>
      </c>
      <c r="B158" s="16">
        <f>SUM(Monthly!B458:B460)</f>
        <v>11971</v>
      </c>
      <c r="C158" s="44">
        <f>SUM(Monthly!C458:C460)</f>
        <v>636.5619</v>
      </c>
      <c r="D158" s="44">
        <f>SUM(Monthly!D458:D460)</f>
        <v>630.4893158</v>
      </c>
      <c r="E158" s="44">
        <f>SUM(Monthly!E458:E460)</f>
        <v>538.4928245</v>
      </c>
      <c r="F158" s="44">
        <f>SUM(Monthly!F458:F460)</f>
        <v>88080.86049</v>
      </c>
      <c r="G158" s="1" t="s">
        <v>43</v>
      </c>
    </row>
    <row r="159" ht="15.75" customHeight="1">
      <c r="A159" s="20" t="s">
        <v>404</v>
      </c>
      <c r="B159" s="16">
        <f>SUM(Monthly!B461:B463)</f>
        <v>12469</v>
      </c>
      <c r="C159" s="44">
        <f>SUM(Monthly!C461:C463)</f>
        <v>707.0867</v>
      </c>
      <c r="D159" s="44">
        <f>SUM(Monthly!D461:D463)</f>
        <v>689.4056425</v>
      </c>
      <c r="E159" s="44">
        <f>SUM(Monthly!E461:E463)</f>
        <v>600.7550476</v>
      </c>
      <c r="F159" s="44">
        <f>SUM(Monthly!F461:F463)</f>
        <v>99578.20983</v>
      </c>
      <c r="G159" s="1" t="s">
        <v>43</v>
      </c>
    </row>
    <row r="160" ht="15.75" customHeight="1">
      <c r="A160" s="31"/>
      <c r="B160" s="31"/>
      <c r="C160" s="31"/>
      <c r="D160" s="31"/>
      <c r="E160" s="31"/>
      <c r="F160" s="31"/>
      <c r="G160" s="31"/>
    </row>
    <row r="161" ht="15.75" customHeight="1">
      <c r="A161" s="1" t="s">
        <v>405</v>
      </c>
      <c r="B161" s="16">
        <f>SUM(Monthly!B465:B467)</f>
        <v>11269</v>
      </c>
      <c r="C161" s="44">
        <f>SUM(Monthly!C465:C467)</f>
        <v>600.8485</v>
      </c>
      <c r="D161" s="44">
        <f>SUM(Monthly!D465:D467)</f>
        <v>560.069385</v>
      </c>
      <c r="E161" s="44">
        <f>SUM(Monthly!E465:E467)</f>
        <v>495.1471849</v>
      </c>
      <c r="F161" s="44">
        <f>SUM(Monthly!F465:F467)</f>
        <v>79528.37281</v>
      </c>
      <c r="G161" s="1" t="s">
        <v>43</v>
      </c>
    </row>
    <row r="162" ht="15.75" customHeight="1">
      <c r="A162" s="1" t="s">
        <v>406</v>
      </c>
      <c r="B162" s="16">
        <f>SUM(Monthly!B468:B470)</f>
        <v>10496</v>
      </c>
      <c r="C162" s="44">
        <f>SUM(Monthly!C468:C470)</f>
        <v>652.2264</v>
      </c>
      <c r="D162" s="44">
        <f>SUM(Monthly!D468:D470)</f>
        <v>598.7324499</v>
      </c>
      <c r="E162" s="44">
        <f>SUM(Monthly!E468:E470)</f>
        <v>521.2128703</v>
      </c>
      <c r="F162" s="44">
        <f>SUM(Monthly!F468:F470)</f>
        <v>84087.4007</v>
      </c>
      <c r="G162" s="1" t="s">
        <v>43</v>
      </c>
    </row>
    <row r="163" ht="15.75" customHeight="1">
      <c r="A163" s="1" t="s">
        <v>407</v>
      </c>
      <c r="B163" s="16">
        <f>SUM(Monthly!B471:B473)</f>
        <v>9380</v>
      </c>
      <c r="C163" s="44">
        <f>SUM(Monthly!C471:C473)</f>
        <v>565.14</v>
      </c>
      <c r="D163" s="44">
        <f>SUM(Monthly!D471:D473)</f>
        <v>520.1014837</v>
      </c>
      <c r="E163" s="44">
        <f>SUM(Monthly!E471:E473)</f>
        <v>447.1437547</v>
      </c>
      <c r="F163" s="44">
        <f>SUM(Monthly!F471:F473)</f>
        <v>81917.84257</v>
      </c>
      <c r="G163" s="1" t="s">
        <v>43</v>
      </c>
    </row>
    <row r="164" ht="15.75" customHeight="1">
      <c r="A164" s="1" t="s">
        <v>408</v>
      </c>
      <c r="B164" s="16">
        <f>SUM(Monthly!B474:B476)</f>
        <v>8458</v>
      </c>
      <c r="C164" s="44">
        <f>SUM(Monthly!C474:C476)</f>
        <v>676.8422</v>
      </c>
      <c r="D164" s="44">
        <f>SUM(Monthly!D474:D476)</f>
        <v>629.8516129</v>
      </c>
      <c r="E164" s="44">
        <f>SUM(Monthly!E474:E476)</f>
        <v>546.4461209</v>
      </c>
      <c r="F164" s="44">
        <f>SUM(Monthly!F474:F476)</f>
        <v>100031.7679</v>
      </c>
      <c r="G164" s="1" t="s">
        <v>43</v>
      </c>
    </row>
    <row r="165" ht="15.75" customHeight="1">
      <c r="A165" s="31"/>
      <c r="B165" s="31"/>
      <c r="C165" s="31"/>
      <c r="D165" s="31"/>
      <c r="E165" s="31"/>
      <c r="F165" s="31"/>
      <c r="G165" s="31"/>
    </row>
    <row r="166" ht="15.75" customHeight="1">
      <c r="A166" s="1" t="s">
        <v>409</v>
      </c>
      <c r="B166" s="16">
        <f>SUM(Monthly!B470:B472)</f>
        <v>9840</v>
      </c>
      <c r="C166" s="44">
        <f>SUM(Monthly!C470:C472)</f>
        <v>566.9724</v>
      </c>
      <c r="D166" s="44">
        <f>SUM(Monthly!D470:D472)</f>
        <v>519.0658105</v>
      </c>
      <c r="E166" s="44">
        <f>SUM(Monthly!E470:E472)</f>
        <v>445.5228107</v>
      </c>
      <c r="F166" s="44">
        <f>SUM(Monthly!F470:F472)</f>
        <v>80629.56316</v>
      </c>
      <c r="G166" s="1" t="s">
        <v>43</v>
      </c>
    </row>
    <row r="167" ht="15.75" customHeight="1">
      <c r="A167" s="1" t="s">
        <v>410</v>
      </c>
      <c r="B167" s="16">
        <f>SUM(Monthly!B473:B475)</f>
        <v>9219</v>
      </c>
      <c r="C167" s="44">
        <f>SUM(Monthly!C473:C475)</f>
        <v>662.1241</v>
      </c>
      <c r="D167" s="44">
        <f>SUM(Monthly!D473:D475)</f>
        <v>619.9902604</v>
      </c>
      <c r="E167" s="44">
        <f>SUM(Monthly!E473:E475)</f>
        <v>538.1540769</v>
      </c>
      <c r="F167" s="44">
        <f>SUM(Monthly!F473:F475)</f>
        <v>98775.53696</v>
      </c>
      <c r="G167" s="1" t="s">
        <v>43</v>
      </c>
    </row>
    <row r="168" ht="15.75" customHeight="1">
      <c r="A168" s="1" t="s">
        <v>411</v>
      </c>
      <c r="B168" s="16">
        <f>SUM(Monthly!B476:B478)</f>
        <v>5038</v>
      </c>
      <c r="C168" s="44">
        <f>SUM(Monthly!C476:C478)</f>
        <v>403.078</v>
      </c>
      <c r="D168" s="44">
        <f>SUM(Monthly!D476:D478)</f>
        <v>369.4694457</v>
      </c>
      <c r="E168" s="44">
        <f>SUM(Monthly!E476:E478)</f>
        <v>317.9480298</v>
      </c>
      <c r="F168" s="44">
        <f>SUM(Monthly!F476:F478)</f>
        <v>58256.61181</v>
      </c>
      <c r="G168" s="1" t="s">
        <v>43</v>
      </c>
    </row>
    <row r="169" ht="15.75" customHeight="1">
      <c r="A169" s="1" t="s">
        <v>412</v>
      </c>
      <c r="B169" s="16">
        <f>SUM(Monthly!B479:B481)</f>
        <v>7624</v>
      </c>
      <c r="C169" s="44">
        <f>SUM(Monthly!C479:C481)</f>
        <v>594.8958</v>
      </c>
      <c r="D169" s="44">
        <f>SUM(Monthly!D479:D481)</f>
        <v>551.86866</v>
      </c>
      <c r="E169" s="44">
        <f>SUM(Monthly!E479:E481)</f>
        <v>471.8189957</v>
      </c>
      <c r="F169" s="44">
        <f>SUM(Monthly!F479:F481)</f>
        <v>90111.01005</v>
      </c>
      <c r="G169" s="1" t="s">
        <v>43</v>
      </c>
    </row>
    <row r="170" ht="15.75" customHeight="1">
      <c r="A170" s="31"/>
      <c r="B170" s="31"/>
      <c r="C170" s="31"/>
      <c r="D170" s="31"/>
      <c r="E170" s="31"/>
      <c r="F170" s="31"/>
      <c r="G170" s="31"/>
    </row>
    <row r="171" ht="15.75" customHeight="1">
      <c r="A171" s="1" t="s">
        <v>413</v>
      </c>
      <c r="B171" s="16">
        <f>SUM(Monthly!B475:B477)</f>
        <v>5366</v>
      </c>
      <c r="C171" s="44">
        <f>SUM(Monthly!C475:C477)</f>
        <v>395.8823</v>
      </c>
      <c r="D171" s="44">
        <f>SUM(Monthly!D475:D477)</f>
        <v>363.948354</v>
      </c>
      <c r="E171" s="44">
        <f>SUM(Monthly!E475:E477)</f>
        <v>315.4493199</v>
      </c>
      <c r="F171" s="44">
        <f>SUM(Monthly!F475:F477)</f>
        <v>57961.53408</v>
      </c>
      <c r="G171" s="1" t="s">
        <v>43</v>
      </c>
    </row>
    <row r="172" ht="15.75" customHeight="1">
      <c r="A172" s="1" t="s">
        <v>414</v>
      </c>
      <c r="B172" s="16">
        <f>SUM(Monthly!B478:B480)</f>
        <v>7672</v>
      </c>
      <c r="C172" s="44">
        <f>SUM(Monthly!C478:C480)</f>
        <v>540.0368</v>
      </c>
      <c r="D172" s="44">
        <f>SUM(Monthly!D478:D480)</f>
        <v>497.4622161</v>
      </c>
      <c r="E172" s="44">
        <f>SUM(Monthly!E478:E480)</f>
        <v>425.9107594</v>
      </c>
      <c r="F172" s="44">
        <f>SUM(Monthly!F478:F480)</f>
        <v>80256.61625</v>
      </c>
      <c r="G172" s="1" t="s">
        <v>43</v>
      </c>
    </row>
    <row r="173" ht="15.75" customHeight="1">
      <c r="A173" s="1" t="s">
        <v>415</v>
      </c>
      <c r="B173" s="16">
        <f>SUM(Monthly!B481:B483)</f>
        <v>8328</v>
      </c>
      <c r="C173" s="44">
        <f>SUM(Monthly!C481:C483)</f>
        <v>657.14709</v>
      </c>
      <c r="D173" s="44">
        <f>SUM(Monthly!D481:D483)</f>
        <v>610.7858693</v>
      </c>
      <c r="E173" s="44">
        <f>SUM(Monthly!E481:E483)</f>
        <v>520.228809</v>
      </c>
      <c r="F173" s="44">
        <f>SUM(Monthly!F481:F483)</f>
        <v>102319.8037</v>
      </c>
      <c r="G173" s="1" t="s">
        <v>43</v>
      </c>
    </row>
    <row r="174" ht="15.75" customHeight="1">
      <c r="A174" s="1" t="s">
        <v>416</v>
      </c>
      <c r="B174" s="16">
        <f>SUM(Monthly!B500:B502)</f>
        <v>9874</v>
      </c>
      <c r="C174" s="44">
        <f>SUM(Monthly!C500:C502)</f>
        <v>1261.4716</v>
      </c>
      <c r="D174" s="44">
        <f>SUM(Monthly!D500:D502)</f>
        <v>1082.405107</v>
      </c>
      <c r="E174" s="44">
        <f>SUM(Monthly!E500:E502)</f>
        <v>947.7170069</v>
      </c>
      <c r="F174" s="44">
        <f>SUM(Monthly!F500:F502)</f>
        <v>194616.6741</v>
      </c>
      <c r="G174" s="1" t="s">
        <v>43</v>
      </c>
    </row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