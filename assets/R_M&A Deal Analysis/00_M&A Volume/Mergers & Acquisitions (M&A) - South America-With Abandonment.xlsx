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ly" sheetId="1" r:id="rId4"/>
    <sheet state="visible" name="Monthly" sheetId="2" r:id="rId5"/>
  </sheets>
  <definedNames/>
  <calcPr/>
  <extLst>
    <ext uri="GoogleSheetsCustomDataVersion2">
      <go:sheetsCustomData xmlns:go="http://customooxmlschemas.google.com/" r:id="rId6" roundtripDataChecksum="6dW9K6/LXTpc84lWnnmglhpkRFinCXsl38iFBsJN2DY="/>
    </ext>
  </extLst>
</workbook>
</file>

<file path=xl/sharedStrings.xml><?xml version="1.0" encoding="utf-8"?>
<sst xmlns="http://schemas.openxmlformats.org/spreadsheetml/2006/main" count="142" uniqueCount="36">
  <si>
    <t>Year</t>
  </si>
  <si>
    <t>Deals</t>
  </si>
  <si>
    <t xml:space="preserve">Abandoned </t>
  </si>
  <si>
    <t xml:space="preserve">Possibilty 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</si>
  <si>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</si>
  <si>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</si>
  <si>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</si>
  <si>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</si>
  <si>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</si>
  <si>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</si>
  <si>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</si>
  <si>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</si>
  <si>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</si>
  <si>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</si>
  <si>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</si>
  <si>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</si>
  <si>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</si>
  <si>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</si>
  <si>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</si>
  <si>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</si>
  <si>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Number</t>
  </si>
  <si>
    <t>Value</t>
  </si>
  <si>
    <t xml:space="preserve">Source </t>
  </si>
  <si>
    <t>in bil. USD</t>
  </si>
  <si>
    <t>in bil. EUR</t>
  </si>
  <si>
    <t>in bil. GBP</t>
  </si>
  <si>
    <t>in bil. YEN</t>
  </si>
  <si>
    <t>Capital IQ</t>
  </si>
  <si>
    <t>Sep-20</t>
  </si>
  <si>
    <t>Jan-Dec 2022</t>
  </si>
  <si>
    <t>Number of Deals</t>
  </si>
  <si>
    <t>Value of Deals</t>
  </si>
  <si>
    <t>Jan-Dec 2023</t>
  </si>
  <si>
    <t>Jan-Dec 2024</t>
  </si>
  <si>
    <t>Jan-Dec 2025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</si>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</sst>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0.0"/>
    <numFmt numFmtId="166" formatCode="mmm-d"/>
    <numFmt numFmtId="167" formatCode="mmmm-d"/>
    <numFmt numFmtId="168" formatCode="mmm yyyy"/>
    <numFmt numFmtId="169" formatCode="mmm&quot;-&quot;yy"/>
  </numFmts>
  <fonts count="4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</fills>
  <borders count="2">
    <border/>
    <border>
      <bottom style="thin">
        <color rgb="FFD8DDE1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Font="1"/>
    <xf borderId="0" fillId="0" fontId="2" numFmtId="3" xfId="0" applyAlignment="1" applyFont="1" applyNumberFormat="1">
      <alignment horizontal="right"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9" xfId="0" applyFont="1" applyNumberFormat="1"/>
    <xf borderId="0" fillId="0" fontId="1" numFmtId="0" xfId="0" applyAlignment="1" applyFont="1">
      <alignment horizontal="left" shrinkToFit="0" vertical="bottom" wrapText="0"/>
    </xf>
    <xf borderId="0" fillId="0" fontId="1" numFmtId="2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bottom" wrapText="0"/>
    </xf>
    <xf borderId="0" fillId="0" fontId="1" numFmtId="3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2" numFmtId="2" xfId="0" applyAlignment="1" applyFont="1" applyNumberFormat="1">
      <alignment horizontal="right" shrinkToFit="0" vertical="bottom" wrapText="0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1" numFmtId="165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1" fillId="3" fontId="2" numFmtId="164" xfId="0" applyAlignment="1" applyBorder="1" applyFill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1" numFmtId="3" xfId="0" applyAlignment="1" applyFont="1" applyNumberFormat="1">
      <alignment vertical="bottom"/>
    </xf>
    <xf borderId="1" fillId="2" fontId="1" numFmtId="164" xfId="0" applyAlignment="1" applyBorder="1" applyFont="1" applyNumberFormat="1">
      <alignment vertical="bottom"/>
    </xf>
    <xf borderId="0" fillId="2" fontId="1" numFmtId="164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2" fontId="1" numFmtId="4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1" numFmtId="166" xfId="0" applyFont="1" applyNumberFormat="1"/>
    <xf borderId="0" fillId="0" fontId="1" numFmtId="3" xfId="0" applyFont="1" applyNumberFormat="1"/>
    <xf borderId="0" fillId="0" fontId="1" numFmtId="167" xfId="0" applyFont="1" applyNumberFormat="1"/>
    <xf borderId="0" fillId="0" fontId="1" numFmtId="164" xfId="0" applyFont="1" applyNumberFormat="1"/>
    <xf borderId="0" fillId="0" fontId="1" numFmtId="169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5"/>
    <col customWidth="1" min="3" max="3" width="23.0"/>
    <col customWidth="1" min="4" max="4" width="23.25"/>
    <col customWidth="1" min="6" max="6" width="13.38"/>
    <col customWidth="1" min="7" max="7" width="13.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5.75" customHeight="1">
      <c r="A2" s="4" t="s">
        <v>4</v>
      </c>
      <c r="B2" s="5">
        <v>1132.0</v>
      </c>
      <c r="C2" s="6">
        <v>1.0</v>
      </c>
      <c r="D2" s="7">
        <f t="shared" ref="D2:D26" si="1">C2/B2</f>
        <v>0.0008833922261</v>
      </c>
    </row>
    <row r="3" ht="15.75" customHeight="1">
      <c r="A3" s="4" t="s">
        <v>5</v>
      </c>
      <c r="B3" s="5">
        <v>854.0</v>
      </c>
      <c r="C3" s="6">
        <v>0.0</v>
      </c>
      <c r="D3" s="7">
        <f t="shared" si="1"/>
        <v>0</v>
      </c>
    </row>
    <row r="4" ht="15.75" customHeight="1">
      <c r="A4" s="4" t="s">
        <v>6</v>
      </c>
      <c r="B4" s="5">
        <v>580.0</v>
      </c>
      <c r="C4" s="6">
        <v>0.0</v>
      </c>
      <c r="D4" s="7">
        <f t="shared" si="1"/>
        <v>0</v>
      </c>
    </row>
    <row r="5" ht="15.75" customHeight="1">
      <c r="A5" s="4" t="s">
        <v>7</v>
      </c>
      <c r="B5" s="5">
        <v>457.0</v>
      </c>
      <c r="C5" s="6">
        <v>1.0</v>
      </c>
      <c r="D5" s="7">
        <f t="shared" si="1"/>
        <v>0.002188183807</v>
      </c>
    </row>
    <row r="6" ht="15.75" customHeight="1">
      <c r="A6" s="4" t="s">
        <v>8</v>
      </c>
      <c r="B6" s="5">
        <v>644.0</v>
      </c>
      <c r="C6" s="6">
        <v>1.0</v>
      </c>
      <c r="D6" s="7">
        <f t="shared" si="1"/>
        <v>0.001552795031</v>
      </c>
    </row>
    <row r="7" ht="15.75" customHeight="1">
      <c r="A7" s="4" t="s">
        <v>9</v>
      </c>
      <c r="B7" s="5">
        <v>519.0</v>
      </c>
      <c r="C7" s="6">
        <v>3.0</v>
      </c>
      <c r="D7" s="7">
        <f t="shared" si="1"/>
        <v>0.005780346821</v>
      </c>
    </row>
    <row r="8" ht="15.75" customHeight="1">
      <c r="A8" s="4" t="s">
        <v>10</v>
      </c>
      <c r="B8" s="5">
        <v>774.0</v>
      </c>
      <c r="C8" s="6">
        <v>12.0</v>
      </c>
      <c r="D8" s="7">
        <f t="shared" si="1"/>
        <v>0.01550387597</v>
      </c>
    </row>
    <row r="9" ht="15.75" customHeight="1">
      <c r="A9" s="4" t="s">
        <v>11</v>
      </c>
      <c r="B9" s="5">
        <v>1500.0</v>
      </c>
      <c r="C9" s="6">
        <v>28.0</v>
      </c>
      <c r="D9" s="7">
        <f t="shared" si="1"/>
        <v>0.01866666667</v>
      </c>
    </row>
    <row r="10" ht="15.75" customHeight="1">
      <c r="A10" s="4" t="s">
        <v>12</v>
      </c>
      <c r="B10" s="5">
        <v>1483.0</v>
      </c>
      <c r="C10" s="6">
        <v>19.0</v>
      </c>
      <c r="D10" s="7">
        <f t="shared" si="1"/>
        <v>0.01281186784</v>
      </c>
    </row>
    <row r="11" ht="15.75" customHeight="1">
      <c r="A11" s="4" t="s">
        <v>13</v>
      </c>
      <c r="B11" s="5">
        <v>1299.0</v>
      </c>
      <c r="C11" s="6">
        <v>45.0</v>
      </c>
      <c r="D11" s="7">
        <f t="shared" si="1"/>
        <v>0.03464203233</v>
      </c>
    </row>
    <row r="12" ht="15.75" customHeight="1">
      <c r="A12" s="4" t="s">
        <v>14</v>
      </c>
      <c r="B12" s="5">
        <v>1610.0</v>
      </c>
      <c r="C12" s="6">
        <v>37.0</v>
      </c>
      <c r="D12" s="7">
        <f t="shared" si="1"/>
        <v>0.02298136646</v>
      </c>
    </row>
    <row r="13" ht="15.75" customHeight="1">
      <c r="A13" s="4" t="s">
        <v>14</v>
      </c>
      <c r="B13" s="5">
        <v>1798.0</v>
      </c>
      <c r="C13" s="6">
        <v>46.0</v>
      </c>
      <c r="D13" s="7">
        <f t="shared" si="1"/>
        <v>0.0255839822</v>
      </c>
      <c r="H13" s="8"/>
      <c r="I13" s="8"/>
      <c r="J13" s="8"/>
    </row>
    <row r="14" ht="15.75" customHeight="1">
      <c r="A14" s="4" t="s">
        <v>15</v>
      </c>
      <c r="B14" s="5">
        <v>1616.0</v>
      </c>
      <c r="C14" s="6">
        <v>31.0</v>
      </c>
      <c r="D14" s="7">
        <f t="shared" si="1"/>
        <v>0.01918316832</v>
      </c>
      <c r="H14" s="8"/>
      <c r="I14" s="9"/>
      <c r="J14" s="9"/>
    </row>
    <row r="15" ht="15.75" customHeight="1">
      <c r="A15" s="4" t="s">
        <v>16</v>
      </c>
      <c r="B15" s="5">
        <v>1225.0</v>
      </c>
      <c r="C15" s="6">
        <v>12.0</v>
      </c>
      <c r="D15" s="7">
        <f t="shared" si="1"/>
        <v>0.009795918367</v>
      </c>
      <c r="H15" s="8"/>
      <c r="I15" s="8"/>
      <c r="J15" s="8"/>
    </row>
    <row r="16" ht="15.75" customHeight="1">
      <c r="A16" s="4" t="s">
        <v>17</v>
      </c>
      <c r="B16" s="5">
        <v>1087.0</v>
      </c>
      <c r="C16" s="6">
        <v>11.0</v>
      </c>
      <c r="D16" s="7">
        <f t="shared" si="1"/>
        <v>0.01011959522</v>
      </c>
      <c r="H16" s="8"/>
      <c r="I16" s="8"/>
      <c r="J16" s="8"/>
    </row>
    <row r="17" ht="15.75" customHeight="1">
      <c r="A17" s="4" t="s">
        <v>18</v>
      </c>
      <c r="B17" s="5">
        <v>1149.0</v>
      </c>
      <c r="C17" s="6">
        <v>14.0</v>
      </c>
      <c r="D17" s="7">
        <f t="shared" si="1"/>
        <v>0.01218450827</v>
      </c>
      <c r="H17" s="10"/>
      <c r="I17" s="9"/>
      <c r="J17" s="9"/>
    </row>
    <row r="18" ht="15.75" customHeight="1">
      <c r="A18" s="11" t="s">
        <v>19</v>
      </c>
      <c r="B18" s="5">
        <v>1153.0</v>
      </c>
      <c r="C18" s="6">
        <v>10.0</v>
      </c>
      <c r="D18" s="7">
        <f t="shared" si="1"/>
        <v>0.008673026886</v>
      </c>
      <c r="H18" s="10"/>
      <c r="I18" s="9"/>
      <c r="J18" s="9"/>
    </row>
    <row r="19" ht="15.75" customHeight="1">
      <c r="A19" s="12">
        <v>2017.0</v>
      </c>
      <c r="B19" s="5">
        <v>1149.0</v>
      </c>
      <c r="C19" s="6">
        <v>10.0</v>
      </c>
      <c r="D19" s="7">
        <f t="shared" si="1"/>
        <v>0.008703220191</v>
      </c>
      <c r="H19" s="8"/>
      <c r="I19" s="8"/>
      <c r="J19" s="8"/>
    </row>
    <row r="20" ht="15.75" customHeight="1">
      <c r="A20" s="12">
        <v>2018.0</v>
      </c>
      <c r="B20" s="5">
        <f>SUM(Monthly!B4:B15)</f>
        <v>2378</v>
      </c>
      <c r="C20" s="6">
        <v>9.0</v>
      </c>
      <c r="D20" s="7">
        <f t="shared" si="1"/>
        <v>0.003784693019</v>
      </c>
      <c r="F20" s="8"/>
      <c r="G20" s="9"/>
      <c r="H20" s="9"/>
      <c r="I20" s="13"/>
      <c r="J20" s="13"/>
    </row>
    <row r="21" ht="15.75" customHeight="1">
      <c r="A21" s="12">
        <v>2019.0</v>
      </c>
      <c r="B21" s="5">
        <f>SUM(Monthly!B17:B28)</f>
        <v>2215</v>
      </c>
      <c r="C21" s="6">
        <v>8.0</v>
      </c>
      <c r="D21" s="7">
        <f t="shared" si="1"/>
        <v>0.003611738149</v>
      </c>
      <c r="F21" s="8"/>
      <c r="G21" s="9"/>
      <c r="H21" s="14"/>
      <c r="I21" s="8"/>
      <c r="J21" s="8"/>
    </row>
    <row r="22" ht="15.75" customHeight="1">
      <c r="A22" s="12">
        <v>2020.0</v>
      </c>
      <c r="B22" s="5">
        <f>SUM(Monthly!B30:B41)</f>
        <v>2047</v>
      </c>
      <c r="C22" s="6">
        <v>3.0</v>
      </c>
      <c r="D22" s="7">
        <f t="shared" si="1"/>
        <v>0.001465559355</v>
      </c>
      <c r="H22" s="8"/>
      <c r="I22" s="8"/>
      <c r="J22" s="8"/>
    </row>
    <row r="23" ht="15.75" customHeight="1">
      <c r="A23" s="12">
        <v>2021.0</v>
      </c>
      <c r="B23" s="5">
        <f>SUM(Monthly!B43:B54)</f>
        <v>2513</v>
      </c>
      <c r="C23" s="6">
        <v>2.0</v>
      </c>
      <c r="D23" s="7">
        <f t="shared" si="1"/>
        <v>0.0007958615201</v>
      </c>
      <c r="H23" s="8"/>
      <c r="I23" s="8"/>
      <c r="J23" s="8"/>
    </row>
    <row r="24" ht="15.75" customHeight="1">
      <c r="A24" s="12">
        <v>2022.0</v>
      </c>
      <c r="B24" s="5">
        <f>SUM(Monthly!B56:B67)</f>
        <v>1953</v>
      </c>
      <c r="C24" s="6">
        <v>12.0</v>
      </c>
      <c r="D24" s="7">
        <f t="shared" si="1"/>
        <v>0.006144393241</v>
      </c>
      <c r="H24" s="10"/>
      <c r="I24" s="9"/>
      <c r="J24" s="9"/>
    </row>
    <row r="25" ht="15.75" customHeight="1">
      <c r="A25" s="15">
        <v>2023.0</v>
      </c>
      <c r="B25" s="5">
        <f>SUM(Monthly!B69:B80)</f>
        <v>1274</v>
      </c>
      <c r="C25" s="6">
        <v>5.0</v>
      </c>
      <c r="D25" s="7">
        <f t="shared" si="1"/>
        <v>0.003924646782</v>
      </c>
      <c r="H25" s="10"/>
      <c r="I25" s="9"/>
      <c r="J25" s="9"/>
    </row>
    <row r="26" ht="15.75" customHeight="1">
      <c r="A26" s="16">
        <v>2024.0</v>
      </c>
      <c r="B26" s="9">
        <f>SUM(Monthly!B82:B93)</f>
        <v>1259</v>
      </c>
      <c r="C26" s="6">
        <v>2.0</v>
      </c>
      <c r="D26" s="7">
        <f t="shared" si="1"/>
        <v>0.001588562351</v>
      </c>
      <c r="H26" s="8"/>
      <c r="I26" s="17"/>
      <c r="J26" s="8"/>
    </row>
    <row r="27" ht="15.75" customHeight="1">
      <c r="A27" s="12"/>
      <c r="B27" s="5"/>
      <c r="C27" s="18"/>
      <c r="D27" s="19"/>
      <c r="H27" s="10"/>
      <c r="I27" s="9"/>
      <c r="J27" s="9"/>
    </row>
    <row r="28" ht="15.75" customHeight="1">
      <c r="A28" s="12"/>
      <c r="B28" s="5"/>
      <c r="C28" s="20"/>
      <c r="D28" s="5"/>
      <c r="H28" s="10"/>
      <c r="I28" s="9"/>
      <c r="J28" s="9"/>
    </row>
    <row r="29" ht="15.75" customHeight="1">
      <c r="A29" s="12"/>
      <c r="B29" s="5"/>
      <c r="C29" s="20"/>
      <c r="D29" s="5"/>
      <c r="H29" s="8"/>
      <c r="I29" s="8"/>
      <c r="J29" s="8"/>
    </row>
    <row r="30" ht="15.75" customHeight="1">
      <c r="C30" s="21"/>
      <c r="H30" s="8"/>
      <c r="I30" s="13"/>
      <c r="J30" s="13"/>
    </row>
    <row r="31" ht="15.75" customHeight="1">
      <c r="C31" s="21"/>
      <c r="H31" s="8"/>
      <c r="I31" s="8"/>
      <c r="J31" s="8"/>
    </row>
    <row r="32" ht="15.75" customHeight="1">
      <c r="C32" s="21"/>
      <c r="H32" s="8"/>
      <c r="I32" s="8"/>
      <c r="J32" s="8"/>
    </row>
    <row r="33" ht="15.75" customHeight="1">
      <c r="C33" s="21"/>
      <c r="H33" s="8"/>
      <c r="I33" s="8"/>
      <c r="J33" s="8"/>
    </row>
    <row r="34" ht="15.75" customHeight="1">
      <c r="C34" s="21"/>
      <c r="H34" s="8"/>
      <c r="I34" s="9"/>
      <c r="J34" s="22"/>
    </row>
    <row r="35" ht="15.75" customHeight="1">
      <c r="C35" s="21"/>
      <c r="H35" s="8"/>
      <c r="I35" s="9"/>
      <c r="J35" s="22"/>
    </row>
    <row r="36" ht="15.75" customHeight="1">
      <c r="C36" s="21"/>
      <c r="H36" s="8"/>
      <c r="I36" s="8"/>
      <c r="J36" s="8"/>
    </row>
    <row r="37" ht="15.75" customHeight="1">
      <c r="C37" s="21"/>
      <c r="H37" s="8"/>
      <c r="I37" s="13"/>
      <c r="J37" s="13"/>
    </row>
    <row r="38" ht="15.75" customHeight="1">
      <c r="C38" s="21"/>
      <c r="H38" s="8"/>
      <c r="I38" s="8"/>
      <c r="J38" s="8"/>
    </row>
    <row r="39" ht="15.75" customHeight="1">
      <c r="C39" s="21"/>
      <c r="H39" s="8"/>
      <c r="I39" s="8"/>
      <c r="J39" s="8"/>
    </row>
    <row r="40" ht="15.75" customHeight="1">
      <c r="C40" s="21"/>
      <c r="H40" s="8"/>
      <c r="I40" s="8"/>
      <c r="J40" s="8"/>
    </row>
    <row r="41" ht="15.75" customHeight="1">
      <c r="C41" s="21"/>
      <c r="H41" s="8"/>
      <c r="I41" s="9"/>
      <c r="J41" s="22"/>
    </row>
    <row r="42" ht="15.75" customHeight="1">
      <c r="C42" s="21"/>
      <c r="H42" s="8"/>
      <c r="I42" s="9"/>
      <c r="J42" s="22"/>
    </row>
    <row r="43" ht="15.75" customHeight="1">
      <c r="C43" s="21"/>
      <c r="H43" s="8"/>
      <c r="I43" s="8"/>
      <c r="J43" s="8"/>
    </row>
    <row r="44" ht="15.75" customHeight="1">
      <c r="C44" s="21"/>
      <c r="H44" s="8"/>
      <c r="I44" s="13"/>
      <c r="J44" s="13"/>
    </row>
    <row r="45" ht="15.75" customHeight="1">
      <c r="C45" s="21"/>
      <c r="H45" s="8"/>
      <c r="I45" s="8"/>
      <c r="J45" s="8"/>
    </row>
    <row r="46" ht="15.75" customHeight="1">
      <c r="C46" s="21"/>
      <c r="H46" s="8"/>
      <c r="I46" s="8"/>
      <c r="J46" s="8"/>
    </row>
    <row r="47" ht="15.75" customHeight="1">
      <c r="C47" s="21"/>
      <c r="H47" s="8"/>
      <c r="I47" s="8"/>
      <c r="J47" s="8"/>
    </row>
    <row r="48" ht="15.75" customHeight="1">
      <c r="C48" s="21"/>
      <c r="H48" s="10"/>
      <c r="I48" s="9"/>
      <c r="J48" s="9"/>
    </row>
    <row r="49" ht="15.75" customHeight="1">
      <c r="C49" s="21"/>
      <c r="H49" s="10"/>
      <c r="I49" s="9"/>
      <c r="J49" s="22"/>
    </row>
    <row r="50" ht="15.75" customHeight="1">
      <c r="C50" s="21"/>
      <c r="H50" s="8"/>
      <c r="I50" s="8"/>
      <c r="J50" s="8"/>
    </row>
    <row r="51" ht="15.75" customHeight="1">
      <c r="C51" s="21"/>
      <c r="H51" s="8"/>
      <c r="I51" s="13"/>
      <c r="J51" s="13"/>
    </row>
    <row r="52" ht="15.75" customHeight="1">
      <c r="C52" s="21"/>
    </row>
    <row r="53" ht="15.75" customHeight="1">
      <c r="C53" s="21"/>
    </row>
    <row r="54" ht="15.75" customHeight="1">
      <c r="C54" s="21"/>
    </row>
    <row r="55" ht="15.75" customHeight="1">
      <c r="C55" s="21"/>
    </row>
    <row r="56" ht="15.75" customHeight="1">
      <c r="C56" s="21"/>
    </row>
    <row r="57" ht="15.75" customHeight="1">
      <c r="C57" s="21"/>
    </row>
    <row r="58" ht="15.75" customHeight="1">
      <c r="C58" s="21"/>
    </row>
    <row r="59" ht="15.75" customHeight="1">
      <c r="C59" s="21"/>
    </row>
    <row r="60" ht="15.75" customHeight="1">
      <c r="C60" s="21"/>
    </row>
    <row r="61" ht="15.75" customHeight="1">
      <c r="C61" s="21"/>
    </row>
    <row r="62" ht="15.75" customHeight="1">
      <c r="C62" s="21"/>
    </row>
    <row r="63" ht="15.75" customHeight="1">
      <c r="C63" s="21"/>
    </row>
    <row r="64" ht="15.75" customHeight="1">
      <c r="C64" s="21"/>
    </row>
    <row r="65" ht="15.75" customHeight="1">
      <c r="C65" s="21"/>
    </row>
    <row r="66" ht="15.75" customHeight="1">
      <c r="C66" s="21"/>
    </row>
    <row r="67" ht="15.75" customHeight="1">
      <c r="C67" s="21"/>
    </row>
    <row r="68" ht="15.75" customHeight="1">
      <c r="C68" s="21"/>
    </row>
    <row r="69" ht="15.75" customHeight="1">
      <c r="C69" s="21"/>
    </row>
    <row r="70" ht="15.75" customHeight="1">
      <c r="C70" s="21"/>
    </row>
    <row r="71" ht="15.75" customHeight="1">
      <c r="C71" s="21"/>
    </row>
    <row r="72" ht="15.75" customHeight="1">
      <c r="C72" s="21"/>
    </row>
    <row r="73" ht="15.75" customHeight="1">
      <c r="C73" s="21"/>
    </row>
    <row r="74" ht="15.75" customHeight="1">
      <c r="C74" s="21"/>
    </row>
    <row r="75" ht="15.75" customHeight="1">
      <c r="C75" s="21"/>
    </row>
    <row r="76" ht="15.75" customHeight="1">
      <c r="C76" s="21"/>
    </row>
    <row r="77" ht="15.75" customHeight="1">
      <c r="C77" s="21"/>
    </row>
    <row r="78" ht="15.75" customHeight="1">
      <c r="C78" s="21"/>
    </row>
    <row r="79" ht="15.75" customHeight="1">
      <c r="C79" s="21"/>
    </row>
    <row r="80" ht="15.75" customHeight="1">
      <c r="C80" s="21"/>
    </row>
    <row r="81" ht="15.75" customHeight="1">
      <c r="C81" s="21"/>
    </row>
    <row r="82" ht="15.75" customHeight="1">
      <c r="C82" s="21"/>
    </row>
    <row r="83" ht="15.75" customHeight="1">
      <c r="C83" s="21"/>
    </row>
    <row r="84" ht="15.75" customHeight="1">
      <c r="C84" s="21"/>
    </row>
    <row r="85" ht="15.75" customHeight="1">
      <c r="C85" s="21"/>
    </row>
    <row r="86" ht="15.75" customHeight="1">
      <c r="C86" s="21"/>
    </row>
    <row r="87" ht="15.75" customHeight="1">
      <c r="C87" s="21"/>
    </row>
    <row r="88" ht="15.75" customHeight="1">
      <c r="C88" s="21"/>
    </row>
    <row r="89" ht="15.75" customHeight="1">
      <c r="C89" s="21"/>
    </row>
    <row r="90" ht="15.75" customHeight="1">
      <c r="C90" s="21"/>
    </row>
    <row r="91" ht="15.75" customHeight="1">
      <c r="C91" s="21"/>
    </row>
    <row r="92" ht="15.75" customHeight="1">
      <c r="C92" s="21"/>
    </row>
    <row r="93" ht="15.75" customHeight="1">
      <c r="C93" s="21"/>
    </row>
    <row r="94" ht="15.75" customHeight="1">
      <c r="C94" s="21"/>
    </row>
    <row r="95" ht="15.75" customHeight="1">
      <c r="C95" s="21"/>
    </row>
    <row r="96" ht="15.75" customHeight="1">
      <c r="C96" s="21"/>
    </row>
    <row r="97" ht="15.75" customHeight="1">
      <c r="C97" s="21"/>
    </row>
    <row r="98" ht="15.75" customHeight="1">
      <c r="C98" s="21"/>
    </row>
    <row r="99" ht="15.75" customHeight="1">
      <c r="C99" s="21"/>
    </row>
    <row r="100" ht="15.75" customHeight="1">
      <c r="C100" s="21"/>
    </row>
    <row r="101" ht="15.75" customHeight="1">
      <c r="C101" s="21"/>
    </row>
    <row r="102" ht="15.75" customHeight="1">
      <c r="C102" s="21"/>
    </row>
    <row r="103" ht="15.75" customHeight="1">
      <c r="C103" s="21"/>
    </row>
    <row r="104" ht="15.75" customHeight="1">
      <c r="C104" s="21"/>
    </row>
    <row r="105" ht="15.75" customHeight="1">
      <c r="C105" s="21"/>
    </row>
    <row r="106" ht="15.75" customHeight="1">
      <c r="C106" s="21"/>
    </row>
    <row r="107" ht="15.75" customHeight="1">
      <c r="C107" s="21"/>
    </row>
    <row r="108" ht="15.75" customHeight="1">
      <c r="C108" s="21"/>
    </row>
    <row r="109" ht="15.75" customHeight="1">
      <c r="C109" s="21"/>
    </row>
    <row r="110" ht="15.75" customHeight="1">
      <c r="C110" s="21"/>
    </row>
    <row r="111" ht="15.75" customHeight="1">
      <c r="C111" s="21"/>
    </row>
    <row r="112" ht="15.75" customHeight="1">
      <c r="C112" s="21"/>
    </row>
    <row r="113" ht="15.75" customHeight="1">
      <c r="C113" s="21"/>
    </row>
    <row r="114" ht="15.75" customHeight="1">
      <c r="C114" s="21"/>
    </row>
    <row r="115" ht="15.75" customHeight="1">
      <c r="C115" s="21"/>
    </row>
    <row r="116" ht="15.75" customHeight="1">
      <c r="C116" s="21"/>
    </row>
    <row r="117" ht="15.75" customHeight="1">
      <c r="C117" s="21"/>
    </row>
    <row r="118" ht="15.75" customHeight="1">
      <c r="C118" s="21"/>
    </row>
    <row r="119" ht="15.75" customHeight="1">
      <c r="C119" s="21"/>
    </row>
    <row r="120" ht="15.75" customHeight="1">
      <c r="C120" s="21"/>
    </row>
    <row r="121" ht="15.75" customHeight="1">
      <c r="C121" s="21"/>
    </row>
    <row r="122" ht="15.75" customHeight="1">
      <c r="C122" s="21"/>
    </row>
    <row r="123" ht="15.75" customHeight="1">
      <c r="C123" s="21"/>
    </row>
    <row r="124" ht="15.75" customHeight="1">
      <c r="C124" s="21"/>
    </row>
    <row r="125" ht="15.75" customHeight="1">
      <c r="C125" s="21"/>
    </row>
    <row r="126" ht="15.75" customHeight="1">
      <c r="C126" s="21"/>
    </row>
    <row r="127" ht="15.75" customHeight="1">
      <c r="C127" s="21"/>
    </row>
    <row r="128" ht="15.75" customHeight="1">
      <c r="C128" s="21"/>
    </row>
    <row r="129" ht="15.75" customHeight="1">
      <c r="C129" s="21"/>
    </row>
    <row r="130" ht="15.75" customHeight="1">
      <c r="C130" s="21"/>
    </row>
    <row r="131" ht="15.75" customHeight="1">
      <c r="C131" s="21"/>
    </row>
    <row r="132" ht="15.75" customHeight="1">
      <c r="C132" s="21"/>
    </row>
    <row r="133" ht="15.75" customHeight="1">
      <c r="C133" s="21"/>
    </row>
    <row r="134" ht="15.75" customHeight="1">
      <c r="C134" s="21"/>
    </row>
    <row r="135" ht="15.75" customHeight="1">
      <c r="C135" s="21"/>
    </row>
    <row r="136" ht="15.75" customHeight="1">
      <c r="C136" s="21"/>
    </row>
    <row r="137" ht="15.75" customHeight="1">
      <c r="C137" s="21"/>
    </row>
    <row r="138" ht="15.75" customHeight="1">
      <c r="C138" s="21"/>
    </row>
    <row r="139" ht="15.75" customHeight="1">
      <c r="C139" s="21"/>
    </row>
    <row r="140" ht="15.75" customHeight="1">
      <c r="C140" s="21"/>
    </row>
    <row r="141" ht="15.75" customHeight="1">
      <c r="C141" s="21"/>
    </row>
    <row r="142" ht="15.75" customHeight="1">
      <c r="C142" s="21"/>
    </row>
    <row r="143" ht="15.75" customHeight="1">
      <c r="C143" s="21"/>
    </row>
    <row r="144" ht="15.75" customHeight="1">
      <c r="C144" s="21"/>
    </row>
    <row r="145" ht="15.75" customHeight="1">
      <c r="C145" s="21"/>
    </row>
    <row r="146" ht="15.75" customHeight="1">
      <c r="C146" s="21"/>
    </row>
    <row r="147" ht="15.75" customHeight="1">
      <c r="C147" s="21"/>
    </row>
    <row r="148" ht="15.75" customHeight="1">
      <c r="C148" s="21"/>
    </row>
    <row r="149" ht="15.75" customHeight="1">
      <c r="C149" s="21"/>
    </row>
    <row r="150" ht="15.75" customHeight="1">
      <c r="C150" s="21"/>
    </row>
    <row r="151" ht="15.75" customHeight="1">
      <c r="C151" s="21"/>
    </row>
    <row r="152" ht="15.75" customHeight="1">
      <c r="C152" s="21"/>
    </row>
    <row r="153" ht="15.75" customHeight="1">
      <c r="C153" s="21"/>
    </row>
    <row r="154" ht="15.75" customHeight="1">
      <c r="C154" s="21"/>
    </row>
    <row r="155" ht="15.75" customHeight="1">
      <c r="C155" s="21"/>
    </row>
    <row r="156" ht="15.75" customHeight="1">
      <c r="C156" s="21"/>
    </row>
    <row r="157" ht="15.75" customHeight="1">
      <c r="C157" s="21"/>
    </row>
    <row r="158" ht="15.75" customHeight="1">
      <c r="C158" s="21"/>
    </row>
    <row r="159" ht="15.75" customHeight="1">
      <c r="C159" s="21"/>
    </row>
    <row r="160" ht="15.75" customHeight="1">
      <c r="C160" s="21"/>
    </row>
    <row r="161" ht="15.75" customHeight="1">
      <c r="C161" s="21"/>
    </row>
    <row r="162" ht="15.75" customHeight="1">
      <c r="C162" s="21"/>
    </row>
    <row r="163" ht="15.75" customHeight="1">
      <c r="C163" s="21"/>
    </row>
    <row r="164" ht="15.75" customHeight="1">
      <c r="C164" s="21"/>
    </row>
    <row r="165" ht="15.75" customHeight="1">
      <c r="C165" s="21"/>
    </row>
    <row r="166" ht="15.75" customHeight="1">
      <c r="C166" s="21"/>
    </row>
    <row r="167" ht="15.75" customHeight="1">
      <c r="C167" s="21"/>
    </row>
    <row r="168" ht="15.75" customHeight="1">
      <c r="C168" s="21"/>
    </row>
    <row r="169" ht="15.75" customHeight="1">
      <c r="C169" s="21"/>
    </row>
    <row r="170" ht="15.75" customHeight="1">
      <c r="C170" s="21"/>
    </row>
    <row r="171" ht="15.75" customHeight="1">
      <c r="C171" s="21"/>
    </row>
    <row r="172" ht="15.75" customHeight="1">
      <c r="C172" s="21"/>
    </row>
    <row r="173" ht="15.75" customHeight="1">
      <c r="C173" s="21"/>
    </row>
    <row r="174" ht="15.75" customHeight="1">
      <c r="C174" s="21"/>
    </row>
    <row r="175" ht="15.75" customHeight="1">
      <c r="C175" s="21"/>
    </row>
    <row r="176" ht="15.75" customHeight="1">
      <c r="C176" s="21"/>
    </row>
    <row r="177" ht="15.75" customHeight="1">
      <c r="C177" s="21"/>
    </row>
    <row r="178" ht="15.75" customHeight="1">
      <c r="C178" s="21"/>
    </row>
    <row r="179" ht="15.75" customHeight="1">
      <c r="C179" s="21"/>
    </row>
    <row r="180" ht="15.75" customHeight="1">
      <c r="C180" s="21"/>
    </row>
    <row r="181" ht="15.75" customHeight="1">
      <c r="C181" s="21"/>
    </row>
    <row r="182" ht="15.75" customHeight="1">
      <c r="C182" s="21"/>
    </row>
    <row r="183" ht="15.75" customHeight="1">
      <c r="C183" s="21"/>
    </row>
    <row r="184" ht="15.75" customHeight="1">
      <c r="C184" s="21"/>
    </row>
    <row r="185" ht="15.75" customHeight="1">
      <c r="C185" s="21"/>
    </row>
    <row r="186" ht="15.75" customHeight="1">
      <c r="C186" s="21"/>
    </row>
    <row r="187" ht="15.75" customHeight="1">
      <c r="C187" s="21"/>
    </row>
    <row r="188" ht="15.75" customHeight="1">
      <c r="C188" s="21"/>
    </row>
    <row r="189" ht="15.75" customHeight="1">
      <c r="C189" s="21"/>
    </row>
    <row r="190" ht="15.75" customHeight="1">
      <c r="C190" s="21"/>
    </row>
    <row r="191" ht="15.75" customHeight="1">
      <c r="C191" s="21"/>
    </row>
    <row r="192" ht="15.75" customHeight="1">
      <c r="C192" s="21"/>
    </row>
    <row r="193" ht="15.75" customHeight="1">
      <c r="C193" s="21"/>
    </row>
    <row r="194" ht="15.75" customHeight="1">
      <c r="C194" s="21"/>
    </row>
    <row r="195" ht="15.75" customHeight="1">
      <c r="C195" s="21"/>
    </row>
    <row r="196" ht="15.75" customHeight="1">
      <c r="C196" s="21"/>
    </row>
    <row r="197" ht="15.75" customHeight="1">
      <c r="C197" s="21"/>
    </row>
    <row r="198" ht="15.75" customHeight="1">
      <c r="C198" s="21"/>
    </row>
    <row r="199" ht="15.75" customHeight="1">
      <c r="C199" s="21"/>
    </row>
    <row r="200" ht="15.75" customHeight="1">
      <c r="C200" s="21"/>
    </row>
    <row r="201" ht="15.75" customHeight="1">
      <c r="C201" s="21"/>
    </row>
    <row r="202" ht="15.75" customHeight="1">
      <c r="C202" s="21"/>
    </row>
    <row r="203" ht="15.75" customHeight="1">
      <c r="C203" s="21"/>
    </row>
    <row r="204" ht="15.75" customHeight="1">
      <c r="C204" s="21"/>
    </row>
    <row r="205" ht="15.75" customHeight="1">
      <c r="C205" s="21"/>
    </row>
    <row r="206" ht="15.75" customHeight="1">
      <c r="C206" s="21"/>
    </row>
    <row r="207" ht="15.75" customHeight="1">
      <c r="C207" s="21"/>
    </row>
    <row r="208" ht="15.75" customHeight="1">
      <c r="C208" s="21"/>
    </row>
    <row r="209" ht="15.75" customHeight="1">
      <c r="C209" s="21"/>
    </row>
    <row r="210" ht="15.75" customHeight="1">
      <c r="C210" s="21"/>
    </row>
    <row r="211" ht="15.75" customHeight="1">
      <c r="C211" s="21"/>
    </row>
    <row r="212" ht="15.75" customHeight="1">
      <c r="C212" s="21"/>
    </row>
    <row r="213" ht="15.75" customHeight="1">
      <c r="C213" s="21"/>
    </row>
    <row r="214" ht="15.75" customHeight="1">
      <c r="C214" s="21"/>
    </row>
    <row r="215" ht="15.75" customHeight="1">
      <c r="C215" s="21"/>
    </row>
    <row r="216" ht="15.75" customHeight="1">
      <c r="C216" s="21"/>
    </row>
    <row r="217" ht="15.75" customHeight="1">
      <c r="C217" s="21"/>
    </row>
    <row r="218" ht="15.75" customHeight="1">
      <c r="C218" s="21"/>
    </row>
    <row r="219" ht="15.75" customHeight="1">
      <c r="C219" s="21"/>
    </row>
    <row r="220" ht="15.75" customHeight="1">
      <c r="C220" s="21"/>
    </row>
    <row r="221" ht="15.75" customHeight="1">
      <c r="C221" s="21"/>
    </row>
    <row r="222" ht="15.75" customHeight="1">
      <c r="C222" s="21"/>
    </row>
    <row r="223" ht="15.75" customHeight="1">
      <c r="C223" s="21"/>
    </row>
    <row r="224" ht="15.75" customHeight="1">
      <c r="C224" s="21"/>
    </row>
    <row r="225" ht="15.75" customHeight="1">
      <c r="C225" s="21"/>
    </row>
    <row r="226" ht="15.75" customHeight="1">
      <c r="C226" s="21"/>
    </row>
    <row r="227" ht="15.75" customHeight="1">
      <c r="C227" s="21"/>
    </row>
    <row r="228" ht="15.75" customHeight="1">
      <c r="C228" s="21"/>
    </row>
    <row r="229" ht="15.75" customHeight="1">
      <c r="C229" s="21"/>
    </row>
    <row r="230" ht="15.75" customHeight="1">
      <c r="C230" s="21"/>
    </row>
    <row r="231" ht="15.75" customHeight="1">
      <c r="C231" s="21"/>
    </row>
    <row r="232" ht="15.75" customHeight="1">
      <c r="C232" s="21"/>
    </row>
    <row r="233" ht="15.75" customHeight="1">
      <c r="C233" s="21"/>
    </row>
    <row r="234" ht="15.75" customHeight="1">
      <c r="C234" s="21"/>
    </row>
    <row r="235" ht="15.75" customHeight="1">
      <c r="C235" s="21"/>
    </row>
    <row r="236" ht="15.75" customHeight="1">
      <c r="C236" s="21"/>
    </row>
    <row r="237" ht="15.75" customHeight="1">
      <c r="C237" s="21"/>
    </row>
    <row r="238" ht="15.75" customHeight="1">
      <c r="C238" s="21"/>
    </row>
    <row r="239" ht="15.75" customHeight="1">
      <c r="C239" s="21"/>
    </row>
    <row r="240" ht="15.75" customHeight="1">
      <c r="C240" s="21"/>
    </row>
    <row r="241" ht="15.75" customHeight="1">
      <c r="C241" s="21"/>
    </row>
    <row r="242" ht="15.75" customHeight="1">
      <c r="C242" s="21"/>
    </row>
    <row r="243" ht="15.75" customHeight="1">
      <c r="C243" s="21"/>
    </row>
    <row r="244" ht="15.75" customHeight="1">
      <c r="C244" s="21"/>
    </row>
    <row r="245" ht="15.75" customHeight="1">
      <c r="C245" s="21"/>
    </row>
    <row r="246" ht="15.75" customHeight="1">
      <c r="C246" s="21"/>
    </row>
    <row r="247" ht="15.75" customHeight="1">
      <c r="C247" s="21"/>
    </row>
    <row r="248" ht="15.75" customHeight="1">
      <c r="C248" s="21"/>
    </row>
    <row r="249" ht="15.75" customHeight="1">
      <c r="C249" s="21"/>
    </row>
    <row r="250" ht="15.75" customHeight="1">
      <c r="C250" s="21"/>
    </row>
    <row r="251" ht="15.75" customHeight="1">
      <c r="C251" s="21"/>
    </row>
    <row r="252" ht="15.75" customHeight="1">
      <c r="C252" s="21"/>
    </row>
    <row r="253" ht="15.75" customHeight="1">
      <c r="C253" s="21"/>
    </row>
    <row r="254" ht="15.75" customHeight="1">
      <c r="C254" s="21"/>
    </row>
    <row r="255" ht="15.75" customHeight="1">
      <c r="C255" s="21"/>
    </row>
    <row r="256" ht="15.75" customHeight="1">
      <c r="C256" s="21"/>
    </row>
    <row r="257" ht="15.75" customHeight="1">
      <c r="C257" s="21"/>
    </row>
    <row r="258" ht="15.75" customHeight="1">
      <c r="C258" s="21"/>
    </row>
    <row r="259" ht="15.75" customHeight="1">
      <c r="C259" s="21"/>
    </row>
    <row r="260" ht="15.75" customHeight="1">
      <c r="C260" s="21"/>
    </row>
    <row r="261" ht="15.75" customHeight="1">
      <c r="C261" s="21"/>
    </row>
    <row r="262" ht="15.75" customHeight="1">
      <c r="C262" s="21"/>
    </row>
    <row r="263" ht="15.75" customHeight="1">
      <c r="C263" s="21"/>
    </row>
    <row r="264" ht="15.75" customHeight="1">
      <c r="C264" s="21"/>
    </row>
    <row r="265" ht="15.75" customHeight="1">
      <c r="C265" s="21"/>
    </row>
    <row r="266" ht="15.75" customHeight="1">
      <c r="C266" s="21"/>
    </row>
    <row r="267" ht="15.75" customHeight="1">
      <c r="C267" s="21"/>
    </row>
    <row r="268" ht="15.75" customHeight="1">
      <c r="C268" s="21"/>
    </row>
    <row r="269" ht="15.75" customHeight="1">
      <c r="C269" s="21"/>
    </row>
    <row r="270" ht="15.75" customHeight="1">
      <c r="C270" s="21"/>
    </row>
    <row r="271" ht="15.75" customHeight="1">
      <c r="C271" s="21"/>
    </row>
    <row r="272" ht="15.75" customHeight="1">
      <c r="C272" s="21"/>
    </row>
    <row r="273" ht="15.75" customHeight="1">
      <c r="C273" s="21"/>
    </row>
    <row r="274" ht="15.75" customHeight="1">
      <c r="C274" s="21"/>
    </row>
    <row r="275" ht="15.75" customHeight="1">
      <c r="C275" s="21"/>
    </row>
    <row r="276" ht="15.75" customHeight="1">
      <c r="C276" s="21"/>
    </row>
    <row r="277" ht="15.75" customHeight="1">
      <c r="C277" s="21"/>
    </row>
    <row r="278" ht="15.75" customHeight="1">
      <c r="C278" s="21"/>
    </row>
    <row r="279" ht="15.75" customHeight="1">
      <c r="C279" s="21"/>
    </row>
    <row r="280" ht="15.75" customHeight="1">
      <c r="C280" s="21"/>
    </row>
    <row r="281" ht="15.75" customHeight="1">
      <c r="C281" s="21"/>
    </row>
    <row r="282" ht="15.75" customHeight="1">
      <c r="C282" s="21"/>
    </row>
    <row r="283" ht="15.75" customHeight="1">
      <c r="C283" s="21"/>
    </row>
    <row r="284" ht="15.75" customHeight="1">
      <c r="C284" s="21"/>
    </row>
    <row r="285" ht="15.75" customHeight="1">
      <c r="C285" s="21"/>
    </row>
    <row r="286" ht="15.75" customHeight="1">
      <c r="C286" s="21"/>
    </row>
    <row r="287" ht="15.75" customHeight="1">
      <c r="C287" s="21"/>
    </row>
    <row r="288" ht="15.75" customHeight="1">
      <c r="C288" s="21"/>
    </row>
    <row r="289" ht="15.75" customHeight="1">
      <c r="C289" s="21"/>
    </row>
    <row r="290" ht="15.75" customHeight="1">
      <c r="C290" s="21"/>
    </row>
    <row r="291" ht="15.75" customHeight="1">
      <c r="C291" s="21"/>
    </row>
    <row r="292" ht="15.75" customHeight="1">
      <c r="C292" s="21"/>
    </row>
    <row r="293" ht="15.75" customHeight="1">
      <c r="C293" s="21"/>
    </row>
    <row r="294" ht="15.75" customHeight="1">
      <c r="C294" s="21"/>
    </row>
    <row r="295" ht="15.75" customHeight="1">
      <c r="C295" s="21"/>
    </row>
    <row r="296" ht="15.75" customHeight="1">
      <c r="C296" s="21"/>
    </row>
    <row r="297" ht="15.75" customHeight="1">
      <c r="C297" s="21"/>
    </row>
    <row r="298" ht="15.75" customHeight="1">
      <c r="C298" s="21"/>
    </row>
    <row r="299" ht="15.75" customHeight="1">
      <c r="C299" s="21"/>
    </row>
    <row r="300" ht="15.75" customHeight="1">
      <c r="C300" s="21"/>
    </row>
    <row r="301" ht="15.75" customHeight="1">
      <c r="C301" s="21"/>
    </row>
    <row r="302" ht="15.75" customHeight="1">
      <c r="C302" s="21"/>
    </row>
    <row r="303" ht="15.75" customHeight="1">
      <c r="C303" s="21"/>
    </row>
    <row r="304" ht="15.75" customHeight="1">
      <c r="C304" s="21"/>
    </row>
    <row r="305" ht="15.75" customHeight="1">
      <c r="C305" s="21"/>
    </row>
    <row r="306" ht="15.75" customHeight="1">
      <c r="C306" s="21"/>
    </row>
    <row r="307" ht="15.75" customHeight="1">
      <c r="C307" s="21"/>
    </row>
    <row r="308" ht="15.75" customHeight="1">
      <c r="C308" s="21"/>
    </row>
    <row r="309" ht="15.75" customHeight="1">
      <c r="C309" s="21"/>
    </row>
    <row r="310" ht="15.75" customHeight="1">
      <c r="C310" s="21"/>
    </row>
    <row r="311" ht="15.75" customHeight="1">
      <c r="C311" s="21"/>
    </row>
    <row r="312" ht="15.75" customHeight="1">
      <c r="C312" s="21"/>
    </row>
    <row r="313" ht="15.75" customHeight="1">
      <c r="C313" s="21"/>
    </row>
    <row r="314" ht="15.75" customHeight="1">
      <c r="C314" s="21"/>
    </row>
    <row r="315" ht="15.75" customHeight="1">
      <c r="C315" s="21"/>
    </row>
    <row r="316" ht="15.75" customHeight="1">
      <c r="C316" s="21"/>
    </row>
    <row r="317" ht="15.75" customHeight="1">
      <c r="C317" s="21"/>
    </row>
    <row r="318" ht="15.75" customHeight="1">
      <c r="C318" s="21"/>
    </row>
    <row r="319" ht="15.75" customHeight="1">
      <c r="C319" s="21"/>
    </row>
    <row r="320" ht="15.75" customHeight="1">
      <c r="C320" s="21"/>
    </row>
    <row r="321" ht="15.75" customHeight="1">
      <c r="C321" s="21"/>
    </row>
    <row r="322" ht="15.75" customHeight="1">
      <c r="C322" s="21"/>
    </row>
    <row r="323" ht="15.75" customHeight="1">
      <c r="C323" s="21"/>
    </row>
    <row r="324" ht="15.75" customHeight="1">
      <c r="C324" s="21"/>
    </row>
    <row r="325" ht="15.75" customHeight="1">
      <c r="C325" s="21"/>
    </row>
    <row r="326" ht="15.75" customHeight="1">
      <c r="C326" s="21"/>
    </row>
    <row r="327" ht="15.75" customHeight="1">
      <c r="C327" s="21"/>
    </row>
    <row r="328" ht="15.75" customHeight="1">
      <c r="C328" s="21"/>
    </row>
    <row r="329" ht="15.75" customHeight="1">
      <c r="C329" s="21"/>
    </row>
    <row r="330" ht="15.75" customHeight="1">
      <c r="C330" s="21"/>
    </row>
    <row r="331" ht="15.75" customHeight="1">
      <c r="C331" s="21"/>
    </row>
    <row r="332" ht="15.75" customHeight="1">
      <c r="C332" s="21"/>
    </row>
    <row r="333" ht="15.75" customHeight="1">
      <c r="C333" s="21"/>
    </row>
    <row r="334" ht="15.75" customHeight="1">
      <c r="C334" s="21"/>
    </row>
    <row r="335" ht="15.75" customHeight="1">
      <c r="C335" s="21"/>
    </row>
    <row r="336" ht="15.75" customHeight="1">
      <c r="C336" s="21"/>
    </row>
    <row r="337" ht="15.75" customHeight="1">
      <c r="C337" s="21"/>
    </row>
    <row r="338" ht="15.75" customHeight="1">
      <c r="C338" s="21"/>
    </row>
    <row r="339" ht="15.75" customHeight="1">
      <c r="C339" s="21"/>
    </row>
    <row r="340" ht="15.75" customHeight="1">
      <c r="C340" s="21"/>
    </row>
    <row r="341" ht="15.75" customHeight="1">
      <c r="C341" s="21"/>
    </row>
    <row r="342" ht="15.75" customHeight="1">
      <c r="C342" s="21"/>
    </row>
    <row r="343" ht="15.75" customHeight="1">
      <c r="C343" s="21"/>
    </row>
    <row r="344" ht="15.75" customHeight="1">
      <c r="C344" s="21"/>
    </row>
    <row r="345" ht="15.75" customHeight="1">
      <c r="C345" s="21"/>
    </row>
    <row r="346" ht="15.75" customHeight="1">
      <c r="C346" s="21"/>
    </row>
    <row r="347" ht="15.75" customHeight="1">
      <c r="C347" s="21"/>
    </row>
    <row r="348" ht="15.75" customHeight="1">
      <c r="C348" s="21"/>
    </row>
    <row r="349" ht="15.75" customHeight="1">
      <c r="C349" s="21"/>
    </row>
    <row r="350" ht="15.75" customHeight="1">
      <c r="C350" s="21"/>
    </row>
    <row r="351" ht="15.75" customHeight="1">
      <c r="C351" s="21"/>
    </row>
    <row r="352" ht="15.75" customHeight="1">
      <c r="C352" s="21"/>
    </row>
    <row r="353" ht="15.75" customHeight="1">
      <c r="C353" s="21"/>
    </row>
    <row r="354" ht="15.75" customHeight="1">
      <c r="C354" s="21"/>
    </row>
    <row r="355" ht="15.75" customHeight="1">
      <c r="C355" s="21"/>
    </row>
    <row r="356" ht="15.75" customHeight="1">
      <c r="C356" s="21"/>
    </row>
    <row r="357" ht="15.75" customHeight="1">
      <c r="C357" s="21"/>
    </row>
    <row r="358" ht="15.75" customHeight="1">
      <c r="C358" s="21"/>
    </row>
    <row r="359" ht="15.75" customHeight="1">
      <c r="C359" s="21"/>
    </row>
    <row r="360" ht="15.75" customHeight="1">
      <c r="C360" s="21"/>
    </row>
    <row r="361" ht="15.75" customHeight="1">
      <c r="C361" s="21"/>
    </row>
    <row r="362" ht="15.75" customHeight="1">
      <c r="C362" s="21"/>
    </row>
    <row r="363" ht="15.75" customHeight="1">
      <c r="C363" s="21"/>
    </row>
    <row r="364" ht="15.75" customHeight="1">
      <c r="C364" s="21"/>
    </row>
    <row r="365" ht="15.75" customHeight="1">
      <c r="C365" s="21"/>
    </row>
    <row r="366" ht="15.75" customHeight="1">
      <c r="C366" s="21"/>
    </row>
    <row r="367" ht="15.75" customHeight="1">
      <c r="C367" s="21"/>
    </row>
    <row r="368" ht="15.75" customHeight="1">
      <c r="C368" s="21"/>
    </row>
    <row r="369" ht="15.75" customHeight="1">
      <c r="C369" s="21"/>
    </row>
    <row r="370" ht="15.75" customHeight="1">
      <c r="C370" s="21"/>
    </row>
    <row r="371" ht="15.75" customHeight="1">
      <c r="C371" s="21"/>
    </row>
    <row r="372" ht="15.75" customHeight="1">
      <c r="C372" s="21"/>
    </row>
    <row r="373" ht="15.75" customHeight="1">
      <c r="C373" s="21"/>
    </row>
    <row r="374" ht="15.75" customHeight="1">
      <c r="C374" s="21"/>
    </row>
    <row r="375" ht="15.75" customHeight="1">
      <c r="C375" s="21"/>
    </row>
    <row r="376" ht="15.75" customHeight="1">
      <c r="C376" s="21"/>
    </row>
    <row r="377" ht="15.75" customHeight="1">
      <c r="C377" s="21"/>
    </row>
    <row r="378" ht="15.75" customHeight="1">
      <c r="C378" s="21"/>
    </row>
    <row r="379" ht="15.75" customHeight="1">
      <c r="C379" s="21"/>
    </row>
    <row r="380" ht="15.75" customHeight="1">
      <c r="C380" s="21"/>
    </row>
    <row r="381" ht="15.75" customHeight="1">
      <c r="C381" s="21"/>
    </row>
    <row r="382" ht="15.75" customHeight="1">
      <c r="C382" s="21"/>
    </row>
    <row r="383" ht="15.75" customHeight="1">
      <c r="C383" s="21"/>
    </row>
    <row r="384" ht="15.75" customHeight="1">
      <c r="C384" s="21"/>
    </row>
    <row r="385" ht="15.75" customHeight="1">
      <c r="C385" s="21"/>
    </row>
    <row r="386" ht="15.75" customHeight="1">
      <c r="C386" s="21"/>
    </row>
    <row r="387" ht="15.75" customHeight="1">
      <c r="C387" s="21"/>
    </row>
    <row r="388" ht="15.75" customHeight="1">
      <c r="C388" s="21"/>
    </row>
    <row r="389" ht="15.75" customHeight="1">
      <c r="C389" s="21"/>
    </row>
    <row r="390" ht="15.75" customHeight="1">
      <c r="C390" s="21"/>
    </row>
    <row r="391" ht="15.75" customHeight="1">
      <c r="C391" s="21"/>
    </row>
    <row r="392" ht="15.75" customHeight="1">
      <c r="C392" s="21"/>
    </row>
    <row r="393" ht="15.75" customHeight="1">
      <c r="C393" s="21"/>
    </row>
    <row r="394" ht="15.75" customHeight="1">
      <c r="C394" s="21"/>
    </row>
    <row r="395" ht="15.75" customHeight="1">
      <c r="C395" s="21"/>
    </row>
    <row r="396" ht="15.75" customHeight="1">
      <c r="C396" s="21"/>
    </row>
    <row r="397" ht="15.75" customHeight="1">
      <c r="C397" s="21"/>
    </row>
    <row r="398" ht="15.75" customHeight="1">
      <c r="C398" s="21"/>
    </row>
    <row r="399" ht="15.75" customHeight="1">
      <c r="C399" s="21"/>
    </row>
    <row r="400" ht="15.75" customHeight="1">
      <c r="C400" s="21"/>
    </row>
    <row r="401" ht="15.75" customHeight="1">
      <c r="C401" s="21"/>
    </row>
    <row r="402" ht="15.75" customHeight="1">
      <c r="C402" s="21"/>
    </row>
    <row r="403" ht="15.75" customHeight="1">
      <c r="C403" s="21"/>
    </row>
    <row r="404" ht="15.75" customHeight="1">
      <c r="C404" s="21"/>
    </row>
    <row r="405" ht="15.75" customHeight="1">
      <c r="C405" s="21"/>
    </row>
    <row r="406" ht="15.75" customHeight="1">
      <c r="C406" s="21"/>
    </row>
    <row r="407" ht="15.75" customHeight="1">
      <c r="C407" s="21"/>
    </row>
    <row r="408" ht="15.75" customHeight="1">
      <c r="C408" s="21"/>
    </row>
    <row r="409" ht="15.75" customHeight="1">
      <c r="C409" s="21"/>
    </row>
    <row r="410" ht="15.75" customHeight="1">
      <c r="C410" s="21"/>
    </row>
    <row r="411" ht="15.75" customHeight="1">
      <c r="C411" s="21"/>
    </row>
    <row r="412" ht="15.75" customHeight="1">
      <c r="C412" s="21"/>
    </row>
    <row r="413" ht="15.75" customHeight="1">
      <c r="C413" s="21"/>
    </row>
    <row r="414" ht="15.75" customHeight="1">
      <c r="C414" s="21"/>
    </row>
    <row r="415" ht="15.75" customHeight="1">
      <c r="C415" s="21"/>
    </row>
    <row r="416" ht="15.75" customHeight="1">
      <c r="C416" s="21"/>
    </row>
    <row r="417" ht="15.75" customHeight="1">
      <c r="C417" s="21"/>
    </row>
    <row r="418" ht="15.75" customHeight="1">
      <c r="C418" s="21"/>
    </row>
    <row r="419" ht="15.75" customHeight="1">
      <c r="C419" s="21"/>
    </row>
    <row r="420" ht="15.75" customHeight="1">
      <c r="C420" s="21"/>
    </row>
    <row r="421" ht="15.75" customHeight="1">
      <c r="C421" s="21"/>
    </row>
    <row r="422" ht="15.75" customHeight="1">
      <c r="C422" s="21"/>
    </row>
    <row r="423" ht="15.75" customHeight="1">
      <c r="C423" s="21"/>
    </row>
    <row r="424" ht="15.75" customHeight="1">
      <c r="C424" s="21"/>
    </row>
    <row r="425" ht="15.75" customHeight="1">
      <c r="C425" s="21"/>
    </row>
    <row r="426" ht="15.75" customHeight="1">
      <c r="C426" s="21"/>
    </row>
    <row r="427" ht="15.75" customHeight="1">
      <c r="C427" s="21"/>
    </row>
    <row r="428" ht="15.75" customHeight="1">
      <c r="C428" s="21"/>
    </row>
    <row r="429" ht="15.75" customHeight="1">
      <c r="C429" s="21"/>
    </row>
    <row r="430" ht="15.75" customHeight="1">
      <c r="C430" s="21"/>
    </row>
    <row r="431" ht="15.75" customHeight="1">
      <c r="C431" s="21"/>
    </row>
    <row r="432" ht="15.75" customHeight="1">
      <c r="C432" s="21"/>
    </row>
    <row r="433" ht="15.75" customHeight="1">
      <c r="C433" s="21"/>
    </row>
    <row r="434" ht="15.75" customHeight="1">
      <c r="C434" s="21"/>
    </row>
    <row r="435" ht="15.75" customHeight="1">
      <c r="C435" s="21"/>
    </row>
    <row r="436" ht="15.75" customHeight="1">
      <c r="C436" s="21"/>
    </row>
    <row r="437" ht="15.75" customHeight="1">
      <c r="C437" s="21"/>
    </row>
    <row r="438" ht="15.75" customHeight="1">
      <c r="C438" s="21"/>
    </row>
    <row r="439" ht="15.75" customHeight="1">
      <c r="C439" s="21"/>
    </row>
    <row r="440" ht="15.75" customHeight="1">
      <c r="C440" s="21"/>
    </row>
    <row r="441" ht="15.75" customHeight="1">
      <c r="C441" s="21"/>
    </row>
    <row r="442" ht="15.75" customHeight="1">
      <c r="C442" s="21"/>
    </row>
    <row r="443" ht="15.75" customHeight="1">
      <c r="C443" s="21"/>
    </row>
    <row r="444" ht="15.75" customHeight="1">
      <c r="C444" s="21"/>
    </row>
    <row r="445" ht="15.75" customHeight="1">
      <c r="C445" s="21"/>
    </row>
    <row r="446" ht="15.75" customHeight="1">
      <c r="C446" s="21"/>
    </row>
    <row r="447" ht="15.75" customHeight="1">
      <c r="C447" s="21"/>
    </row>
    <row r="448" ht="15.75" customHeight="1">
      <c r="C448" s="21"/>
    </row>
    <row r="449" ht="15.75" customHeight="1">
      <c r="C449" s="21"/>
    </row>
    <row r="450" ht="15.75" customHeight="1">
      <c r="C450" s="21"/>
    </row>
    <row r="451" ht="15.75" customHeight="1">
      <c r="C451" s="21"/>
    </row>
    <row r="452" ht="15.75" customHeight="1">
      <c r="C452" s="21"/>
    </row>
    <row r="453" ht="15.75" customHeight="1">
      <c r="C453" s="21"/>
    </row>
    <row r="454" ht="15.75" customHeight="1">
      <c r="C454" s="21"/>
    </row>
    <row r="455" ht="15.75" customHeight="1">
      <c r="C455" s="21"/>
    </row>
    <row r="456" ht="15.75" customHeight="1">
      <c r="C456" s="21"/>
    </row>
    <row r="457" ht="15.75" customHeight="1">
      <c r="C457" s="21"/>
    </row>
    <row r="458" ht="15.75" customHeight="1">
      <c r="C458" s="21"/>
    </row>
    <row r="459" ht="15.75" customHeight="1">
      <c r="C459" s="21"/>
    </row>
    <row r="460" ht="15.75" customHeight="1">
      <c r="C460" s="21"/>
    </row>
    <row r="461" ht="15.75" customHeight="1">
      <c r="C461" s="21"/>
    </row>
    <row r="462" ht="15.75" customHeight="1">
      <c r="C462" s="21"/>
    </row>
    <row r="463" ht="15.75" customHeight="1">
      <c r="C463" s="21"/>
    </row>
    <row r="464" ht="15.75" customHeight="1">
      <c r="C464" s="21"/>
    </row>
    <row r="465" ht="15.75" customHeight="1">
      <c r="C465" s="21"/>
    </row>
    <row r="466" ht="15.75" customHeight="1">
      <c r="C466" s="21"/>
    </row>
    <row r="467" ht="15.75" customHeight="1">
      <c r="C467" s="21"/>
    </row>
    <row r="468" ht="15.75" customHeight="1">
      <c r="C468" s="21"/>
    </row>
    <row r="469" ht="15.75" customHeight="1">
      <c r="C469" s="21"/>
    </row>
    <row r="470" ht="15.75" customHeight="1">
      <c r="C470" s="21"/>
    </row>
    <row r="471" ht="15.75" customHeight="1">
      <c r="C471" s="21"/>
    </row>
    <row r="472" ht="15.75" customHeight="1">
      <c r="C472" s="21"/>
    </row>
    <row r="473" ht="15.75" customHeight="1">
      <c r="C473" s="21"/>
    </row>
    <row r="474" ht="15.75" customHeight="1">
      <c r="C474" s="21"/>
    </row>
    <row r="475" ht="15.75" customHeight="1">
      <c r="C475" s="21"/>
    </row>
    <row r="476" ht="15.75" customHeight="1">
      <c r="C476" s="21"/>
    </row>
    <row r="477" ht="15.75" customHeight="1">
      <c r="C477" s="21"/>
    </row>
    <row r="478" ht="15.75" customHeight="1">
      <c r="C478" s="21"/>
    </row>
    <row r="479" ht="15.75" customHeight="1">
      <c r="C479" s="21"/>
    </row>
    <row r="480" ht="15.75" customHeight="1">
      <c r="C480" s="21"/>
    </row>
    <row r="481" ht="15.75" customHeight="1">
      <c r="C481" s="21"/>
    </row>
    <row r="482" ht="15.75" customHeight="1">
      <c r="C482" s="21"/>
    </row>
    <row r="483" ht="15.75" customHeight="1">
      <c r="C483" s="21"/>
    </row>
    <row r="484" ht="15.75" customHeight="1">
      <c r="C484" s="21"/>
    </row>
    <row r="485" ht="15.75" customHeight="1">
      <c r="C485" s="21"/>
    </row>
    <row r="486" ht="15.75" customHeight="1">
      <c r="C486" s="21"/>
    </row>
    <row r="487" ht="15.75" customHeight="1">
      <c r="C487" s="21"/>
    </row>
    <row r="488" ht="15.75" customHeight="1">
      <c r="C488" s="21"/>
    </row>
    <row r="489" ht="15.75" customHeight="1">
      <c r="C489" s="21"/>
    </row>
    <row r="490" ht="15.75" customHeight="1">
      <c r="C490" s="21"/>
    </row>
    <row r="491" ht="15.75" customHeight="1">
      <c r="C491" s="21"/>
    </row>
    <row r="492" ht="15.75" customHeight="1">
      <c r="C492" s="21"/>
    </row>
    <row r="493" ht="15.75" customHeight="1">
      <c r="C493" s="21"/>
    </row>
    <row r="494" ht="15.75" customHeight="1">
      <c r="C494" s="21"/>
    </row>
    <row r="495" ht="15.75" customHeight="1">
      <c r="C495" s="21"/>
    </row>
    <row r="496" ht="15.75" customHeight="1">
      <c r="C496" s="21"/>
    </row>
    <row r="497" ht="15.75" customHeight="1">
      <c r="C497" s="21"/>
    </row>
    <row r="498" ht="15.75" customHeight="1">
      <c r="C498" s="21"/>
    </row>
    <row r="499" ht="15.75" customHeight="1">
      <c r="C499" s="21"/>
    </row>
    <row r="500" ht="15.75" customHeight="1">
      <c r="C500" s="21"/>
    </row>
    <row r="501" ht="15.75" customHeight="1">
      <c r="C501" s="21"/>
    </row>
    <row r="502" ht="15.75" customHeight="1">
      <c r="C502" s="21"/>
    </row>
    <row r="503" ht="15.75" customHeight="1">
      <c r="C503" s="21"/>
    </row>
    <row r="504" ht="15.75" customHeight="1">
      <c r="C504" s="21"/>
    </row>
    <row r="505" ht="15.75" customHeight="1">
      <c r="C505" s="21"/>
    </row>
    <row r="506" ht="15.75" customHeight="1">
      <c r="C506" s="21"/>
    </row>
    <row r="507" ht="15.75" customHeight="1">
      <c r="C507" s="21"/>
    </row>
    <row r="508" ht="15.75" customHeight="1">
      <c r="C508" s="21"/>
    </row>
    <row r="509" ht="15.75" customHeight="1">
      <c r="C509" s="21"/>
    </row>
    <row r="510" ht="15.75" customHeight="1">
      <c r="C510" s="21"/>
    </row>
    <row r="511" ht="15.75" customHeight="1">
      <c r="C511" s="21"/>
    </row>
    <row r="512" ht="15.75" customHeight="1">
      <c r="C512" s="21"/>
    </row>
    <row r="513" ht="15.75" customHeight="1">
      <c r="C513" s="21"/>
    </row>
    <row r="514" ht="15.75" customHeight="1">
      <c r="C514" s="21"/>
    </row>
    <row r="515" ht="15.75" customHeight="1">
      <c r="C515" s="21"/>
    </row>
    <row r="516" ht="15.75" customHeight="1">
      <c r="C516" s="21"/>
    </row>
    <row r="517" ht="15.75" customHeight="1">
      <c r="C517" s="21"/>
    </row>
    <row r="518" ht="15.75" customHeight="1">
      <c r="C518" s="21"/>
    </row>
    <row r="519" ht="15.75" customHeight="1">
      <c r="C519" s="21"/>
    </row>
    <row r="520" ht="15.75" customHeight="1">
      <c r="C520" s="21"/>
    </row>
    <row r="521" ht="15.75" customHeight="1">
      <c r="C521" s="21"/>
    </row>
    <row r="522" ht="15.75" customHeight="1">
      <c r="C522" s="21"/>
    </row>
    <row r="523" ht="15.75" customHeight="1">
      <c r="C523" s="21"/>
    </row>
    <row r="524" ht="15.75" customHeight="1">
      <c r="C524" s="21"/>
    </row>
    <row r="525" ht="15.75" customHeight="1">
      <c r="C525" s="21"/>
    </row>
    <row r="526" ht="15.75" customHeight="1">
      <c r="C526" s="21"/>
    </row>
    <row r="527" ht="15.75" customHeight="1">
      <c r="C527" s="21"/>
    </row>
    <row r="528" ht="15.75" customHeight="1">
      <c r="C528" s="21"/>
    </row>
    <row r="529" ht="15.75" customHeight="1">
      <c r="C529" s="21"/>
    </row>
    <row r="530" ht="15.75" customHeight="1">
      <c r="C530" s="21"/>
    </row>
    <row r="531" ht="15.75" customHeight="1">
      <c r="C531" s="21"/>
    </row>
    <row r="532" ht="15.75" customHeight="1">
      <c r="C532" s="21"/>
    </row>
    <row r="533" ht="15.75" customHeight="1">
      <c r="C533" s="21"/>
    </row>
    <row r="534" ht="15.75" customHeight="1">
      <c r="C534" s="21"/>
    </row>
    <row r="535" ht="15.75" customHeight="1">
      <c r="C535" s="21"/>
    </row>
    <row r="536" ht="15.75" customHeight="1">
      <c r="C536" s="21"/>
    </row>
    <row r="537" ht="15.75" customHeight="1">
      <c r="C537" s="21"/>
    </row>
    <row r="538" ht="15.75" customHeight="1">
      <c r="C538" s="21"/>
    </row>
    <row r="539" ht="15.75" customHeight="1">
      <c r="C539" s="21"/>
    </row>
    <row r="540" ht="15.75" customHeight="1">
      <c r="C540" s="21"/>
    </row>
    <row r="541" ht="15.75" customHeight="1">
      <c r="C541" s="21"/>
    </row>
    <row r="542" ht="15.75" customHeight="1">
      <c r="C542" s="21"/>
    </row>
    <row r="543" ht="15.75" customHeight="1">
      <c r="C543" s="21"/>
    </row>
    <row r="544" ht="15.75" customHeight="1">
      <c r="C544" s="21"/>
    </row>
    <row r="545" ht="15.75" customHeight="1">
      <c r="C545" s="21"/>
    </row>
    <row r="546" ht="15.75" customHeight="1">
      <c r="C546" s="21"/>
    </row>
    <row r="547" ht="15.75" customHeight="1">
      <c r="C547" s="21"/>
    </row>
    <row r="548" ht="15.75" customHeight="1">
      <c r="C548" s="21"/>
    </row>
    <row r="549" ht="15.75" customHeight="1">
      <c r="C549" s="21"/>
    </row>
    <row r="550" ht="15.75" customHeight="1">
      <c r="C550" s="21"/>
    </row>
    <row r="551" ht="15.75" customHeight="1">
      <c r="C551" s="21"/>
    </row>
    <row r="552" ht="15.75" customHeight="1">
      <c r="C552" s="21"/>
    </row>
    <row r="553" ht="15.75" customHeight="1">
      <c r="C553" s="21"/>
    </row>
    <row r="554" ht="15.75" customHeight="1">
      <c r="C554" s="21"/>
    </row>
    <row r="555" ht="15.75" customHeight="1">
      <c r="C555" s="21"/>
    </row>
    <row r="556" ht="15.75" customHeight="1">
      <c r="C556" s="21"/>
    </row>
    <row r="557" ht="15.75" customHeight="1">
      <c r="C557" s="21"/>
    </row>
    <row r="558" ht="15.75" customHeight="1">
      <c r="C558" s="21"/>
    </row>
    <row r="559" ht="15.75" customHeight="1">
      <c r="C559" s="21"/>
    </row>
    <row r="560" ht="15.75" customHeight="1">
      <c r="C560" s="21"/>
    </row>
    <row r="561" ht="15.75" customHeight="1">
      <c r="C561" s="21"/>
    </row>
    <row r="562" ht="15.75" customHeight="1">
      <c r="C562" s="21"/>
    </row>
    <row r="563" ht="15.75" customHeight="1">
      <c r="C563" s="21"/>
    </row>
    <row r="564" ht="15.75" customHeight="1">
      <c r="C564" s="21"/>
    </row>
    <row r="565" ht="15.75" customHeight="1">
      <c r="C565" s="21"/>
    </row>
    <row r="566" ht="15.75" customHeight="1">
      <c r="C566" s="21"/>
    </row>
    <row r="567" ht="15.75" customHeight="1">
      <c r="C567" s="21"/>
    </row>
    <row r="568" ht="15.75" customHeight="1">
      <c r="C568" s="21"/>
    </row>
    <row r="569" ht="15.75" customHeight="1">
      <c r="C569" s="21"/>
    </row>
    <row r="570" ht="15.75" customHeight="1">
      <c r="C570" s="21"/>
    </row>
    <row r="571" ht="15.75" customHeight="1">
      <c r="C571" s="21"/>
    </row>
    <row r="572" ht="15.75" customHeight="1">
      <c r="C572" s="21"/>
    </row>
    <row r="573" ht="15.75" customHeight="1">
      <c r="C573" s="21"/>
    </row>
    <row r="574" ht="15.75" customHeight="1">
      <c r="C574" s="21"/>
    </row>
    <row r="575" ht="15.75" customHeight="1">
      <c r="C575" s="21"/>
    </row>
    <row r="576" ht="15.75" customHeight="1">
      <c r="C576" s="21"/>
    </row>
    <row r="577" ht="15.75" customHeight="1">
      <c r="C577" s="21"/>
    </row>
    <row r="578" ht="15.75" customHeight="1">
      <c r="C578" s="21"/>
    </row>
    <row r="579" ht="15.75" customHeight="1">
      <c r="C579" s="21"/>
    </row>
    <row r="580" ht="15.75" customHeight="1">
      <c r="C580" s="21"/>
    </row>
    <row r="581" ht="15.75" customHeight="1">
      <c r="C581" s="21"/>
    </row>
    <row r="582" ht="15.75" customHeight="1">
      <c r="C582" s="21"/>
    </row>
    <row r="583" ht="15.75" customHeight="1">
      <c r="C583" s="21"/>
    </row>
    <row r="584" ht="15.75" customHeight="1">
      <c r="C584" s="21"/>
    </row>
    <row r="585" ht="15.75" customHeight="1">
      <c r="C585" s="21"/>
    </row>
    <row r="586" ht="15.75" customHeight="1">
      <c r="C586" s="21"/>
    </row>
    <row r="587" ht="15.75" customHeight="1">
      <c r="C587" s="21"/>
    </row>
    <row r="588" ht="15.75" customHeight="1">
      <c r="C588" s="21"/>
    </row>
    <row r="589" ht="15.75" customHeight="1">
      <c r="C589" s="21"/>
    </row>
    <row r="590" ht="15.75" customHeight="1">
      <c r="C590" s="21"/>
    </row>
    <row r="591" ht="15.75" customHeight="1">
      <c r="C591" s="21"/>
    </row>
    <row r="592" ht="15.75" customHeight="1">
      <c r="C592" s="21"/>
    </row>
    <row r="593" ht="15.75" customHeight="1">
      <c r="C593" s="21"/>
    </row>
    <row r="594" ht="15.75" customHeight="1">
      <c r="C594" s="21"/>
    </row>
    <row r="595" ht="15.75" customHeight="1">
      <c r="C595" s="21"/>
    </row>
    <row r="596" ht="15.75" customHeight="1">
      <c r="C596" s="21"/>
    </row>
    <row r="597" ht="15.75" customHeight="1">
      <c r="C597" s="21"/>
    </row>
    <row r="598" ht="15.75" customHeight="1">
      <c r="C598" s="21"/>
    </row>
    <row r="599" ht="15.75" customHeight="1">
      <c r="C599" s="21"/>
    </row>
    <row r="600" ht="15.75" customHeight="1">
      <c r="C600" s="21"/>
    </row>
    <row r="601" ht="15.75" customHeight="1">
      <c r="C601" s="21"/>
    </row>
    <row r="602" ht="15.75" customHeight="1">
      <c r="C602" s="21"/>
    </row>
    <row r="603" ht="15.75" customHeight="1">
      <c r="C603" s="21"/>
    </row>
    <row r="604" ht="15.75" customHeight="1">
      <c r="C604" s="21"/>
    </row>
    <row r="605" ht="15.75" customHeight="1">
      <c r="C605" s="21"/>
    </row>
    <row r="606" ht="15.75" customHeight="1">
      <c r="C606" s="21"/>
    </row>
    <row r="607" ht="15.75" customHeight="1">
      <c r="C607" s="21"/>
    </row>
    <row r="608" ht="15.75" customHeight="1">
      <c r="C608" s="21"/>
    </row>
    <row r="609" ht="15.75" customHeight="1">
      <c r="C609" s="21"/>
    </row>
    <row r="610" ht="15.75" customHeight="1">
      <c r="C610" s="21"/>
    </row>
    <row r="611" ht="15.75" customHeight="1">
      <c r="C611" s="21"/>
    </row>
    <row r="612" ht="15.75" customHeight="1">
      <c r="C612" s="21"/>
    </row>
    <row r="613" ht="15.75" customHeight="1">
      <c r="C613" s="21"/>
    </row>
    <row r="614" ht="15.75" customHeight="1">
      <c r="C614" s="21"/>
    </row>
    <row r="615" ht="15.75" customHeight="1">
      <c r="C615" s="21"/>
    </row>
    <row r="616" ht="15.75" customHeight="1">
      <c r="C616" s="21"/>
    </row>
    <row r="617" ht="15.75" customHeight="1">
      <c r="C617" s="21"/>
    </row>
    <row r="618" ht="15.75" customHeight="1">
      <c r="C618" s="21"/>
    </row>
    <row r="619" ht="15.75" customHeight="1">
      <c r="C619" s="21"/>
    </row>
    <row r="620" ht="15.75" customHeight="1">
      <c r="C620" s="21"/>
    </row>
    <row r="621" ht="15.75" customHeight="1">
      <c r="C621" s="21"/>
    </row>
    <row r="622" ht="15.75" customHeight="1">
      <c r="C622" s="21"/>
    </row>
    <row r="623" ht="15.75" customHeight="1">
      <c r="C623" s="21"/>
    </row>
    <row r="624" ht="15.75" customHeight="1">
      <c r="C624" s="21"/>
    </row>
    <row r="625" ht="15.75" customHeight="1">
      <c r="C625" s="21"/>
    </row>
    <row r="626" ht="15.75" customHeight="1">
      <c r="C626" s="21"/>
    </row>
    <row r="627" ht="15.75" customHeight="1">
      <c r="C627" s="21"/>
    </row>
    <row r="628" ht="15.75" customHeight="1">
      <c r="C628" s="21"/>
    </row>
    <row r="629" ht="15.75" customHeight="1">
      <c r="C629" s="21"/>
    </row>
    <row r="630" ht="15.75" customHeight="1">
      <c r="C630" s="21"/>
    </row>
    <row r="631" ht="15.75" customHeight="1">
      <c r="C631" s="21"/>
    </row>
    <row r="632" ht="15.75" customHeight="1">
      <c r="C632" s="21"/>
    </row>
    <row r="633" ht="15.75" customHeight="1">
      <c r="C633" s="21"/>
    </row>
    <row r="634" ht="15.75" customHeight="1">
      <c r="C634" s="21"/>
    </row>
    <row r="635" ht="15.75" customHeight="1">
      <c r="C635" s="21"/>
    </row>
    <row r="636" ht="15.75" customHeight="1">
      <c r="C636" s="21"/>
    </row>
    <row r="637" ht="15.75" customHeight="1">
      <c r="C637" s="21"/>
    </row>
    <row r="638" ht="15.75" customHeight="1">
      <c r="C638" s="21"/>
    </row>
    <row r="639" ht="15.75" customHeight="1">
      <c r="C639" s="21"/>
    </row>
    <row r="640" ht="15.75" customHeight="1">
      <c r="C640" s="21"/>
    </row>
    <row r="641" ht="15.75" customHeight="1">
      <c r="C641" s="21"/>
    </row>
    <row r="642" ht="15.75" customHeight="1">
      <c r="C642" s="21"/>
    </row>
    <row r="643" ht="15.75" customHeight="1">
      <c r="C643" s="21"/>
    </row>
    <row r="644" ht="15.75" customHeight="1">
      <c r="C644" s="21"/>
    </row>
    <row r="645" ht="15.75" customHeight="1">
      <c r="C645" s="21"/>
    </row>
    <row r="646" ht="15.75" customHeight="1">
      <c r="C646" s="21"/>
    </row>
    <row r="647" ht="15.75" customHeight="1">
      <c r="C647" s="21"/>
    </row>
    <row r="648" ht="15.75" customHeight="1">
      <c r="C648" s="21"/>
    </row>
    <row r="649" ht="15.75" customHeight="1">
      <c r="C649" s="21"/>
    </row>
    <row r="650" ht="15.75" customHeight="1">
      <c r="C650" s="21"/>
    </row>
    <row r="651" ht="15.75" customHeight="1">
      <c r="C651" s="21"/>
    </row>
    <row r="652" ht="15.75" customHeight="1">
      <c r="C652" s="21"/>
    </row>
    <row r="653" ht="15.75" customHeight="1">
      <c r="C653" s="21"/>
    </row>
    <row r="654" ht="15.75" customHeight="1">
      <c r="C654" s="21"/>
    </row>
    <row r="655" ht="15.75" customHeight="1">
      <c r="C655" s="21"/>
    </row>
    <row r="656" ht="15.75" customHeight="1">
      <c r="C656" s="21"/>
    </row>
    <row r="657" ht="15.75" customHeight="1">
      <c r="C657" s="21"/>
    </row>
    <row r="658" ht="15.75" customHeight="1">
      <c r="C658" s="21"/>
    </row>
    <row r="659" ht="15.75" customHeight="1">
      <c r="C659" s="21"/>
    </row>
    <row r="660" ht="15.75" customHeight="1">
      <c r="C660" s="21"/>
    </row>
    <row r="661" ht="15.75" customHeight="1">
      <c r="C661" s="21"/>
    </row>
    <row r="662" ht="15.75" customHeight="1">
      <c r="C662" s="21"/>
    </row>
    <row r="663" ht="15.75" customHeight="1">
      <c r="C663" s="21"/>
    </row>
    <row r="664" ht="15.75" customHeight="1">
      <c r="C664" s="21"/>
    </row>
    <row r="665" ht="15.75" customHeight="1">
      <c r="C665" s="21"/>
    </row>
    <row r="666" ht="15.75" customHeight="1">
      <c r="C666" s="21"/>
    </row>
    <row r="667" ht="15.75" customHeight="1">
      <c r="C667" s="21"/>
    </row>
    <row r="668" ht="15.75" customHeight="1">
      <c r="C668" s="21"/>
    </row>
    <row r="669" ht="15.75" customHeight="1">
      <c r="C669" s="21"/>
    </row>
    <row r="670" ht="15.75" customHeight="1">
      <c r="C670" s="21"/>
    </row>
    <row r="671" ht="15.75" customHeight="1">
      <c r="C671" s="21"/>
    </row>
    <row r="672" ht="15.75" customHeight="1">
      <c r="C672" s="21"/>
    </row>
    <row r="673" ht="15.75" customHeight="1">
      <c r="C673" s="21"/>
    </row>
    <row r="674" ht="15.75" customHeight="1">
      <c r="C674" s="21"/>
    </row>
    <row r="675" ht="15.75" customHeight="1">
      <c r="C675" s="21"/>
    </row>
    <row r="676" ht="15.75" customHeight="1">
      <c r="C676" s="21"/>
    </row>
    <row r="677" ht="15.75" customHeight="1">
      <c r="C677" s="21"/>
    </row>
    <row r="678" ht="15.75" customHeight="1">
      <c r="C678" s="21"/>
    </row>
    <row r="679" ht="15.75" customHeight="1">
      <c r="C679" s="21"/>
    </row>
    <row r="680" ht="15.75" customHeight="1">
      <c r="C680" s="21"/>
    </row>
    <row r="681" ht="15.75" customHeight="1">
      <c r="C681" s="21"/>
    </row>
    <row r="682" ht="15.75" customHeight="1">
      <c r="C682" s="21"/>
    </row>
    <row r="683" ht="15.75" customHeight="1">
      <c r="C683" s="21"/>
    </row>
    <row r="684" ht="15.75" customHeight="1">
      <c r="C684" s="21"/>
    </row>
    <row r="685" ht="15.75" customHeight="1">
      <c r="C685" s="21"/>
    </row>
    <row r="686" ht="15.75" customHeight="1">
      <c r="C686" s="21"/>
    </row>
    <row r="687" ht="15.75" customHeight="1">
      <c r="C687" s="21"/>
    </row>
    <row r="688" ht="15.75" customHeight="1">
      <c r="C688" s="21"/>
    </row>
    <row r="689" ht="15.75" customHeight="1">
      <c r="C689" s="21"/>
    </row>
    <row r="690" ht="15.75" customHeight="1">
      <c r="C690" s="21"/>
    </row>
    <row r="691" ht="15.75" customHeight="1">
      <c r="C691" s="21"/>
    </row>
    <row r="692" ht="15.75" customHeight="1">
      <c r="C692" s="21"/>
    </row>
    <row r="693" ht="15.75" customHeight="1">
      <c r="C693" s="21"/>
    </row>
    <row r="694" ht="15.75" customHeight="1">
      <c r="C694" s="21"/>
    </row>
    <row r="695" ht="15.75" customHeight="1">
      <c r="C695" s="21"/>
    </row>
    <row r="696" ht="15.75" customHeight="1">
      <c r="C696" s="21"/>
    </row>
    <row r="697" ht="15.75" customHeight="1">
      <c r="C697" s="21"/>
    </row>
    <row r="698" ht="15.75" customHeight="1">
      <c r="C698" s="21"/>
    </row>
    <row r="699" ht="15.75" customHeight="1">
      <c r="C699" s="21"/>
    </row>
    <row r="700" ht="15.75" customHeight="1">
      <c r="C700" s="21"/>
    </row>
    <row r="701" ht="15.75" customHeight="1">
      <c r="C701" s="21"/>
    </row>
    <row r="702" ht="15.75" customHeight="1">
      <c r="C702" s="21"/>
    </row>
    <row r="703" ht="15.75" customHeight="1">
      <c r="C703" s="21"/>
    </row>
    <row r="704" ht="15.75" customHeight="1">
      <c r="C704" s="21"/>
    </row>
    <row r="705" ht="15.75" customHeight="1">
      <c r="C705" s="21"/>
    </row>
    <row r="706" ht="15.75" customHeight="1">
      <c r="C706" s="21"/>
    </row>
    <row r="707" ht="15.75" customHeight="1">
      <c r="C707" s="21"/>
    </row>
    <row r="708" ht="15.75" customHeight="1">
      <c r="C708" s="21"/>
    </row>
    <row r="709" ht="15.75" customHeight="1">
      <c r="C709" s="21"/>
    </row>
    <row r="710" ht="15.75" customHeight="1">
      <c r="C710" s="21"/>
    </row>
    <row r="711" ht="15.75" customHeight="1">
      <c r="C711" s="21"/>
    </row>
    <row r="712" ht="15.75" customHeight="1">
      <c r="C712" s="21"/>
    </row>
    <row r="713" ht="15.75" customHeight="1">
      <c r="C713" s="21"/>
    </row>
    <row r="714" ht="15.75" customHeight="1">
      <c r="C714" s="21"/>
    </row>
    <row r="715" ht="15.75" customHeight="1">
      <c r="C715" s="21"/>
    </row>
    <row r="716" ht="15.75" customHeight="1">
      <c r="C716" s="21"/>
    </row>
    <row r="717" ht="15.75" customHeight="1">
      <c r="C717" s="21"/>
    </row>
    <row r="718" ht="15.75" customHeight="1">
      <c r="C718" s="21"/>
    </row>
    <row r="719" ht="15.75" customHeight="1">
      <c r="C719" s="21"/>
    </row>
    <row r="720" ht="15.75" customHeight="1">
      <c r="C720" s="21"/>
    </row>
    <row r="721" ht="15.75" customHeight="1">
      <c r="C721" s="21"/>
    </row>
    <row r="722" ht="15.75" customHeight="1">
      <c r="C722" s="21"/>
    </row>
    <row r="723" ht="15.75" customHeight="1">
      <c r="C723" s="21"/>
    </row>
    <row r="724" ht="15.75" customHeight="1">
      <c r="C724" s="21"/>
    </row>
    <row r="725" ht="15.75" customHeight="1">
      <c r="C725" s="21"/>
    </row>
    <row r="726" ht="15.75" customHeight="1">
      <c r="C726" s="21"/>
    </row>
    <row r="727" ht="15.75" customHeight="1">
      <c r="C727" s="21"/>
    </row>
    <row r="728" ht="15.75" customHeight="1">
      <c r="C728" s="21"/>
    </row>
    <row r="729" ht="15.75" customHeight="1">
      <c r="C729" s="21"/>
    </row>
    <row r="730" ht="15.75" customHeight="1">
      <c r="C730" s="21"/>
    </row>
    <row r="731" ht="15.75" customHeight="1">
      <c r="C731" s="21"/>
    </row>
    <row r="732" ht="15.75" customHeight="1">
      <c r="C732" s="21"/>
    </row>
    <row r="733" ht="15.75" customHeight="1">
      <c r="C733" s="21"/>
    </row>
    <row r="734" ht="15.75" customHeight="1">
      <c r="C734" s="21"/>
    </row>
    <row r="735" ht="15.75" customHeight="1">
      <c r="C735" s="21"/>
    </row>
    <row r="736" ht="15.75" customHeight="1">
      <c r="C736" s="21"/>
    </row>
    <row r="737" ht="15.75" customHeight="1">
      <c r="C737" s="21"/>
    </row>
    <row r="738" ht="15.75" customHeight="1">
      <c r="C738" s="21"/>
    </row>
    <row r="739" ht="15.75" customHeight="1">
      <c r="C739" s="21"/>
    </row>
    <row r="740" ht="15.75" customHeight="1">
      <c r="C740" s="21"/>
    </row>
    <row r="741" ht="15.75" customHeight="1">
      <c r="C741" s="21"/>
    </row>
    <row r="742" ht="15.75" customHeight="1">
      <c r="C742" s="21"/>
    </row>
    <row r="743" ht="15.75" customHeight="1">
      <c r="C743" s="21"/>
    </row>
    <row r="744" ht="15.75" customHeight="1">
      <c r="C744" s="21"/>
    </row>
    <row r="745" ht="15.75" customHeight="1">
      <c r="C745" s="21"/>
    </row>
    <row r="746" ht="15.75" customHeight="1">
      <c r="C746" s="21"/>
    </row>
    <row r="747" ht="15.75" customHeight="1">
      <c r="C747" s="21"/>
    </row>
    <row r="748" ht="15.75" customHeight="1">
      <c r="C748" s="21"/>
    </row>
    <row r="749" ht="15.75" customHeight="1">
      <c r="C749" s="21"/>
    </row>
    <row r="750" ht="15.75" customHeight="1">
      <c r="C750" s="21"/>
    </row>
    <row r="751" ht="15.75" customHeight="1">
      <c r="C751" s="21"/>
    </row>
    <row r="752" ht="15.75" customHeight="1">
      <c r="C752" s="21"/>
    </row>
    <row r="753" ht="15.75" customHeight="1">
      <c r="C753" s="21"/>
    </row>
    <row r="754" ht="15.75" customHeight="1">
      <c r="C754" s="21"/>
    </row>
    <row r="755" ht="15.75" customHeight="1">
      <c r="C755" s="21"/>
    </row>
    <row r="756" ht="15.75" customHeight="1">
      <c r="C756" s="21"/>
    </row>
    <row r="757" ht="15.75" customHeight="1">
      <c r="C757" s="21"/>
    </row>
    <row r="758" ht="15.75" customHeight="1">
      <c r="C758" s="21"/>
    </row>
    <row r="759" ht="15.75" customHeight="1">
      <c r="C759" s="21"/>
    </row>
    <row r="760" ht="15.75" customHeight="1">
      <c r="C760" s="21"/>
    </row>
    <row r="761" ht="15.75" customHeight="1">
      <c r="C761" s="21"/>
    </row>
    <row r="762" ht="15.75" customHeight="1">
      <c r="C762" s="21"/>
    </row>
    <row r="763" ht="15.75" customHeight="1">
      <c r="C763" s="21"/>
    </row>
    <row r="764" ht="15.75" customHeight="1">
      <c r="C764" s="21"/>
    </row>
    <row r="765" ht="15.75" customHeight="1">
      <c r="C765" s="21"/>
    </row>
    <row r="766" ht="15.75" customHeight="1">
      <c r="C766" s="21"/>
    </row>
    <row r="767" ht="15.75" customHeight="1">
      <c r="C767" s="21"/>
    </row>
    <row r="768" ht="15.75" customHeight="1">
      <c r="C768" s="21"/>
    </row>
    <row r="769" ht="15.75" customHeight="1">
      <c r="C769" s="21"/>
    </row>
    <row r="770" ht="15.75" customHeight="1">
      <c r="C770" s="21"/>
    </row>
    <row r="771" ht="15.75" customHeight="1">
      <c r="C771" s="21"/>
    </row>
    <row r="772" ht="15.75" customHeight="1">
      <c r="C772" s="21"/>
    </row>
    <row r="773" ht="15.75" customHeight="1">
      <c r="C773" s="21"/>
    </row>
    <row r="774" ht="15.75" customHeight="1">
      <c r="C774" s="21"/>
    </row>
    <row r="775" ht="15.75" customHeight="1">
      <c r="C775" s="21"/>
    </row>
    <row r="776" ht="15.75" customHeight="1">
      <c r="C776" s="21"/>
    </row>
    <row r="777" ht="15.75" customHeight="1">
      <c r="C777" s="21"/>
    </row>
    <row r="778" ht="15.75" customHeight="1">
      <c r="C778" s="21"/>
    </row>
    <row r="779" ht="15.75" customHeight="1">
      <c r="C779" s="21"/>
    </row>
    <row r="780" ht="15.75" customHeight="1">
      <c r="C780" s="21"/>
    </row>
    <row r="781" ht="15.75" customHeight="1">
      <c r="C781" s="21"/>
    </row>
    <row r="782" ht="15.75" customHeight="1">
      <c r="C782" s="21"/>
    </row>
    <row r="783" ht="15.75" customHeight="1">
      <c r="C783" s="21"/>
    </row>
    <row r="784" ht="15.75" customHeight="1">
      <c r="C784" s="21"/>
    </row>
    <row r="785" ht="15.75" customHeight="1">
      <c r="C785" s="21"/>
    </row>
    <row r="786" ht="15.75" customHeight="1">
      <c r="C786" s="21"/>
    </row>
    <row r="787" ht="15.75" customHeight="1">
      <c r="C787" s="21"/>
    </row>
    <row r="788" ht="15.75" customHeight="1">
      <c r="C788" s="21"/>
    </row>
    <row r="789" ht="15.75" customHeight="1">
      <c r="C789" s="21"/>
    </row>
    <row r="790" ht="15.75" customHeight="1">
      <c r="C790" s="21"/>
    </row>
    <row r="791" ht="15.75" customHeight="1">
      <c r="C791" s="21"/>
    </row>
    <row r="792" ht="15.75" customHeight="1">
      <c r="C792" s="21"/>
    </row>
    <row r="793" ht="15.75" customHeight="1">
      <c r="C793" s="21"/>
    </row>
    <row r="794" ht="15.75" customHeight="1">
      <c r="C794" s="21"/>
    </row>
    <row r="795" ht="15.75" customHeight="1">
      <c r="C795" s="21"/>
    </row>
    <row r="796" ht="15.75" customHeight="1">
      <c r="C796" s="21"/>
    </row>
    <row r="797" ht="15.75" customHeight="1">
      <c r="C797" s="21"/>
    </row>
    <row r="798" ht="15.75" customHeight="1">
      <c r="C798" s="21"/>
    </row>
    <row r="799" ht="15.75" customHeight="1">
      <c r="C799" s="21"/>
    </row>
    <row r="800" ht="15.75" customHeight="1">
      <c r="C800" s="21"/>
    </row>
    <row r="801" ht="15.75" customHeight="1">
      <c r="C801" s="21"/>
    </row>
    <row r="802" ht="15.75" customHeight="1">
      <c r="C802" s="21"/>
    </row>
    <row r="803" ht="15.75" customHeight="1">
      <c r="C803" s="21"/>
    </row>
    <row r="804" ht="15.75" customHeight="1">
      <c r="C804" s="21"/>
    </row>
    <row r="805" ht="15.75" customHeight="1">
      <c r="C805" s="21"/>
    </row>
    <row r="806" ht="15.75" customHeight="1">
      <c r="C806" s="21"/>
    </row>
    <row r="807" ht="15.75" customHeight="1">
      <c r="C807" s="21"/>
    </row>
    <row r="808" ht="15.75" customHeight="1">
      <c r="C808" s="21"/>
    </row>
    <row r="809" ht="15.75" customHeight="1">
      <c r="C809" s="21"/>
    </row>
    <row r="810" ht="15.75" customHeight="1">
      <c r="C810" s="21"/>
    </row>
    <row r="811" ht="15.75" customHeight="1">
      <c r="C811" s="21"/>
    </row>
    <row r="812" ht="15.75" customHeight="1">
      <c r="C812" s="21"/>
    </row>
    <row r="813" ht="15.75" customHeight="1">
      <c r="C813" s="21"/>
    </row>
    <row r="814" ht="15.75" customHeight="1">
      <c r="C814" s="21"/>
    </row>
    <row r="815" ht="15.75" customHeight="1">
      <c r="C815" s="21"/>
    </row>
    <row r="816" ht="15.75" customHeight="1">
      <c r="C816" s="21"/>
    </row>
    <row r="817" ht="15.75" customHeight="1">
      <c r="C817" s="21"/>
    </row>
    <row r="818" ht="15.75" customHeight="1">
      <c r="C818" s="21"/>
    </row>
    <row r="819" ht="15.75" customHeight="1">
      <c r="C819" s="21"/>
    </row>
    <row r="820" ht="15.75" customHeight="1">
      <c r="C820" s="21"/>
    </row>
    <row r="821" ht="15.75" customHeight="1">
      <c r="C821" s="21"/>
    </row>
    <row r="822" ht="15.75" customHeight="1">
      <c r="C822" s="21"/>
    </row>
    <row r="823" ht="15.75" customHeight="1">
      <c r="C823" s="21"/>
    </row>
    <row r="824" ht="15.75" customHeight="1">
      <c r="C824" s="21"/>
    </row>
    <row r="825" ht="15.75" customHeight="1">
      <c r="C825" s="21"/>
    </row>
    <row r="826" ht="15.75" customHeight="1">
      <c r="C826" s="21"/>
    </row>
    <row r="827" ht="15.75" customHeight="1">
      <c r="C827" s="21"/>
    </row>
    <row r="828" ht="15.75" customHeight="1">
      <c r="C828" s="21"/>
    </row>
    <row r="829" ht="15.75" customHeight="1">
      <c r="C829" s="21"/>
    </row>
    <row r="830" ht="15.75" customHeight="1">
      <c r="C830" s="21"/>
    </row>
    <row r="831" ht="15.75" customHeight="1">
      <c r="C831" s="21"/>
    </row>
    <row r="832" ht="15.75" customHeight="1">
      <c r="C832" s="21"/>
    </row>
    <row r="833" ht="15.75" customHeight="1">
      <c r="C833" s="21"/>
    </row>
    <row r="834" ht="15.75" customHeight="1">
      <c r="C834" s="21"/>
    </row>
    <row r="835" ht="15.75" customHeight="1">
      <c r="C835" s="21"/>
    </row>
    <row r="836" ht="15.75" customHeight="1">
      <c r="C836" s="21"/>
    </row>
    <row r="837" ht="15.75" customHeight="1">
      <c r="C837" s="21"/>
    </row>
    <row r="838" ht="15.75" customHeight="1">
      <c r="C838" s="21"/>
    </row>
    <row r="839" ht="15.75" customHeight="1">
      <c r="C839" s="21"/>
    </row>
    <row r="840" ht="15.75" customHeight="1">
      <c r="C840" s="21"/>
    </row>
    <row r="841" ht="15.75" customHeight="1">
      <c r="C841" s="21"/>
    </row>
    <row r="842" ht="15.75" customHeight="1">
      <c r="C842" s="21"/>
    </row>
    <row r="843" ht="15.75" customHeight="1">
      <c r="C843" s="21"/>
    </row>
    <row r="844" ht="15.75" customHeight="1">
      <c r="C844" s="21"/>
    </row>
    <row r="845" ht="15.75" customHeight="1">
      <c r="C845" s="21"/>
    </row>
    <row r="846" ht="15.75" customHeight="1">
      <c r="C846" s="21"/>
    </row>
    <row r="847" ht="15.75" customHeight="1">
      <c r="C847" s="21"/>
    </row>
    <row r="848" ht="15.75" customHeight="1">
      <c r="C848" s="21"/>
    </row>
    <row r="849" ht="15.75" customHeight="1">
      <c r="C849" s="21"/>
    </row>
    <row r="850" ht="15.75" customHeight="1">
      <c r="C850" s="21"/>
    </row>
    <row r="851" ht="15.75" customHeight="1">
      <c r="C851" s="21"/>
    </row>
    <row r="852" ht="15.75" customHeight="1">
      <c r="C852" s="21"/>
    </row>
    <row r="853" ht="15.75" customHeight="1">
      <c r="C853" s="21"/>
    </row>
    <row r="854" ht="15.75" customHeight="1">
      <c r="C854" s="21"/>
    </row>
    <row r="855" ht="15.75" customHeight="1">
      <c r="C855" s="21"/>
    </row>
    <row r="856" ht="15.75" customHeight="1">
      <c r="C856" s="21"/>
    </row>
    <row r="857" ht="15.75" customHeight="1">
      <c r="C857" s="21"/>
    </row>
    <row r="858" ht="15.75" customHeight="1">
      <c r="C858" s="21"/>
    </row>
    <row r="859" ht="15.75" customHeight="1">
      <c r="C859" s="21"/>
    </row>
    <row r="860" ht="15.75" customHeight="1">
      <c r="C860" s="21"/>
    </row>
    <row r="861" ht="15.75" customHeight="1">
      <c r="C861" s="21"/>
    </row>
    <row r="862" ht="15.75" customHeight="1">
      <c r="C862" s="21"/>
    </row>
    <row r="863" ht="15.75" customHeight="1">
      <c r="C863" s="21"/>
    </row>
    <row r="864" ht="15.75" customHeight="1">
      <c r="C864" s="21"/>
    </row>
    <row r="865" ht="15.75" customHeight="1">
      <c r="C865" s="21"/>
    </row>
    <row r="866" ht="15.75" customHeight="1">
      <c r="C866" s="21"/>
    </row>
    <row r="867" ht="15.75" customHeight="1">
      <c r="C867" s="21"/>
    </row>
    <row r="868" ht="15.75" customHeight="1">
      <c r="C868" s="21"/>
    </row>
    <row r="869" ht="15.75" customHeight="1">
      <c r="C869" s="21"/>
    </row>
    <row r="870" ht="15.75" customHeight="1">
      <c r="C870" s="21"/>
    </row>
    <row r="871" ht="15.75" customHeight="1">
      <c r="C871" s="21"/>
    </row>
    <row r="872" ht="15.75" customHeight="1">
      <c r="C872" s="21"/>
    </row>
    <row r="873" ht="15.75" customHeight="1">
      <c r="C873" s="21"/>
    </row>
    <row r="874" ht="15.75" customHeight="1">
      <c r="C874" s="21"/>
    </row>
    <row r="875" ht="15.75" customHeight="1">
      <c r="C875" s="21"/>
    </row>
    <row r="876" ht="15.75" customHeight="1">
      <c r="C876" s="21"/>
    </row>
    <row r="877" ht="15.75" customHeight="1">
      <c r="C877" s="21"/>
    </row>
    <row r="878" ht="15.75" customHeight="1">
      <c r="C878" s="21"/>
    </row>
    <row r="879" ht="15.75" customHeight="1">
      <c r="C879" s="21"/>
    </row>
    <row r="880" ht="15.75" customHeight="1">
      <c r="C880" s="21"/>
    </row>
    <row r="881" ht="15.75" customHeight="1">
      <c r="C881" s="21"/>
    </row>
    <row r="882" ht="15.75" customHeight="1">
      <c r="C882" s="21"/>
    </row>
    <row r="883" ht="15.75" customHeight="1">
      <c r="C883" s="21"/>
    </row>
    <row r="884" ht="15.75" customHeight="1">
      <c r="C884" s="21"/>
    </row>
    <row r="885" ht="15.75" customHeight="1">
      <c r="C885" s="21"/>
    </row>
    <row r="886" ht="15.75" customHeight="1">
      <c r="C886" s="21"/>
    </row>
    <row r="887" ht="15.75" customHeight="1">
      <c r="C887" s="21"/>
    </row>
    <row r="888" ht="15.75" customHeight="1">
      <c r="C888" s="21"/>
    </row>
    <row r="889" ht="15.75" customHeight="1">
      <c r="C889" s="21"/>
    </row>
    <row r="890" ht="15.75" customHeight="1">
      <c r="C890" s="21"/>
    </row>
    <row r="891" ht="15.75" customHeight="1">
      <c r="C891" s="21"/>
    </row>
    <row r="892" ht="15.75" customHeight="1">
      <c r="C892" s="21"/>
    </row>
    <row r="893" ht="15.75" customHeight="1">
      <c r="C893" s="21"/>
    </row>
    <row r="894" ht="15.75" customHeight="1">
      <c r="C894" s="21"/>
    </row>
    <row r="895" ht="15.75" customHeight="1">
      <c r="C895" s="21"/>
    </row>
    <row r="896" ht="15.75" customHeight="1">
      <c r="C896" s="21"/>
    </row>
    <row r="897" ht="15.75" customHeight="1">
      <c r="C897" s="21"/>
    </row>
    <row r="898" ht="15.75" customHeight="1">
      <c r="C898" s="21"/>
    </row>
    <row r="899" ht="15.75" customHeight="1">
      <c r="C899" s="21"/>
    </row>
    <row r="900" ht="15.75" customHeight="1">
      <c r="C900" s="21"/>
    </row>
    <row r="901" ht="15.75" customHeight="1">
      <c r="C901" s="21"/>
    </row>
    <row r="902" ht="15.75" customHeight="1">
      <c r="C902" s="21"/>
    </row>
    <row r="903" ht="15.75" customHeight="1">
      <c r="C903" s="21"/>
    </row>
    <row r="904" ht="15.75" customHeight="1">
      <c r="C904" s="21"/>
    </row>
    <row r="905" ht="15.75" customHeight="1">
      <c r="C905" s="21"/>
    </row>
    <row r="906" ht="15.75" customHeight="1">
      <c r="C906" s="21"/>
    </row>
    <row r="907" ht="15.75" customHeight="1">
      <c r="C907" s="21"/>
    </row>
    <row r="908" ht="15.75" customHeight="1">
      <c r="C908" s="21"/>
    </row>
    <row r="909" ht="15.75" customHeight="1">
      <c r="C909" s="21"/>
    </row>
    <row r="910" ht="15.75" customHeight="1">
      <c r="C910" s="21"/>
    </row>
    <row r="911" ht="15.75" customHeight="1">
      <c r="C911" s="21"/>
    </row>
    <row r="912" ht="15.75" customHeight="1">
      <c r="C912" s="21"/>
    </row>
    <row r="913" ht="15.75" customHeight="1">
      <c r="C913" s="21"/>
    </row>
    <row r="914" ht="15.75" customHeight="1">
      <c r="C914" s="21"/>
    </row>
    <row r="915" ht="15.75" customHeight="1">
      <c r="C915" s="21"/>
    </row>
    <row r="916" ht="15.75" customHeight="1">
      <c r="C916" s="21"/>
    </row>
    <row r="917" ht="15.75" customHeight="1">
      <c r="C917" s="21"/>
    </row>
    <row r="918" ht="15.75" customHeight="1">
      <c r="C918" s="21"/>
    </row>
    <row r="919" ht="15.75" customHeight="1">
      <c r="C919" s="21"/>
    </row>
    <row r="920" ht="15.75" customHeight="1">
      <c r="C920" s="21"/>
    </row>
    <row r="921" ht="15.75" customHeight="1">
      <c r="C921" s="21"/>
    </row>
    <row r="922" ht="15.75" customHeight="1">
      <c r="C922" s="21"/>
    </row>
    <row r="923" ht="15.75" customHeight="1">
      <c r="C923" s="21"/>
    </row>
    <row r="924" ht="15.75" customHeight="1">
      <c r="C924" s="21"/>
    </row>
    <row r="925" ht="15.75" customHeight="1">
      <c r="C925" s="21"/>
    </row>
    <row r="926" ht="15.75" customHeight="1">
      <c r="C926" s="21"/>
    </row>
    <row r="927" ht="15.75" customHeight="1">
      <c r="C927" s="21"/>
    </row>
    <row r="928" ht="15.75" customHeight="1">
      <c r="C928" s="21"/>
    </row>
    <row r="929" ht="15.75" customHeight="1">
      <c r="C929" s="21"/>
    </row>
    <row r="930" ht="15.75" customHeight="1">
      <c r="C930" s="21"/>
    </row>
    <row r="931" ht="15.75" customHeight="1">
      <c r="C931" s="21"/>
    </row>
    <row r="932" ht="15.75" customHeight="1">
      <c r="C932" s="21"/>
    </row>
    <row r="933" ht="15.75" customHeight="1">
      <c r="C933" s="21"/>
    </row>
    <row r="934" ht="15.75" customHeight="1">
      <c r="C934" s="21"/>
    </row>
    <row r="935" ht="15.75" customHeight="1">
      <c r="C935" s="21"/>
    </row>
    <row r="936" ht="15.75" customHeight="1">
      <c r="C936" s="21"/>
    </row>
    <row r="937" ht="15.75" customHeight="1">
      <c r="C937" s="21"/>
    </row>
    <row r="938" ht="15.75" customHeight="1">
      <c r="C938" s="21"/>
    </row>
    <row r="939" ht="15.75" customHeight="1">
      <c r="C939" s="21"/>
    </row>
    <row r="940" ht="15.75" customHeight="1">
      <c r="C940" s="21"/>
    </row>
    <row r="941" ht="15.75" customHeight="1">
      <c r="C941" s="21"/>
    </row>
    <row r="942" ht="15.75" customHeight="1">
      <c r="C942" s="21"/>
    </row>
    <row r="943" ht="15.75" customHeight="1">
      <c r="C943" s="21"/>
    </row>
    <row r="944" ht="15.75" customHeight="1">
      <c r="C944" s="21"/>
    </row>
    <row r="945" ht="15.75" customHeight="1">
      <c r="C945" s="21"/>
    </row>
    <row r="946" ht="15.75" customHeight="1">
      <c r="C946" s="21"/>
    </row>
    <row r="947" ht="15.75" customHeight="1">
      <c r="C947" s="21"/>
    </row>
    <row r="948" ht="15.75" customHeight="1">
      <c r="C948" s="21"/>
    </row>
    <row r="949" ht="15.75" customHeight="1">
      <c r="C949" s="21"/>
    </row>
    <row r="950" ht="15.75" customHeight="1">
      <c r="C950" s="21"/>
    </row>
    <row r="951" ht="15.75" customHeight="1">
      <c r="C951" s="21"/>
    </row>
    <row r="952" ht="15.75" customHeight="1">
      <c r="C952" s="21"/>
    </row>
    <row r="953" ht="15.75" customHeight="1">
      <c r="C953" s="21"/>
    </row>
    <row r="954" ht="15.75" customHeight="1">
      <c r="C954" s="21"/>
    </row>
    <row r="955" ht="15.75" customHeight="1">
      <c r="C955" s="21"/>
    </row>
    <row r="956" ht="15.75" customHeight="1">
      <c r="C956" s="21"/>
    </row>
    <row r="957" ht="15.75" customHeight="1">
      <c r="C957" s="21"/>
    </row>
    <row r="958" ht="15.75" customHeight="1">
      <c r="C958" s="21"/>
    </row>
    <row r="959" ht="15.75" customHeight="1">
      <c r="C959" s="21"/>
    </row>
    <row r="960" ht="15.75" customHeight="1">
      <c r="C960" s="21"/>
    </row>
    <row r="961" ht="15.75" customHeight="1">
      <c r="C961" s="21"/>
    </row>
    <row r="962" ht="15.75" customHeight="1">
      <c r="C962" s="21"/>
    </row>
    <row r="963" ht="15.75" customHeight="1">
      <c r="C963" s="21"/>
    </row>
    <row r="964" ht="15.75" customHeight="1">
      <c r="C964" s="21"/>
    </row>
    <row r="965" ht="15.75" customHeight="1">
      <c r="C965" s="21"/>
    </row>
    <row r="966" ht="15.75" customHeight="1">
      <c r="C966" s="21"/>
    </row>
    <row r="967" ht="15.75" customHeight="1">
      <c r="C967" s="21"/>
    </row>
    <row r="968" ht="15.75" customHeight="1">
      <c r="C968" s="21"/>
    </row>
    <row r="969" ht="15.75" customHeight="1">
      <c r="C969" s="21"/>
    </row>
    <row r="970" ht="15.75" customHeight="1">
      <c r="C970" s="21"/>
    </row>
    <row r="971" ht="15.75" customHeight="1">
      <c r="C971" s="21"/>
    </row>
    <row r="972" ht="15.75" customHeight="1">
      <c r="C972" s="21"/>
    </row>
    <row r="973" ht="15.75" customHeight="1">
      <c r="C973" s="21"/>
    </row>
    <row r="974" ht="15.75" customHeight="1">
      <c r="C974" s="21"/>
    </row>
    <row r="975" ht="15.75" customHeight="1">
      <c r="C975" s="21"/>
    </row>
    <row r="976" ht="15.75" customHeight="1">
      <c r="C976" s="21"/>
    </row>
    <row r="977" ht="15.75" customHeight="1">
      <c r="C977" s="21"/>
    </row>
    <row r="978" ht="15.75" customHeight="1">
      <c r="C978" s="21"/>
    </row>
    <row r="979" ht="15.75" customHeight="1">
      <c r="C979" s="21"/>
    </row>
    <row r="980" ht="15.75" customHeight="1">
      <c r="C980" s="21"/>
    </row>
    <row r="981" ht="15.75" customHeight="1">
      <c r="C981" s="21"/>
    </row>
    <row r="982" ht="15.75" customHeight="1">
      <c r="C982" s="21"/>
    </row>
    <row r="983" ht="15.75" customHeight="1">
      <c r="C983" s="21"/>
    </row>
    <row r="984" ht="15.75" customHeight="1">
      <c r="C984" s="21"/>
    </row>
    <row r="985" ht="15.75" customHeight="1">
      <c r="C985" s="21"/>
    </row>
    <row r="986" ht="15.75" customHeight="1">
      <c r="C986" s="21"/>
    </row>
    <row r="987" ht="15.75" customHeight="1">
      <c r="C987" s="21"/>
    </row>
    <row r="988" ht="15.75" customHeight="1">
      <c r="C988" s="21"/>
    </row>
    <row r="989" ht="15.75" customHeight="1">
      <c r="C989" s="21"/>
    </row>
    <row r="990" ht="15.75" customHeight="1">
      <c r="C990" s="21"/>
    </row>
    <row r="991" ht="15.75" customHeight="1">
      <c r="C991" s="21"/>
    </row>
    <row r="992" ht="15.75" customHeight="1">
      <c r="C992" s="21"/>
    </row>
    <row r="993" ht="15.75" customHeight="1">
      <c r="C993" s="21"/>
    </row>
    <row r="994" ht="15.75" customHeight="1">
      <c r="C994" s="21"/>
    </row>
    <row r="995" ht="15.75" customHeight="1">
      <c r="C995" s="21"/>
    </row>
    <row r="996" ht="15.75" customHeight="1">
      <c r="C996" s="21"/>
    </row>
    <row r="997" ht="15.75" customHeight="1">
      <c r="C997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11.38"/>
    <col customWidth="1" min="10" max="10" width="13.5"/>
  </cols>
  <sheetData>
    <row r="1" ht="15.75" customHeight="1">
      <c r="A1" s="8" t="s">
        <v>0</v>
      </c>
      <c r="B1" s="8" t="s">
        <v>20</v>
      </c>
      <c r="C1" s="8" t="s">
        <v>21</v>
      </c>
      <c r="F1" s="8"/>
      <c r="G1" s="8" t="s">
        <v>22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8"/>
      <c r="B2" s="8"/>
      <c r="C2" s="8" t="s">
        <v>23</v>
      </c>
      <c r="D2" s="8" t="s">
        <v>24</v>
      </c>
      <c r="E2" s="8" t="s">
        <v>25</v>
      </c>
      <c r="F2" s="8" t="s">
        <v>26</v>
      </c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3">
        <v>2018.0</v>
      </c>
      <c r="B3" s="24"/>
      <c r="C3" s="25"/>
      <c r="D3" s="25"/>
      <c r="E3" s="25"/>
      <c r="F3" s="25"/>
      <c r="G3" s="2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6">
        <v>43118.0</v>
      </c>
      <c r="B4" s="9">
        <v>214.0</v>
      </c>
      <c r="C4" s="27">
        <f>46712.9/1000</f>
        <v>46.7129</v>
      </c>
      <c r="D4" s="28">
        <f>IFERROR(__xludf.DUMMYFUNCTION("C4*IMPORTRANGE(""https://docs.google.com/spreadsheets/d/1xsp01RMmkav9iTy39Zaj_7tE9677EGlOJ14KU9TZn7I"", ""2018-2025!H25"")"),38.313453451)</f>
        <v>38.31345345</v>
      </c>
      <c r="E4" s="28">
        <f>IFERROR(__xludf.DUMMYFUNCTION("C4*IMPORTRANGE(""https://docs.google.com/spreadsheets/d/1xsp01RMmkav9iTy39Zaj_7tE9677EGlOJ14KU9TZn7I"", ""2018-2025!T25"")"),33.854240017)</f>
        <v>33.85424002</v>
      </c>
      <c r="F4" s="28">
        <f>IFERROR(__xludf.DUMMYFUNCTION("C4*IMPORTRANGE(""https://docs.google.com/spreadsheets/d/1xsp01RMmkav9iTy39Zaj_7tE9677EGlOJ14KU9TZn7I"", ""2018-2025!AC25"")"),5189.8031900000005)</f>
        <v>5189.80319</v>
      </c>
      <c r="G4" s="8" t="s">
        <v>27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6">
        <v>44975.0</v>
      </c>
      <c r="B5" s="9">
        <v>187.0</v>
      </c>
      <c r="C5" s="27">
        <f>35667.4/1000</f>
        <v>35.6674</v>
      </c>
      <c r="D5" s="28">
        <f>IFERROR(__xludf.DUMMYFUNCTION("C5*IMPORTRANGE(""https://docs.google.com/spreadsheets/d/1xsp01RMmkav9iTy39Zaj_7tE9677EGlOJ14KU9TZn7I"", ""2018-2025!H46"")"),28.893269055)</f>
        <v>28.89326906</v>
      </c>
      <c r="E5" s="28">
        <f>IFERROR(__xludf.DUMMYFUNCTION("C5*IMPORTRANGE(""https://docs.google.com/spreadsheets/d/1xsp01RMmkav9iTy39Zaj_7tE9677EGlOJ14KU9TZn7I"", ""2018-2025!T46"")"),25.544991879999998)</f>
        <v>25.54499188</v>
      </c>
      <c r="F5" s="28">
        <f>IFERROR(__xludf.DUMMYFUNCTION("C5*IMPORTRANGE(""https://docs.google.com/spreadsheets/d/1xsp01RMmkav9iTy39Zaj_7tE9677EGlOJ14KU9TZn7I"", ""2018-2025!AC46"")"),3839.9344502999998)</f>
        <v>3839.93445</v>
      </c>
      <c r="G5" s="8" t="s">
        <v>27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6">
        <v>45003.0</v>
      </c>
      <c r="B6" s="9">
        <v>218.0</v>
      </c>
      <c r="C6" s="27">
        <f>105604.7/1000</f>
        <v>105.6047</v>
      </c>
      <c r="D6" s="28">
        <f>IFERROR(__xludf.DUMMYFUNCTION("C6*IMPORTRANGE(""https://docs.google.com/spreadsheets/d/1xsp01RMmkav9iTy39Zaj_7tE9677EGlOJ14KU9TZn7I"", ""2018-2025!H69"")"),85.643299606)</f>
        <v>85.64329961</v>
      </c>
      <c r="E6" s="28">
        <f>IFERROR(__xludf.DUMMYFUNCTION("D6*IMPORTRANGE(""https://docs.google.com/spreadsheets/d/1xsp01RMmkav9iTy39Zaj_7tE9677EGlOJ14KU9TZn7I"", ""2018-2025!t69"")"),61.35999843571476)</f>
        <v>61.35999844</v>
      </c>
      <c r="F6" s="28">
        <f>IFERROR(__xludf.DUMMYFUNCTION("E6*IMPORTRANGE(""https://docs.google.com/spreadsheets/d/1xsp01RMmkav9iTy39Zaj_7tE9677EGlOJ14KU9TZn7I"", ""2018-2025!ac69"")"),6514.867153912796)</f>
        <v>6514.867154</v>
      </c>
      <c r="G6" s="8" t="s">
        <v>27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6">
        <v>45034.0</v>
      </c>
      <c r="B7" s="9">
        <v>182.0</v>
      </c>
      <c r="C7" s="27">
        <f>51710.9/1000</f>
        <v>51.7109</v>
      </c>
      <c r="D7" s="28">
        <f>IFERROR(__xludf.DUMMYFUNCTION("C7*IMPORTRANGE(""https://docs.google.com/spreadsheets/d/1xsp01RMmkav9iTy39Zaj_7tE9677EGlOJ14KU9TZn7I"", ""2018-2025!H91"")"),42.066300041000005)</f>
        <v>42.06630004</v>
      </c>
      <c r="E7" s="28">
        <f>IFERROR(__xludf.DUMMYFUNCTION("C7*IMPORTRANGE(""https://docs.google.com/spreadsheets/d/1xsp01RMmkav9iTy39Zaj_7tE9677EGlOJ14KU9TZn7I"", ""2018-2025!t91"")"),36.70956791)</f>
        <v>36.70956791</v>
      </c>
      <c r="F7" s="28">
        <f>IFERROR(__xludf.DUMMYFUNCTION("C7*IMPORTRANGE(""https://docs.google.com/spreadsheets/d/1xsp01RMmkav9iTy39Zaj_7tE9677EGlOJ14KU9TZn7I"", ""2018-2025!ac91"")"),5538.9096317)</f>
        <v>5538.909632</v>
      </c>
      <c r="G7" s="8" t="s">
        <v>27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6">
        <v>45064.0</v>
      </c>
      <c r="B8" s="9">
        <v>184.0</v>
      </c>
      <c r="C8" s="27">
        <f>58268.1/1000</f>
        <v>58.2681</v>
      </c>
      <c r="D8" s="28">
        <f>IFERROR(__xludf.DUMMYFUNCTION("C8*IMPORTRANGE(""https://docs.google.com/spreadsheets/d/1xsp01RMmkav9iTy39Zaj_7tE9677EGlOJ14KU9TZn7I"", ""2018-2025!H115"")"),49.292481876)</f>
        <v>49.29248188</v>
      </c>
      <c r="E8" s="28">
        <f>IFERROR(__xludf.DUMMYFUNCTION("C8*IMPORTRANGE(""https://docs.google.com/spreadsheets/d/1xsp01RMmkav9iTy39Zaj_7tE9677EGlOJ14KU9TZn7I"", ""2018-2025!t115"")"),43.086929225999995)</f>
        <v>43.08692923</v>
      </c>
      <c r="F8" s="28">
        <f>IFERROR(__xludf.DUMMYFUNCTION("C8*IMPORTRANGE(""https://docs.google.com/spreadsheets/d/1xsp01RMmkav9iTy39Zaj_7tE9677EGlOJ14KU9TZn7I"", ""2018-2025!ac115"")"),6387.5239263)</f>
        <v>6387.523926</v>
      </c>
      <c r="G8" s="8" t="s">
        <v>27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6">
        <v>45095.0</v>
      </c>
      <c r="B9" s="9">
        <v>198.0</v>
      </c>
      <c r="C9" s="27">
        <f>43963.4/1000</f>
        <v>43.9634</v>
      </c>
      <c r="D9" s="28">
        <f>IFERROR(__xludf.DUMMYFUNCTION("C9*IMPORTRANGE(""https://docs.google.com/spreadsheets/d/1xsp01RMmkav9iTy39Zaj_7tE9677EGlOJ14KU9TZn7I"", ""2018-2025!H137"")"),37.6766338)</f>
        <v>37.6766338</v>
      </c>
      <c r="E9" s="28">
        <f>IFERROR(__xludf.DUMMYFUNCTION("C9*IMPORTRANGE(""https://docs.google.com/spreadsheets/d/1xsp01RMmkav9iTy39Zaj_7tE9677EGlOJ14KU9TZn7I"", ""2018-2025!T137"")"),33.10883654)</f>
        <v>33.10883654</v>
      </c>
      <c r="F9" s="28">
        <f>IFERROR(__xludf.DUMMYFUNCTION("C9*IMPORTRANGE(""https://docs.google.com/spreadsheets/d/1xsp01RMmkav9iTy39Zaj_7tE9677EGlOJ14KU9TZn7I"", ""2018-2025!AC137"")"),4840.2384498)</f>
        <v>4840.23845</v>
      </c>
      <c r="G9" s="8" t="s">
        <v>27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6">
        <v>45125.0</v>
      </c>
      <c r="B10" s="9">
        <v>189.0</v>
      </c>
      <c r="C10" s="27">
        <f>29384.9/1000</f>
        <v>29.3849</v>
      </c>
      <c r="D10" s="28">
        <f>IFERROR(__xludf.DUMMYFUNCTION("C10*IMPORTRANGE(""https://docs.google.com/spreadsheets/d/1xsp01RMmkav9iTy39Zaj_7tE9677EGlOJ14KU9TZn7I"", ""2018-2025!H160"")"),25.160820625)</f>
        <v>25.16082063</v>
      </c>
      <c r="E10" s="28">
        <f>IFERROR(__xludf.DUMMYFUNCTION("D10*IMPORTRANGE(""https://docs.google.com/spreadsheets/d/1xsp01RMmkav9iTy39Zaj_7tE9677EGlOJ14KU9TZn7I"", ""2018-2025!T160"")"),19.0794502799375)</f>
        <v>19.07945028</v>
      </c>
      <c r="F10" s="28">
        <f>IFERROR(__xludf.DUMMYFUNCTION("E10*IMPORTRANGE(""https://docs.google.com/spreadsheets/d/1xsp01RMmkav9iTy39Zaj_7tE9677EGlOJ14KU9TZn7I"", ""2018-2025!AC160"")"),2118.2673481546412)</f>
        <v>2118.267348</v>
      </c>
      <c r="G10" s="8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6">
        <v>45156.0</v>
      </c>
      <c r="B11" s="9">
        <v>182.0</v>
      </c>
      <c r="C11" s="27">
        <f>29464.5/1000</f>
        <v>29.4645</v>
      </c>
      <c r="D11" s="28">
        <f>IFERROR(__xludf.DUMMYFUNCTION("C11*IMPORTRANGE(""https://docs.google.com/spreadsheets/d/1xsp01RMmkav9iTy39Zaj_7tE9677EGlOJ14KU9TZn7I"", ""2018-2025!H184"")"),25.4514351)</f>
        <v>25.4514351</v>
      </c>
      <c r="E11" s="28">
        <f>IFERROR(__xludf.DUMMYFUNCTION("C11*IMPORTRANGE(""https://docs.google.com/spreadsheets/d/1xsp01RMmkav9iTy39Zaj_7tE9677EGlOJ14KU9TZn7I"", ""2018-2025!T184"")"),22.87329135)</f>
        <v>22.87329135</v>
      </c>
      <c r="F11" s="28">
        <f>IFERROR(__xludf.DUMMYFUNCTION("C11*IMPORTRANGE(""https://docs.google.com/spreadsheets/d/1xsp01RMmkav9iTy39Zaj_7tE9677EGlOJ14KU9TZn7I"", ""2018-2025!AC184"")"),3274.5961365000003)</f>
        <v>3274.596137</v>
      </c>
      <c r="G11" s="8" t="s">
        <v>27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6">
        <v>45187.0</v>
      </c>
      <c r="B12" s="9">
        <v>186.0</v>
      </c>
      <c r="C12" s="27">
        <f>41716.2/1000</f>
        <v>41.7162</v>
      </c>
      <c r="D12" s="28">
        <f>IFERROR(__xludf.DUMMYFUNCTION("C12*IMPORTRANGE(""https://docs.google.com/spreadsheets/d/1xsp01RMmkav9iTy39Zaj_7tE9677EGlOJ14KU9TZn7I"", ""2018-2025!H205"")"),35.850067956000004)</f>
        <v>35.85006796</v>
      </c>
      <c r="E12" s="28">
        <f>IFERROR(__xludf.DUMMYFUNCTION("C12*IMPORTRANGE(""https://docs.google.com/spreadsheets/d/1xsp01RMmkav9iTy39Zaj_7tE9677EGlOJ14KU9TZn7I"", ""2018-2025!T205"")"),31.902881112)</f>
        <v>31.90288111</v>
      </c>
      <c r="F12" s="28">
        <f>IFERROR(__xludf.DUMMYFUNCTION("C12*IMPORTRANGE(""https://docs.google.com/spreadsheets/d/1xsp01RMmkav9iTy39Zaj_7tE9677EGlOJ14KU9TZn7I"", ""2018-2025!AC205"")"),4664.7680583)</f>
        <v>4664.768058</v>
      </c>
      <c r="G12" s="8" t="s">
        <v>27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6">
        <v>45217.0</v>
      </c>
      <c r="B13" s="9">
        <v>202.0</v>
      </c>
      <c r="C13" s="27">
        <f>82409.5/1000</f>
        <v>82.4095</v>
      </c>
      <c r="D13" s="28">
        <f>IFERROR(__xludf.DUMMYFUNCTION("C13*IMPORTRANGE(""https://docs.google.com/spreadsheets/d/1xsp01RMmkav9iTy39Zaj_7tE9677EGlOJ14KU9TZn7I"", ""2018-2025!H229"")"),71.61715188)</f>
        <v>71.61715188</v>
      </c>
      <c r="E13" s="28">
        <f>IFERROR(__xludf.DUMMYFUNCTION("C13*IMPORTRANGE(""https://docs.google.com/spreadsheets/d/1xsp01RMmkav9iTy39Zaj_7tE9677EGlOJ14KU9TZn7I"", ""2018-2025!T229"")"),63.171002224999995)</f>
        <v>63.17100223</v>
      </c>
      <c r="F13" s="28">
        <f>IFERROR(__xludf.DUMMYFUNCTION("C13*IMPORTRANGE(""https://docs.google.com/spreadsheets/d/1xsp01RMmkav9iTy39Zaj_7tE9677EGlOJ14KU9TZn7I"", ""2018-2025!AC229"")"),9269.42056)</f>
        <v>9269.42056</v>
      </c>
      <c r="G13" s="8" t="s">
        <v>27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6">
        <v>45248.0</v>
      </c>
      <c r="B14" s="9">
        <v>215.0</v>
      </c>
      <c r="C14" s="27">
        <f>53825.61/1000</f>
        <v>53.82561</v>
      </c>
      <c r="D14" s="28">
        <f>IFERROR(__xludf.DUMMYFUNCTION("C14*IMPORTRANGE(""https://docs.google.com/spreadsheets/d/1xsp01RMmkav9iTy39Zaj_7tE9677EGlOJ14KU9TZn7I"", ""2018-2025!H252"")"),47.338009226699995)</f>
        <v>47.33800923</v>
      </c>
      <c r="E14" s="28">
        <f>IFERROR(__xludf.DUMMYFUNCTION("C14*IMPORTRANGE(""https://docs.google.com/spreadsheets/d/1xsp01RMmkav9iTy39Zaj_7tE9677EGlOJ14KU9TZn7I"", ""2018-2025!T252"")"),41.85883125675)</f>
        <v>41.85883126</v>
      </c>
      <c r="F14" s="28">
        <f>IFERROR(__xludf.DUMMYFUNCTION("C14*IMPORTRANGE(""https://docs.google.com/spreadsheets/d/1xsp01RMmkav9iTy39Zaj_7tE9677EGlOJ14KU9TZn7I"", ""2018-2025!AC252"")"),6103.12444107)</f>
        <v>6103.124441</v>
      </c>
      <c r="G14" s="8" t="s">
        <v>27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6">
        <v>45278.0</v>
      </c>
      <c r="B15" s="9">
        <v>221.0</v>
      </c>
      <c r="C15" s="27">
        <f>22160.5/1000</f>
        <v>22.1605</v>
      </c>
      <c r="D15" s="28">
        <f>IFERROR(__xludf.DUMMYFUNCTION("C15*IMPORTRANGE(""https://docs.google.com/spreadsheets/d/1xsp01RMmkav9iTy39Zaj_7tE9677EGlOJ14KU9TZn7I"", ""2018-2025!H273"")"),19.485506045)</f>
        <v>19.48550605</v>
      </c>
      <c r="E15" s="28">
        <f>IFERROR(__xludf.DUMMYFUNCTION("C15*IMPORTRANGE(""https://docs.google.com/spreadsheets/d/1xsp01RMmkav9iTy39Zaj_7tE9677EGlOJ14KU9TZn7I"", ""2018-2025!T273"")"),17.5112271)</f>
        <v>17.5112271</v>
      </c>
      <c r="F15" s="28">
        <f>IFERROR(__xludf.DUMMYFUNCTION("C15*IMPORTRANGE(""https://docs.google.com/spreadsheets/d/1xsp01RMmkav9iTy39Zaj_7tE9677EGlOJ14KU9TZn7I"", ""2018-2025!AC273"")"),2497.2445844999997)</f>
        <v>2497.244585</v>
      </c>
      <c r="G15" s="8" t="s">
        <v>27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3">
        <v>2019.0</v>
      </c>
      <c r="B16" s="29"/>
      <c r="C16" s="30"/>
      <c r="D16" s="31"/>
      <c r="E16" s="31"/>
      <c r="F16" s="31"/>
      <c r="G16" s="2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6">
        <v>43484.0</v>
      </c>
      <c r="B17" s="9">
        <v>175.0</v>
      </c>
      <c r="C17" s="27">
        <f>16401.5/1000</f>
        <v>16.4015</v>
      </c>
      <c r="D17" s="28">
        <f>IFERROR(__xludf.DUMMYFUNCTION("C17*IMPORTRANGE(""https://docs.google.com/spreadsheets/d/1xsp01RMmkav9iTy39Zaj_7tE9677EGlOJ14KU9TZn7I"", ""2018-2025!H298"")"),14.36607385)</f>
        <v>14.36607385</v>
      </c>
      <c r="E17" s="28">
        <f>IFERROR(__xludf.DUMMYFUNCTION("C17*IMPORTRANGE(""https://docs.google.com/spreadsheets/d/1xsp01RMmkav9iTy39Zaj_7tE9677EGlOJ14KU9TZn7I"", ""2018-2025!T298"")"),12.741833304999998)</f>
        <v>12.74183331</v>
      </c>
      <c r="F17" s="28">
        <f>IFERROR(__xludf.DUMMYFUNCTION("C17*IMPORTRANGE(""https://docs.google.com/spreadsheets/d/1xsp01RMmkav9iTy39Zaj_7tE9677EGlOJ14KU9TZn7I"", ""2018-2025!AC298"")"),1788.3703555)</f>
        <v>1788.370356</v>
      </c>
      <c r="G17" s="8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6">
        <v>43515.0</v>
      </c>
      <c r="B18" s="9">
        <v>177.0</v>
      </c>
      <c r="C18" s="27">
        <f>72770.7/1000</f>
        <v>72.7707</v>
      </c>
      <c r="D18" s="28">
        <f>IFERROR(__xludf.DUMMYFUNCTION("C18*IMPORTRANGE(""https://docs.google.com/spreadsheets/d/1xsp01RMmkav9iTy39Zaj_7tE9677EGlOJ14KU9TZn7I"", ""2018-2025!H319"")"),64.15464912)</f>
        <v>64.15464912</v>
      </c>
      <c r="E18" s="28">
        <f>IFERROR(__xludf.DUMMYFUNCTION("C18*IMPORTRANGE(""https://docs.google.com/spreadsheets/d/1xsp01RMmkav9iTy39Zaj_7tE9677EGlOJ14KU9TZn7I"", ""2018-2025!T319"")"),56.00323915949999)</f>
        <v>56.00323916</v>
      </c>
      <c r="F18" s="28">
        <f>IFERROR(__xludf.DUMMYFUNCTION("C18*IMPORTRANGE(""https://docs.google.com/spreadsheets/d/1xsp01RMmkav9iTy39Zaj_7tE9677EGlOJ14KU9TZn7I"", ""2018-2025!AC319"")"),8044.582572899999)</f>
        <v>8044.582573</v>
      </c>
      <c r="G18" s="8" t="s">
        <v>27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6">
        <v>43543.0</v>
      </c>
      <c r="B19" s="9">
        <v>183.0</v>
      </c>
      <c r="C19" s="27">
        <f>38808.7/1000</f>
        <v>38.8087</v>
      </c>
      <c r="D19" s="28">
        <f>IFERROR(__xludf.DUMMYFUNCTION("C19*IMPORTRANGE(""https://docs.google.com/spreadsheets/d/1xsp01RMmkav9iTy39Zaj_7tE9677EGlOJ14KU9TZn7I"", ""2018-2025!H341"")"),34.301457582)</f>
        <v>34.30145758</v>
      </c>
      <c r="E19" s="28">
        <f>IFERROR(__xludf.DUMMYFUNCTION("C19*IMPORTRANGE(""https://docs.google.com/spreadsheets/d/1xsp01RMmkav9iTy39Zaj_7tE9677EGlOJ14KU9TZn7I"", ""2018-2025!T341"")"),29.385947639999994)</f>
        <v>29.38594764</v>
      </c>
      <c r="F19" s="28">
        <f>IFERROR(__xludf.DUMMYFUNCTION("C19*IMPORTRANGE(""https://docs.google.com/spreadsheets/d/1xsp01RMmkav9iTy39Zaj_7tE9677EGlOJ14KU9TZn7I"", ""2018-2025!AC341"")"),4321.038275399999)</f>
        <v>4321.038275</v>
      </c>
      <c r="G19" s="8" t="s">
        <v>27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6">
        <v>43574.0</v>
      </c>
      <c r="B20" s="9">
        <v>174.0</v>
      </c>
      <c r="C20" s="27">
        <f>28314.2/1000</f>
        <v>28.3142</v>
      </c>
      <c r="D20" s="28">
        <f>IFERROR(__xludf.DUMMYFUNCTION("C20*IMPORTRANGE(""https://docs.google.com/spreadsheets/d/1xsp01RMmkav9iTy39Zaj_7tE9677EGlOJ14KU9TZn7I"", ""2018-2025!H364"")"),25.190011172)</f>
        <v>25.19001117</v>
      </c>
      <c r="E20" s="28">
        <f>IFERROR(__xludf.DUMMYFUNCTION("C20*IMPORTRANGE(""https://docs.google.com/spreadsheets/d/1xsp01RMmkav9iTy39Zaj_7tE9677EGlOJ14KU9TZn7I"", ""2018-2025!T364"")"),21.708638711)</f>
        <v>21.70863871</v>
      </c>
      <c r="F20" s="28">
        <f>IFERROR(__xludf.DUMMYFUNCTION("C20*IMPORTRANGE(""https://docs.google.com/spreadsheets/d/1xsp01RMmkav9iTy39Zaj_7tE9677EGlOJ14KU9TZn7I"", ""2018-2025!AC364"")"),3161.7759285)</f>
        <v>3161.775929</v>
      </c>
      <c r="G20" s="8" t="s">
        <v>27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2">
        <v>43604.0</v>
      </c>
      <c r="B21" s="9">
        <v>169.0</v>
      </c>
      <c r="C21" s="27">
        <f>25545.7/1000</f>
        <v>25.5457</v>
      </c>
      <c r="D21" s="28">
        <f>IFERROR(__xludf.DUMMYFUNCTION("C21*IMPORTRANGE(""https://docs.google.com/spreadsheets/d/1xsp01RMmkav9iTy39Zaj_7tE9677EGlOJ14KU9TZn7I"", ""2018-2025!H388"")"),22.824061122)</f>
        <v>22.82406112</v>
      </c>
      <c r="E21" s="28">
        <f>IFERROR(__xludf.DUMMYFUNCTION("C21*IMPORTRANGE(""https://docs.google.com/spreadsheets/d/1xsp01RMmkav9iTy39Zaj_7tE9677EGlOJ14KU9TZn7I"", ""2018-2025!T388"")"),19.838279706)</f>
        <v>19.83827971</v>
      </c>
      <c r="F21" s="28">
        <f>IFERROR(__xludf.DUMMYFUNCTION("C21*IMPORTRANGE(""https://docs.google.com/spreadsheets/d/1xsp01RMmkav9iTy39Zaj_7tE9677EGlOJ14KU9TZn7I"", ""2018-2025!AC388"")"),2805.9141423)</f>
        <v>2805.914142</v>
      </c>
      <c r="G21" s="8" t="s">
        <v>27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6">
        <v>43635.0</v>
      </c>
      <c r="B22" s="9">
        <v>167.0</v>
      </c>
      <c r="C22" s="27">
        <f>46795.4/1000</f>
        <v>46.7954</v>
      </c>
      <c r="D22" s="28">
        <f>IFERROR(__xludf.DUMMYFUNCTION("C22*IMPORTRANGE(""https://docs.google.com/spreadsheets/d/1xsp01RMmkav9iTy39Zaj_7tE9677EGlOJ14KU9TZn7I"", ""2018-2025!H409"")"),41.455810883)</f>
        <v>41.45581088</v>
      </c>
      <c r="E22" s="28">
        <f>IFERROR(__xludf.DUMMYFUNCTION("C22*IMPORTRANGE(""https://docs.google.com/spreadsheets/d/1xsp01RMmkav9iTy39Zaj_7tE9677EGlOJ14KU9TZn7I"", ""2018-2025!T409"")"),36.873137361000005)</f>
        <v>36.87313736</v>
      </c>
      <c r="F22" s="28">
        <f>IFERROR(__xludf.DUMMYFUNCTION("C22*IMPORTRANGE(""https://docs.google.com/spreadsheets/d/1xsp01RMmkav9iTy39Zaj_7tE9677EGlOJ14KU9TZn7I"", ""2018-2025!AC409"")"),5067.356877499999)</f>
        <v>5067.356878</v>
      </c>
      <c r="G22" s="8" t="s">
        <v>27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6">
        <v>43665.0</v>
      </c>
      <c r="B23" s="9">
        <v>191.0</v>
      </c>
      <c r="C23" s="27">
        <f>52900.6/1000</f>
        <v>52.9006</v>
      </c>
      <c r="D23" s="28">
        <f>IFERROR(__xludf.DUMMYFUNCTION("C23*IMPORTRANGE(""https://docs.google.com/spreadsheets/d/1xsp01RMmkav9iTy39Zaj_7tE9677EGlOJ14KU9TZn7I"", ""2018-2025!H433"")"),47.117506408)</f>
        <v>47.11750641</v>
      </c>
      <c r="E23" s="28">
        <f>IFERROR(__xludf.DUMMYFUNCTION("C23*IMPORTRANGE(""https://docs.google.com/spreadsheets/d/1xsp01RMmkav9iTy39Zaj_7tE9677EGlOJ14KU9TZn7I"", ""2018-2025!T433"")"),42.277101508)</f>
        <v>42.27710151</v>
      </c>
      <c r="F23" s="28">
        <f>IFERROR(__xludf.DUMMYFUNCTION("C23*IMPORTRANGE(""https://docs.google.com/spreadsheets/d/1xsp01RMmkav9iTy39Zaj_7tE9677EGlOJ14KU9TZn7I"", ""2018-2025!AC433"")"),5725.5377392)</f>
        <v>5725.537739</v>
      </c>
      <c r="G23" s="8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6">
        <v>43696.0</v>
      </c>
      <c r="B24" s="9">
        <v>181.0</v>
      </c>
      <c r="C24" s="27">
        <f>26209.3/1000</f>
        <v>26.2093</v>
      </c>
      <c r="D24" s="28">
        <f>IFERROR(__xludf.DUMMYFUNCTION("C24*IMPORTRANGE(""https://docs.google.com/spreadsheets/d/1xsp01RMmkav9iTy39Zaj_7tE9677EGlOJ14KU9TZn7I"", ""2018-2025!H456"")"),23.5995089525)</f>
        <v>23.59950895</v>
      </c>
      <c r="E24" s="28">
        <f>IFERROR(__xludf.DUMMYFUNCTION("C24*IMPORTRANGE(""https://docs.google.com/spreadsheets/d/1xsp01RMmkav9iTy39Zaj_7tE9677EGlOJ14KU9TZn7I"", ""2018-2025!T456"")"),21.5661914585)</f>
        <v>21.56619146</v>
      </c>
      <c r="F24" s="28">
        <f>IFERROR(__xludf.DUMMYFUNCTION("C24*IMPORTRANGE(""https://docs.google.com/spreadsheets/d/1xsp01RMmkav9iTy39Zaj_7tE9677EGlOJ14KU9TZn7I"", ""2018-2025!AC456"")"),2783.36213675)</f>
        <v>2783.362137</v>
      </c>
      <c r="G24" s="8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6">
        <v>43727.0</v>
      </c>
      <c r="B25" s="9">
        <v>196.0</v>
      </c>
      <c r="C25" s="27">
        <f>26203.8/1000</f>
        <v>26.2038</v>
      </c>
      <c r="D25" s="28">
        <f>IFERROR(__xludf.DUMMYFUNCTION("C25*IMPORTRANGE(""https://docs.google.com/spreadsheets/d/1xsp01RMmkav9iTy39Zaj_7tE9677EGlOJ14KU9TZn7I"", ""2018-2025!H478"")"),23.780472575999998)</f>
        <v>23.78047258</v>
      </c>
      <c r="E25" s="28">
        <f>IFERROR(__xludf.DUMMYFUNCTION("C25*IMPORTRANGE(""https://docs.google.com/spreadsheets/d/1xsp01RMmkav9iTy39Zaj_7tE9677EGlOJ14KU9TZn7I"", ""2018-2025!T478"")"),21.225602075999998)</f>
        <v>21.22560208</v>
      </c>
      <c r="F25" s="28">
        <f>IFERROR(__xludf.DUMMYFUNCTION("C25*IMPORTRANGE(""https://docs.google.com/spreadsheets/d/1xsp01RMmkav9iTy39Zaj_7tE9677EGlOJ14KU9TZn7I"", ""2018-2025!AC478"")"),2820.8914775999997)</f>
        <v>2820.891478</v>
      </c>
      <c r="G25" s="8" t="s">
        <v>27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6">
        <v>44123.0</v>
      </c>
      <c r="B26" s="9">
        <v>192.0</v>
      </c>
      <c r="C26" s="27">
        <f>109690.6/1000</f>
        <v>109.6906</v>
      </c>
      <c r="D26" s="28">
        <f>IFERROR(__xludf.DUMMYFUNCTION("C26*IMPORTRANGE(""https://docs.google.com/spreadsheets/d/1xsp01RMmkav9iTy39Zaj_7tE9677EGlOJ14KU9TZn7I"", ""2018-2025!H502"")"),99.404912438)</f>
        <v>99.40491244</v>
      </c>
      <c r="E26" s="28">
        <f>IFERROR(__xludf.DUMMYFUNCTION("C26*IMPORTRANGE(""https://docs.google.com/spreadsheets/d/1xsp01RMmkav9iTy39Zaj_7tE9677EGlOJ14KU9TZn7I"", ""2018-2025!T502"")"),85.960135596)</f>
        <v>85.9601356</v>
      </c>
      <c r="F26" s="28">
        <f>IFERROR(__xludf.DUMMYFUNCTION("C26*IMPORTRANGE(""https://docs.google.com/spreadsheets/d/1xsp01RMmkav9iTy39Zaj_7tE9677EGlOJ14KU9TZn7I"", ""2018-2025!AC502"")"),11896.9327854)</f>
        <v>11896.93279</v>
      </c>
      <c r="G26" s="8" t="s">
        <v>27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6">
        <v>43788.0</v>
      </c>
      <c r="B27" s="9">
        <v>190.0</v>
      </c>
      <c r="C27" s="27">
        <f>48655.4/1000</f>
        <v>48.6554</v>
      </c>
      <c r="D27" s="28">
        <f>IFERROR(__xludf.DUMMYFUNCTION("C27*IMPORTRANGE(""https://docs.google.com/spreadsheets/d/1xsp01RMmkav9iTy39Zaj_7tE9677EGlOJ14KU9TZn7I"", ""2018-2025!H524"")"),44.090063818000004)</f>
        <v>44.09006382</v>
      </c>
      <c r="E27" s="28">
        <f>IFERROR(__xludf.DUMMYFUNCTION("C27*IMPORTRANGE(""https://docs.google.com/spreadsheets/d/1xsp01RMmkav9iTy39Zaj_7tE9677EGlOJ14KU9TZn7I"", ""2018-2025!T524"")"),37.741993779999994)</f>
        <v>37.74199378</v>
      </c>
      <c r="F27" s="28">
        <f>IFERROR(__xludf.DUMMYFUNCTION("C27*IMPORTRANGE(""https://docs.google.com/spreadsheets/d/1xsp01RMmkav9iTy39Zaj_7tE9677EGlOJ14KU9TZn7I"", ""2018-2025!AC524"")"),5293.6102092)</f>
        <v>5293.610209</v>
      </c>
      <c r="G27" s="8" t="s">
        <v>27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6">
        <v>43818.0</v>
      </c>
      <c r="B28" s="9">
        <v>220.0</v>
      </c>
      <c r="C28" s="27">
        <f>37045.6/1000</f>
        <v>37.0456</v>
      </c>
      <c r="D28" s="28">
        <f>IFERROR(__xludf.DUMMYFUNCTION("C28*IMPORTRANGE(""https://docs.google.com/spreadsheets/d/1xsp01RMmkav9iTy39Zaj_7tE9677EGlOJ14KU9TZn7I"", ""2018-2025!H547"")"),33.379567424)</f>
        <v>33.37956742</v>
      </c>
      <c r="E28" s="28">
        <f>IFERROR(__xludf.DUMMYFUNCTION("C28*IMPORTRANGE(""https://docs.google.com/spreadsheets/d/1xsp01RMmkav9iTy39Zaj_7tE9677EGlOJ14KU9TZn7I"", ""2018-2025!T547"")"),28.275609883999998)</f>
        <v>28.27560988</v>
      </c>
      <c r="F28" s="28">
        <f>IFERROR(__xludf.DUMMYFUNCTION("C28*IMPORTRANGE(""https://docs.google.com/spreadsheets/d/1xsp01RMmkav9iTy39Zaj_7tE9677EGlOJ14KU9TZn7I"", ""2018-2025!AC547"")"),4052.1403419999997)</f>
        <v>4052.140342</v>
      </c>
      <c r="G28" s="8" t="s">
        <v>27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3">
        <v>2020.0</v>
      </c>
      <c r="B29" s="29"/>
      <c r="C29" s="31"/>
      <c r="D29" s="31"/>
      <c r="E29" s="31"/>
      <c r="F29" s="31"/>
      <c r="G29" s="2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6">
        <v>43850.0</v>
      </c>
      <c r="B30" s="9">
        <v>181.0</v>
      </c>
      <c r="C30" s="27">
        <f>35075.5/1000</f>
        <v>35.0755</v>
      </c>
      <c r="D30" s="28">
        <f>IFERROR(__xludf.DUMMYFUNCTION("C30*IMPORTRANGE(""https://docs.google.com/spreadsheets/d/1xsp01RMmkav9iTy39Zaj_7tE9677EGlOJ14KU9TZn7I"", ""2018-2025!H572"")"),31.561987164999998)</f>
        <v>31.56198717</v>
      </c>
      <c r="E30" s="28">
        <f>IFERROR(__xludf.DUMMYFUNCTION("C30*IMPORTRANGE(""https://docs.google.com/spreadsheets/d/1xsp01RMmkav9iTy39Zaj_7tE9677EGlOJ14KU9TZn7I"", ""2018-2025!T572"")"),26.836265049999998)</f>
        <v>26.83626505</v>
      </c>
      <c r="F30" s="28">
        <f>IFERROR(__xludf.DUMMYFUNCTION("C30*IMPORTRANGE(""https://docs.google.com/spreadsheets/d/1xsp01RMmkav9iTy39Zaj_7tE9677EGlOJ14KU9TZn7I"", ""2018-2025!AC572"")"),3827.859466)</f>
        <v>3827.859466</v>
      </c>
      <c r="G30" s="8" t="s">
        <v>27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6">
        <v>43881.0</v>
      </c>
      <c r="B31" s="9">
        <v>190.0</v>
      </c>
      <c r="C31" s="27">
        <f>67924.3/1000</f>
        <v>67.9243</v>
      </c>
      <c r="D31" s="28">
        <f>IFERROR(__xludf.DUMMYFUNCTION("C31*IMPORTRANGE(""https://docs.google.com/spreadsheets/d/1xsp01RMmkav9iTy39Zaj_7tE9677EGlOJ14KU9TZn7I"", ""2018-2025!H593"")"),62.4078279755)</f>
        <v>62.40782798</v>
      </c>
      <c r="E31" s="28">
        <f>IFERROR(__xludf.DUMMYFUNCTION("C31*IMPORTRANGE(""https://docs.google.com/spreadsheets/d/1xsp01RMmkav9iTy39Zaj_7tE9677EGlOJ14KU9TZn7I"", ""2018-2025!T593"")"),52.422616254000005)</f>
        <v>52.42261625</v>
      </c>
      <c r="F31" s="28">
        <f>IFERROR(__xludf.DUMMYFUNCTION("C31*IMPORTRANGE(""https://docs.google.com/spreadsheets/d/1xsp01RMmkav9iTy39Zaj_7tE9677EGlOJ14KU9TZn7I"", ""2018-2025!AC593"")"),7460.56737695)</f>
        <v>7460.567377</v>
      </c>
      <c r="G31" s="8" t="s">
        <v>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6">
        <v>43910.0</v>
      </c>
      <c r="B32" s="9">
        <v>137.0</v>
      </c>
      <c r="C32" s="27">
        <f>64558.5/1000</f>
        <v>64.5585</v>
      </c>
      <c r="D32" s="28">
        <f>IFERROR(__xludf.DUMMYFUNCTION("C32*IMPORTRANGE(""https://docs.google.com/spreadsheets/d/1xsp01RMmkav9iTy39Zaj_7tE9677EGlOJ14KU9TZn7I"", ""2018-2025!H616"")"),57.956747789999994)</f>
        <v>57.95674779</v>
      </c>
      <c r="E32" s="28">
        <f>IFERROR(__xludf.DUMMYFUNCTION("C32*IMPORTRANGE(""https://docs.google.com/spreadsheets/d/1xsp01RMmkav9iTy39Zaj_7tE9677EGlOJ14KU9TZn7I"", ""2018-2025!T616"")"),51.952419938999995)</f>
        <v>51.95241994</v>
      </c>
      <c r="F32" s="28">
        <f>IFERROR(__xludf.DUMMYFUNCTION("C32*IMPORTRANGE(""https://docs.google.com/spreadsheets/d/1xsp01RMmkav9iTy39Zaj_7tE9677EGlOJ14KU9TZn7I"", ""2018-2025!AC616"")"),6942.9438825)</f>
        <v>6942.943883</v>
      </c>
      <c r="G32" s="8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6">
        <v>43941.0</v>
      </c>
      <c r="B33" s="9">
        <v>107.0</v>
      </c>
      <c r="C33" s="27">
        <f>16741/1000</f>
        <v>16.741</v>
      </c>
      <c r="D33" s="28">
        <f>IFERROR(__xludf.DUMMYFUNCTION("C33*IMPORTRANGE(""https://docs.google.com/spreadsheets/d/1xsp01RMmkav9iTy39Zaj_7tE9677EGlOJ14KU9TZn7I"", ""2018-2025!H639"")"),15.40925345)</f>
        <v>15.40925345</v>
      </c>
      <c r="E33" s="28">
        <f>IFERROR(__xludf.DUMMYFUNCTION("C33*IMPORTRANGE(""https://docs.google.com/spreadsheets/d/1xsp01RMmkav9iTy39Zaj_7tE9677EGlOJ14KU9TZn7I"", ""2018-2025!T639"")"),13.48387104)</f>
        <v>13.48387104</v>
      </c>
      <c r="F33" s="28">
        <f>IFERROR(__xludf.DUMMYFUNCTION("C33*IMPORTRANGE(""https://docs.google.com/spreadsheets/d/1xsp01RMmkav9iTy39Zaj_7tE9677EGlOJ14KU9TZn7I"", ""2018-2025!AC639"")"),1802.4950995)</f>
        <v>1802.4951</v>
      </c>
      <c r="G33" s="8" t="s">
        <v>27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2">
        <v>43971.0</v>
      </c>
      <c r="B34" s="9">
        <v>125.0</v>
      </c>
      <c r="C34" s="27">
        <f>5455.7/1000</f>
        <v>5.4557</v>
      </c>
      <c r="D34" s="28">
        <f>IFERROR(__xludf.DUMMYFUNCTION("C34*IMPORTRANGE(""https://docs.google.com/spreadsheets/d/1xsp01RMmkav9iTy39Zaj_7tE9677EGlOJ14KU9TZn7I"", ""2018-2025!H661"")"),5.003258799)</f>
        <v>5.003258799</v>
      </c>
      <c r="E34" s="28">
        <f>IFERROR(__xludf.DUMMYFUNCTION("C34*IMPORTRANGE(""https://docs.google.com/spreadsheets/d/1xsp01RMmkav9iTy39Zaj_7tE9677EGlOJ14KU9TZn7I"", ""2018-2025!T661"")"),4.448250438)</f>
        <v>4.448250438</v>
      </c>
      <c r="F34" s="28">
        <f>IFERROR(__xludf.DUMMYFUNCTION("C34*IMPORTRANGE(""https://docs.google.com/spreadsheets/d/1xsp01RMmkav9iTy39Zaj_7tE9677EGlOJ14KU9TZn7I"", ""2018-2025!AC661"")"),585.7512305)</f>
        <v>585.7512305</v>
      </c>
      <c r="G34" s="8" t="s">
        <v>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6">
        <v>44002.0</v>
      </c>
      <c r="B35" s="9">
        <v>119.0</v>
      </c>
      <c r="C35" s="27">
        <f>13207.8/1000</f>
        <v>13.2078</v>
      </c>
      <c r="D35" s="28">
        <f>IFERROR(__xludf.DUMMYFUNCTION("C35*IMPORTRANGE(""https://docs.google.com/spreadsheets/d/1xsp01RMmkav9iTy39Zaj_7tE9677EGlOJ14KU9TZn7I"", ""2018-2025!H684"")"),11.738762444999999)</f>
        <v>11.73876245</v>
      </c>
      <c r="E35" s="28">
        <f>IFERROR(__xludf.DUMMYFUNCTION("C35*IMPORTRANGE(""https://docs.google.com/spreadsheets/d/1xsp01RMmkav9iTy39Zaj_7tE9677EGlOJ14KU9TZn7I"", ""2018-2025!T684"")"),10.533550694999999)</f>
        <v>10.5335507</v>
      </c>
      <c r="F35" s="28">
        <f>IFERROR(__xludf.DUMMYFUNCTION("C35*IMPORTRANGE(""https://docs.google.com/spreadsheets/d/1xsp01RMmkav9iTy39Zaj_7tE9677EGlOJ14KU9TZn7I"", ""2018-2025!AC684"")"),1417.9960119)</f>
        <v>1417.996012</v>
      </c>
      <c r="G35" s="8" t="s">
        <v>27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6">
        <v>44397.0</v>
      </c>
      <c r="B36" s="9">
        <v>142.0</v>
      </c>
      <c r="C36" s="27">
        <f>28843.8/1000</f>
        <v>28.8438</v>
      </c>
      <c r="D36" s="28">
        <f>IFERROR(__xludf.DUMMYFUNCTION("C36*IMPORTRANGE(""https://docs.google.com/spreadsheets/d/1xsp01RMmkav9iTy39Zaj_7tE9677EGlOJ14KU9TZn7I"", ""2018-2025!H708"")"),25.277841006)</f>
        <v>25.27784101</v>
      </c>
      <c r="E36" s="28">
        <f>IFERROR(__xludf.DUMMYFUNCTION("C36*IMPORTRANGE(""https://docs.google.com/spreadsheets/d/1xsp01RMmkav9iTy39Zaj_7tE9677EGlOJ14KU9TZn7I"", ""2018-2025!T708"")"),22.882651854)</f>
        <v>22.88265185</v>
      </c>
      <c r="F36" s="28">
        <f>IFERROR(__xludf.DUMMYFUNCTION("C36*IMPORTRANGE(""https://docs.google.com/spreadsheets/d/1xsp01RMmkav9iTy39Zaj_7tE9677EGlOJ14KU9TZn7I"", ""2018-2025!AC708"")"),3091.9399848)</f>
        <v>3091.939985</v>
      </c>
      <c r="G36" s="8" t="s">
        <v>27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6">
        <v>44428.0</v>
      </c>
      <c r="B37" s="9">
        <v>187.0</v>
      </c>
      <c r="C37" s="27">
        <f>33842.1/1000</f>
        <v>33.8421</v>
      </c>
      <c r="D37" s="28">
        <f>IFERROR(__xludf.DUMMYFUNCTION("C37*IMPORTRANGE(""https://docs.google.com/spreadsheets/d/1xsp01RMmkav9iTy39Zaj_7tE9677EGlOJ14KU9TZn7I"", ""2018-2025!H730"")"),28.632108705)</f>
        <v>28.63210871</v>
      </c>
      <c r="E37" s="28">
        <f>IFERROR(__xludf.DUMMYFUNCTION("C37*IMPORTRANGE(""https://docs.google.com/spreadsheets/d/1xsp01RMmkav9iTy39Zaj_7tE9677EGlOJ14KU9TZn7I"", ""2018-2025!T730"")"),25.819864037100004)</f>
        <v>25.81986404</v>
      </c>
      <c r="F37" s="28">
        <f>IFERROR(__xludf.DUMMYFUNCTION("C37*IMPORTRANGE(""https://docs.google.com/spreadsheets/d/1xsp01RMmkav9iTy39Zaj_7tE9677EGlOJ14KU9TZn7I"", ""2018-2025!AC730"")"),3586.9918632000004)</f>
        <v>3586.991863</v>
      </c>
      <c r="G37" s="8" t="s">
        <v>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3" t="s">
        <v>28</v>
      </c>
      <c r="B38" s="9">
        <v>173.0</v>
      </c>
      <c r="C38" s="27">
        <f>29980/1000</f>
        <v>29.98</v>
      </c>
      <c r="D38" s="28">
        <f>IFERROR(__xludf.DUMMYFUNCTION("C38*IMPORTRANGE(""https://docs.google.com/spreadsheets/d/1xsp01RMmkav9iTy39Zaj_7tE9677EGlOJ14KU9TZn7I"", ""2018-2025!H753"")"),25.3572339)</f>
        <v>25.3572339</v>
      </c>
      <c r="E38" s="28">
        <f>IFERROR(__xludf.DUMMYFUNCTION("C38*IMPORTRANGE(""https://docs.google.com/spreadsheets/d/1xsp01RMmkav9iTy39Zaj_7tE9677EGlOJ14KU9TZn7I"", ""2018-2025!T753"")"),23.224606599999998)</f>
        <v>23.2246066</v>
      </c>
      <c r="F38" s="28">
        <f>IFERROR(__xludf.DUMMYFUNCTION("C38*IMPORTRANGE(""https://docs.google.com/spreadsheets/d/1xsp01RMmkav9iTy39Zaj_7tE9677EGlOJ14KU9TZn7I"", ""2018-2025!AC753"")"),3168.57121)</f>
        <v>3168.57121</v>
      </c>
      <c r="G38" s="8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6">
        <v>44489.0</v>
      </c>
      <c r="B39" s="9">
        <v>230.0</v>
      </c>
      <c r="C39" s="27">
        <f>68099.7/1000</f>
        <v>68.0997</v>
      </c>
      <c r="D39" s="28">
        <f>IFERROR(__xludf.DUMMYFUNCTION("C39*IMPORTRANGE(""https://docs.google.com/spreadsheets/d/1xsp01RMmkav9iTy39Zaj_7tE9677EGlOJ14KU9TZn7I"", ""2018-2025!H776"")"),57.8722827549)</f>
        <v>57.87228275</v>
      </c>
      <c r="E39" s="28">
        <f>IFERROR(__xludf.DUMMYFUNCTION("C39*IMPORTRANGE(""https://docs.google.com/spreadsheets/d/1xsp01RMmkav9iTy39Zaj_7tE9677EGlOJ14KU9TZn7I"", ""2018-2025!T776"")"),52.581140364)</f>
        <v>52.58114036</v>
      </c>
      <c r="F39" s="28">
        <f>IFERROR(__xludf.DUMMYFUNCTION("C39*IMPORTRANGE(""https://docs.google.com/spreadsheets/d/1xsp01RMmkav9iTy39Zaj_7tE9677EGlOJ14KU9TZn7I"", ""2018-2025!AC776"")"),7180.3642683)</f>
        <v>7180.364268</v>
      </c>
      <c r="G39" s="8" t="s">
        <v>27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6">
        <v>44520.0</v>
      </c>
      <c r="B40" s="9">
        <v>227.0</v>
      </c>
      <c r="C40" s="27">
        <f>113284.1/1000</f>
        <v>113.2841</v>
      </c>
      <c r="D40" s="28">
        <f>IFERROR(__xludf.DUMMYFUNCTION("C40*IMPORTRANGE(""https://docs.google.com/spreadsheets/d/1xsp01RMmkav9iTy39Zaj_7tE9677EGlOJ14KU9TZn7I"", ""2018-2025!H798"")"),95.63670290200001)</f>
        <v>95.6367029</v>
      </c>
      <c r="E40" s="28">
        <f>IFERROR(__xludf.DUMMYFUNCTION("C40*IMPORTRANGE(""https://docs.google.com/spreadsheets/d/1xsp01RMmkav9iTy39Zaj_7tE9677EGlOJ14KU9TZn7I"", ""2018-2025!T798"")"),85.664303579)</f>
        <v>85.66430358</v>
      </c>
      <c r="F40" s="28">
        <f>IFERROR(__xludf.DUMMYFUNCTION("C40*IMPORTRANGE(""https://docs.google.com/spreadsheets/d/1xsp01RMmkav9iTy39Zaj_7tE9677EGlOJ14KU9TZn7I"", ""2018-2025!AC798"")"),11839.661143300002)</f>
        <v>11839.66114</v>
      </c>
      <c r="G40" s="8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6">
        <v>44550.0</v>
      </c>
      <c r="B41" s="9">
        <v>229.0</v>
      </c>
      <c r="C41" s="27">
        <f>117060/1000</f>
        <v>117.06</v>
      </c>
      <c r="D41" s="28">
        <f>IFERROR(__xludf.DUMMYFUNCTION("C41*IMPORTRANGE(""https://docs.google.com/spreadsheets/d/1xsp01RMmkav9iTy39Zaj_7tE9677EGlOJ14KU9TZn7I"", ""2018-2025!H822"")"),96.31158324)</f>
        <v>96.31158324</v>
      </c>
      <c r="E41" s="28">
        <f>IFERROR(__xludf.DUMMYFUNCTION("C41*IMPORTRANGE(""https://docs.google.com/spreadsheets/d/1xsp01RMmkav9iTy39Zaj_7tE9677EGlOJ14KU9TZn7I"", ""2018-2025!T822"")"),87.21087059999999)</f>
        <v>87.2108706</v>
      </c>
      <c r="F41" s="28">
        <f>IFERROR(__xludf.DUMMYFUNCTION("C41*IMPORTRANGE(""https://docs.google.com/spreadsheets/d/1xsp01RMmkav9iTy39Zaj_7tE9677EGlOJ14KU9TZn7I"", ""2018-2025!AC822"")"),12137.83434)</f>
        <v>12137.83434</v>
      </c>
      <c r="G41" s="8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4">
        <v>2021.0</v>
      </c>
      <c r="B42" s="29"/>
      <c r="C42" s="31"/>
      <c r="D42" s="31"/>
      <c r="E42" s="31"/>
      <c r="F42" s="35"/>
      <c r="G42" s="2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6">
        <v>44947.0</v>
      </c>
      <c r="B43" s="9">
        <v>170.0</v>
      </c>
      <c r="C43" s="27">
        <f>78493.1/1000</f>
        <v>78.4931</v>
      </c>
      <c r="D43" s="28">
        <f>IFERROR(__xludf.DUMMYFUNCTION("C43*IMPORTRANGE(""https://docs.google.com/spreadsheets/d/1xsp01RMmkav9iTy39Zaj_7tE9677EGlOJ14KU9TZn7I"", ""2018-2025!H845"")"),64.5343580546)</f>
        <v>64.53435805</v>
      </c>
      <c r="E43" s="28">
        <f>IFERROR(__xludf.DUMMYFUNCTION("C43*IMPORTRANGE(""https://docs.google.com/spreadsheets/d/1xsp01RMmkav9iTy39Zaj_7tE9677EGlOJ14KU9TZn7I"", ""2018-2025!T845"")"),57.426336891000005)</f>
        <v>57.42633689</v>
      </c>
      <c r="F43" s="28">
        <f>IFERROR(__xludf.DUMMYFUNCTION("C43*IMPORTRANGE(""https://docs.google.com/spreadsheets/d/1xsp01RMmkav9iTy39Zaj_7tE9677EGlOJ14KU9TZn7I"", ""2018-2025!AC845"")"),8144.444056000002)</f>
        <v>8144.444056</v>
      </c>
      <c r="G43" s="8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6">
        <v>44978.0</v>
      </c>
      <c r="B44" s="9">
        <v>185.0</v>
      </c>
      <c r="C44" s="27">
        <f>51538.4/1000</f>
        <v>51.5384</v>
      </c>
      <c r="D44" s="28">
        <f>IFERROR(__xludf.DUMMYFUNCTION("C44*IMPORTRANGE(""https://docs.google.com/spreadsheets/d/1xsp01RMmkav9iTy39Zaj_7tE9677EGlOJ14KU9TZn7I"", ""2018-2025!H866"")"),42.52134461280001)</f>
        <v>42.52134461</v>
      </c>
      <c r="E44" s="28">
        <f>IFERROR(__xludf.DUMMYFUNCTION("C44*IMPORTRANGE(""https://docs.google.com/spreadsheets/d/1xsp01RMmkav9iTy39Zaj_7tE9677EGlOJ14KU9TZn7I"", ""2018-2025!T866"")"),37.213301720000004)</f>
        <v>37.21330172</v>
      </c>
      <c r="F44" s="28">
        <f>IFERROR(__xludf.DUMMYFUNCTION("C44*IMPORTRANGE(""https://docs.google.com/spreadsheets/d/1xsp01RMmkav9iTy39Zaj_7tE9677EGlOJ14KU9TZn7I"", ""2018-2025!AC866"")"),5424.2362156)</f>
        <v>5424.236216</v>
      </c>
      <c r="G44" s="8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6">
        <v>45006.0</v>
      </c>
      <c r="B45" s="9">
        <v>208.0</v>
      </c>
      <c r="C45" s="27">
        <f>82091.6/1000</f>
        <v>82.0916</v>
      </c>
      <c r="D45" s="28">
        <f>IFERROR(__xludf.DUMMYFUNCTION("C45*IMPORTRANGE(""https://docs.google.com/spreadsheets/d/1xsp01RMmkav9iTy39Zaj_7tE9677EGlOJ14KU9TZn7I"", ""2018-2025!H890"")"),68.836269348)</f>
        <v>68.83626935</v>
      </c>
      <c r="E45" s="28">
        <f>IFERROR(__xludf.DUMMYFUNCTION("C45*IMPORTRANGE(""https://docs.google.com/spreadsheets/d/1xsp01RMmkav9iTy39Zaj_7tE9677EGlOJ14KU9TZn7I"", ""2018-2025!T890"")"),59.083787267999995)</f>
        <v>59.08378727</v>
      </c>
      <c r="F45" s="28">
        <f>IFERROR(__xludf.DUMMYFUNCTION("C45*IMPORTRANGE(""https://docs.google.com/spreadsheets/d/1xsp01RMmkav9iTy39Zaj_7tE9677EGlOJ14KU9TZn7I"", ""2018-2025!AC890"")"),8930.745164)</f>
        <v>8930.745164</v>
      </c>
      <c r="G45" s="8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6">
        <v>45037.0</v>
      </c>
      <c r="B46" s="9">
        <v>190.0</v>
      </c>
      <c r="C46" s="27">
        <f>125028.5/1000</f>
        <v>125.0285</v>
      </c>
      <c r="D46" s="28">
        <f>IFERROR(__xludf.DUMMYFUNCTION("C46*IMPORTRANGE(""https://docs.google.com/spreadsheets/d/1xsp01RMmkav9iTy39Zaj_7tE9677EGlOJ14KU9TZn7I"", ""2018-2025!H913"")"),104.44630833)</f>
        <v>104.4463083</v>
      </c>
      <c r="E46" s="28">
        <f>IFERROR(__xludf.DUMMYFUNCTION("C46*IMPORTRANGE(""https://docs.google.com/spreadsheets/d/1xsp01RMmkav9iTy39Zaj_7tE9677EGlOJ14KU9TZn7I"", ""2018-2025!T913"")"),90.38310265)</f>
        <v>90.38310265</v>
      </c>
      <c r="F46" s="28">
        <f>IFERROR(__xludf.DUMMYFUNCTION("C46*IMPORTRANGE(""https://docs.google.com/spreadsheets/d/1xsp01RMmkav9iTy39Zaj_7tE9677EGlOJ14KU9TZn7I"", ""2018-2025!AC913"")"),13615.478621499999)</f>
        <v>13615.47862</v>
      </c>
      <c r="G46" s="8" t="s">
        <v>27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6">
        <v>45067.0</v>
      </c>
      <c r="B47" s="9">
        <v>213.0</v>
      </c>
      <c r="C47" s="27">
        <f>57451.6/1000</f>
        <v>57.4516</v>
      </c>
      <c r="D47" s="28">
        <f>IFERROR(__xludf.DUMMYFUNCTION("C47*IMPORTRANGE(""https://docs.google.com/spreadsheets/d/1xsp01RMmkav9iTy39Zaj_7tE9677EGlOJ14KU9TZn7I"", ""2018-2025!H935"")"),47.258537128)</f>
        <v>47.25853713</v>
      </c>
      <c r="E47" s="28">
        <f>IFERROR(__xludf.DUMMYFUNCTION("C47*IMPORTRANGE(""https://docs.google.com/spreadsheets/d/1xsp01RMmkav9iTy39Zaj_7tE9677EGlOJ14KU9TZn7I"", ""2018-2025!T935"")"),40.699287956)</f>
        <v>40.69928796</v>
      </c>
      <c r="F47" s="28">
        <f>IFERROR(__xludf.DUMMYFUNCTION("C47*IMPORTRANGE(""https://docs.google.com/spreadsheets/d/1xsp01RMmkav9iTy39Zaj_7tE9677EGlOJ14KU9TZn7I"", ""2018-2025!AC935"")"),6271.991172)</f>
        <v>6271.991172</v>
      </c>
      <c r="G47" s="8" t="s">
        <v>27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6">
        <v>45098.0</v>
      </c>
      <c r="B48" s="9">
        <v>217.0</v>
      </c>
      <c r="C48" s="27">
        <f>70164.6/1000</f>
        <v>70.1646</v>
      </c>
      <c r="D48" s="28">
        <f>IFERROR(__xludf.DUMMYFUNCTION("C48*IMPORTRANGE(""https://docs.google.com/spreadsheets/d/1xsp01RMmkav9iTy39Zaj_7tE9677EGlOJ14KU9TZn7I"", ""2018-2025!H958"")"),57.909650964)</f>
        <v>57.90965096</v>
      </c>
      <c r="E48" s="28">
        <f>IFERROR(__xludf.DUMMYFUNCTION("C48*IMPORTRANGE(""https://docs.google.com/spreadsheets/d/1xsp01RMmkav9iTy39Zaj_7tE9677EGlOJ14KU9TZn7I"", ""2018-2025!T958"")"),49.77722300100001)</f>
        <v>49.777223</v>
      </c>
      <c r="F48" s="28">
        <f>IFERROR(__xludf.DUMMYFUNCTION("C48*IMPORTRANGE(""https://docs.google.com/spreadsheets/d/1xsp01RMmkav9iTy39Zaj_7tE9677EGlOJ14KU9TZn7I"", ""2018-2025!AC958"")"),7728.104455500001)</f>
        <v>7728.104456</v>
      </c>
      <c r="G48" s="8" t="s">
        <v>27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6">
        <v>45128.0</v>
      </c>
      <c r="B49" s="9">
        <v>265.0</v>
      </c>
      <c r="C49" s="27">
        <f>108043.9/1000</f>
        <v>108.0439</v>
      </c>
      <c r="D49" s="28">
        <f>IFERROR(__xludf.DUMMYFUNCTION("C49*IMPORTRANGE(""https://docs.google.com/spreadsheets/d/1xsp01RMmkav9iTy39Zaj_7tE9677EGlOJ14KU9TZn7I"", ""2018-2025!H981"")"),91.378128425)</f>
        <v>91.37812843</v>
      </c>
      <c r="E49" s="28">
        <f>IFERROR(__xludf.DUMMYFUNCTION("C49*IMPORTRANGE(""https://docs.google.com/spreadsheets/d/1xsp01RMmkav9iTy39Zaj_7tE9677EGlOJ14KU9TZn7I"", ""2018-2025!T981"")"),78.1929910885)</f>
        <v>78.19299109</v>
      </c>
      <c r="F49" s="28">
        <f>IFERROR(__xludf.DUMMYFUNCTION("C49*IMPORTRANGE(""https://docs.google.com/spreadsheets/d/1xsp01RMmkav9iTy39Zaj_7tE9677EGlOJ14KU9TZn7I"", ""2018-2025!AC981"")"),11910.219316499999)</f>
        <v>11910.21932</v>
      </c>
      <c r="G49" s="8" t="s">
        <v>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6">
        <v>45159.0</v>
      </c>
      <c r="B50" s="9">
        <v>217.0</v>
      </c>
      <c r="C50" s="27">
        <f>95148.5/1000</f>
        <v>95.1485</v>
      </c>
      <c r="D50" s="28">
        <f>IFERROR(__xludf.DUMMYFUNCTION("C50*IMPORTRANGE(""https://docs.google.com/spreadsheets/d/1xsp01RMmkav9iTy39Zaj_7tE9677EGlOJ14KU9TZn7I"", ""2018-2025!H1004"")"),80.94473192)</f>
        <v>80.94473192</v>
      </c>
      <c r="E50" s="28">
        <f>IFERROR(__xludf.DUMMYFUNCTION("C50*IMPORTRANGE(""https://docs.google.com/spreadsheets/d/1xsp01RMmkav9iTy39Zaj_7tE9677EGlOJ14KU9TZn7I"", ""2018-2025!T1004"")"),68.829473415)</f>
        <v>68.82947342</v>
      </c>
      <c r="F50" s="28">
        <f>IFERROR(__xludf.DUMMYFUNCTION("C50*IMPORTRANGE(""https://docs.google.com/spreadsheets/d/1xsp01RMmkav9iTy39Zaj_7tE9677EGlOJ14KU9TZn7I"", ""2018-2025!AC1004"")"),10447.685894)</f>
        <v>10447.68589</v>
      </c>
      <c r="G50" s="8" t="s">
        <v>27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6">
        <v>45190.0</v>
      </c>
      <c r="B51" s="9">
        <v>195.0</v>
      </c>
      <c r="C51" s="27">
        <f>73274.6/1000</f>
        <v>73.2746</v>
      </c>
      <c r="D51" s="28">
        <f>IFERROR(__xludf.DUMMYFUNCTION("C51*IMPORTRANGE(""https://docs.google.com/spreadsheets/d/1xsp01RMmkav9iTy39Zaj_7tE9677EGlOJ14KU9TZn7I"", ""2018-2025!H1027"")"),62.05699148600001)</f>
        <v>62.05699149</v>
      </c>
      <c r="E51" s="28">
        <f>IFERROR(__xludf.DUMMYFUNCTION("C51*IMPORTRANGE(""https://docs.google.com/spreadsheets/d/1xsp01RMmkav9iTy39Zaj_7tE9677EGlOJ14KU9TZn7I"", ""2018-2025!T1027"")"),53.214579131)</f>
        <v>53.21457913</v>
      </c>
      <c r="F51" s="28">
        <f>IFERROR(__xludf.DUMMYFUNCTION("C51*IMPORTRANGE(""https://docs.google.com/spreadsheets/d/1xsp01RMmkav9iTy39Zaj_7tE9677EGlOJ14KU9TZn7I"", ""2018-2025!AC1027"")"),8057.128466800001)</f>
        <v>8057.128467</v>
      </c>
      <c r="G51" s="8" t="s">
        <v>27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6">
        <v>45220.0</v>
      </c>
      <c r="B52" s="9">
        <v>214.0</v>
      </c>
      <c r="C52" s="27">
        <f>43242.2/1000</f>
        <v>43.2422</v>
      </c>
      <c r="D52" s="28">
        <f>IFERROR(__xludf.DUMMYFUNCTION("C52*IMPORTRANGE(""https://docs.google.com/spreadsheets/d/1xsp01RMmkav9iTy39Zaj_7tE9677EGlOJ14KU9TZn7I"", ""2018-2025!H1049"")"),37.279100619999994)</f>
        <v>37.27910062</v>
      </c>
      <c r="E52" s="28">
        <f>IFERROR(__xludf.DUMMYFUNCTION("C52*IMPORTRANGE(""https://docs.google.com/spreadsheets/d/1xsp01RMmkav9iTy39Zaj_7tE9677EGlOJ14KU9TZn7I"", ""2018-2025!T1049"")"),31.634696254)</f>
        <v>31.63469625</v>
      </c>
      <c r="F52" s="28">
        <f>IFERROR(__xludf.DUMMYFUNCTION("C52*IMPORTRANGE(""https://docs.google.com/spreadsheets/d/1xsp01RMmkav9iTy39Zaj_7tE9677EGlOJ14KU9TZn7I"", ""2018-2025!AC1049"")"),4913.0057952)</f>
        <v>4913.005795</v>
      </c>
      <c r="G52" s="8" t="s">
        <v>27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6">
        <v>45251.0</v>
      </c>
      <c r="B53" s="9">
        <v>203.0</v>
      </c>
      <c r="C53" s="27">
        <f>114876.5/1000</f>
        <v>114.8765</v>
      </c>
      <c r="D53" s="28">
        <f>IFERROR(__xludf.DUMMYFUNCTION("C53*IMPORTRANGE(""https://docs.google.com/spreadsheets/d/1xsp01RMmkav9iTy39Zaj_7tE9677EGlOJ14KU9TZn7I"", ""2018-2025!H1072"")"),100.72543834749999)</f>
        <v>100.7254383</v>
      </c>
      <c r="E53" s="28">
        <f>IFERROR(__xludf.DUMMYFUNCTION("C53*IMPORTRANGE(""https://docs.google.com/spreadsheets/d/1xsp01RMmkav9iTy39Zaj_7tE9677EGlOJ14KU9TZn7I"", ""2018-2025!T1072"")"),85.53991381249999)</f>
        <v>85.53991381</v>
      </c>
      <c r="F53" s="28">
        <f>IFERROR(__xludf.DUMMYFUNCTION("C53*IMPORTRANGE(""https://docs.google.com/spreadsheets/d/1xsp01RMmkav9iTy39Zaj_7tE9677EGlOJ14KU9TZn7I"", ""2018-2025!AC1072"")"),13105.340873)</f>
        <v>13105.34087</v>
      </c>
      <c r="G53" s="8" t="s">
        <v>27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6">
        <v>45281.0</v>
      </c>
      <c r="B54" s="9">
        <v>236.0</v>
      </c>
      <c r="C54" s="27">
        <f>67142.5/1000</f>
        <v>67.1425</v>
      </c>
      <c r="D54" s="28">
        <f>IFERROR(__xludf.DUMMYFUNCTION("C54*IMPORTRANGE(""https://docs.google.com/spreadsheets/d/1xsp01RMmkav9iTy39Zaj_7tE9677EGlOJ14KU9TZn7I"", ""2018-2025!H1096"")"),59.355984275)</f>
        <v>59.35598428</v>
      </c>
      <c r="E54" s="28">
        <f>IFERROR(__xludf.DUMMYFUNCTION("C54*IMPORTRANGE(""https://docs.google.com/spreadsheets/d/1xsp01RMmkav9iTy39Zaj_7tE9677EGlOJ14KU9TZn7I"", ""2018-2025!T1096"")"),50.598588)</f>
        <v>50.598588</v>
      </c>
      <c r="F54" s="28">
        <f>IFERROR(__xludf.DUMMYFUNCTION("C54*IMPORTRANGE(""https://docs.google.com/spreadsheets/d/1xsp01RMmkav9iTy39Zaj_7tE9677EGlOJ14KU9TZn7I"", ""2018-2025!AC1096"")"),7631.617977499999)</f>
        <v>7631.617978</v>
      </c>
      <c r="G54" s="8" t="s">
        <v>27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4">
        <v>2022.0</v>
      </c>
      <c r="B55" s="29"/>
      <c r="C55" s="31"/>
      <c r="D55" s="31"/>
      <c r="E55" s="31"/>
      <c r="F55" s="31"/>
      <c r="G55" s="24"/>
      <c r="H55" s="1"/>
      <c r="I55" s="8" t="s">
        <v>29</v>
      </c>
      <c r="J55" s="8" t="s">
        <v>30</v>
      </c>
      <c r="K55" s="8" t="s">
        <v>31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6">
        <v>44948.0</v>
      </c>
      <c r="B56" s="9">
        <v>203.0</v>
      </c>
      <c r="C56" s="27">
        <f>125550.7/1000</f>
        <v>125.5507</v>
      </c>
      <c r="D56" s="28">
        <f>IFERROR(__xludf.DUMMYFUNCTION("C56*IMPORTRANGE(""https://docs.google.com/spreadsheets/d/1xsp01RMmkav9iTy39Zaj_7tE9677EGlOJ14KU9TZn7I"", ""2018-2025!H1119"")"),110.81606984799998)</f>
        <v>110.8160698</v>
      </c>
      <c r="E56" s="28">
        <f>IFERROR(__xludf.DUMMYFUNCTION("C56*IMPORTRANGE(""https://docs.google.com/spreadsheets/d/1xsp01RMmkav9iTy39Zaj_7tE9677EGlOJ14KU9TZn7I"", ""2018-2025!T1119"")"),92.61749588299999)</f>
        <v>92.61749588</v>
      </c>
      <c r="F56" s="28">
        <f>IFERROR(__xludf.DUMMYFUNCTION("C56*IMPORTRANGE(""https://docs.google.com/spreadsheets/d/1xsp01RMmkav9iTy39Zaj_7tE9677EGlOJ14KU9TZn7I"", ""2018-2025!AC1119"")"),14403.3018547)</f>
        <v>14403.30185</v>
      </c>
      <c r="G56" s="8" t="s">
        <v>27</v>
      </c>
      <c r="H56" s="1"/>
      <c r="I56" s="8"/>
      <c r="J56" s="9">
        <f t="shared" ref="J56:K56" si="1">SUM(B56:B67)</f>
        <v>1953</v>
      </c>
      <c r="K56" s="14">
        <f t="shared" si="1"/>
        <v>890.02145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6">
        <v>44979.0</v>
      </c>
      <c r="B57" s="9">
        <v>172.0</v>
      </c>
      <c r="C57" s="27">
        <f>91751.15/1000</f>
        <v>91.75115</v>
      </c>
      <c r="D57" s="28">
        <f>IFERROR(__xludf.DUMMYFUNCTION("C57*IMPORTRANGE(""https://docs.google.com/spreadsheets/d/1xsp01RMmkav9iTy39Zaj_7tE9677EGlOJ14KU9TZn7I"", ""2018-2025!H1140"")"),80.88827259575)</f>
        <v>80.8882726</v>
      </c>
      <c r="E57" s="28">
        <f>IFERROR(__xludf.DUMMYFUNCTION("C57*IMPORTRANGE(""https://docs.google.com/spreadsheets/d/1xsp01RMmkav9iTy39Zaj_7tE9677EGlOJ14KU9TZn7I"", ""2018-2025!T1140"")"),67.7297814185)</f>
        <v>67.72978142</v>
      </c>
      <c r="F57" s="28">
        <f>IFERROR(__xludf.DUMMYFUNCTION("C57*IMPORTRANGE(""https://docs.google.com/spreadsheets/d/1xsp01RMmkav9iTy39Zaj_7tE9677EGlOJ14KU9TZn7I"", ""2018-2025!AC1140"")"),10567.209323375)</f>
        <v>10567.20932</v>
      </c>
      <c r="G57" s="8" t="s">
        <v>27</v>
      </c>
      <c r="H57" s="1"/>
      <c r="I57" s="8"/>
      <c r="J57" s="17"/>
      <c r="K57" s="3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6">
        <v>45007.0</v>
      </c>
      <c r="B58" s="9">
        <v>197.0</v>
      </c>
      <c r="C58" s="27">
        <f>71045.6/1000</f>
        <v>71.0456</v>
      </c>
      <c r="D58" s="28">
        <f>IFERROR(__xludf.DUMMYFUNCTION("C58*IMPORTRANGE(""https://docs.google.com/spreadsheets/d/1xsp01RMmkav9iTy39Zaj_7tE9677EGlOJ14KU9TZn7I"", ""2018-2025!H1164"")"),64.485959752)</f>
        <v>64.48595975</v>
      </c>
      <c r="E58" s="28">
        <f>IFERROR(__xludf.DUMMYFUNCTION("C58*IMPORTRANGE(""https://docs.google.com/spreadsheets/d/1xsp01RMmkav9iTy39Zaj_7tE9677EGlOJ14KU9TZn7I"", ""2018-2025!T1164"")"),53.982578248)</f>
        <v>53.98257825</v>
      </c>
      <c r="F58" s="28">
        <f>IFERROR(__xludf.DUMMYFUNCTION("C58*IMPORTRANGE(""https://docs.google.com/spreadsheets/d/1xsp01RMmkav9iTy39Zaj_7tE9677EGlOJ14KU9TZn7I"", ""2018-2025!AC1164"")"),8404.1261152)</f>
        <v>8404.126115</v>
      </c>
      <c r="G58" s="8" t="s">
        <v>27</v>
      </c>
      <c r="H58" s="1"/>
      <c r="I58" s="8"/>
      <c r="J58" s="8"/>
      <c r="K58" s="3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6">
        <v>45038.0</v>
      </c>
      <c r="B59" s="9">
        <v>163.0</v>
      </c>
      <c r="C59" s="27">
        <f>170854.9/1000</f>
        <v>170.8549</v>
      </c>
      <c r="D59" s="28">
        <f>IFERROR(__xludf.DUMMYFUNCTION("C59*IMPORTRANGE(""https://docs.google.com/spreadsheets/d/1xsp01RMmkav9iTy39Zaj_7tE9677EGlOJ14KU9TZn7I"", ""2018-2025!H1186"")"),157.685404308)</f>
        <v>157.6854043</v>
      </c>
      <c r="E59" s="28">
        <f>IFERROR(__xludf.DUMMYFUNCTION("C59*IMPORTRANGE(""https://docs.google.com/spreadsheets/d/1xsp01RMmkav9iTy39Zaj_7tE9677EGlOJ14KU9TZn7I"", ""2018-2025!T1186"")"),131.10209041699997)</f>
        <v>131.1020904</v>
      </c>
      <c r="F59" s="28">
        <f>IFERROR(__xludf.DUMMYFUNCTION("C59*IMPORTRANGE(""https://docs.google.com/spreadsheets/d/1xsp01RMmkav9iTy39Zaj_7tE9677EGlOJ14KU9TZn7I"", ""2018-2025!AC1186"")"),21558.3004271)</f>
        <v>21558.30043</v>
      </c>
      <c r="G59" s="8" t="s">
        <v>27</v>
      </c>
      <c r="H59" s="1"/>
      <c r="I59" s="8"/>
      <c r="J59" s="8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6">
        <v>45068.0</v>
      </c>
      <c r="B60" s="9">
        <v>187.0</v>
      </c>
      <c r="C60" s="27">
        <f>93973.4/1000</f>
        <v>93.9734</v>
      </c>
      <c r="D60" s="28">
        <f>IFERROR(__xludf.DUMMYFUNCTION("C60*IMPORTRANGE(""https://docs.google.com/spreadsheets/d/1xsp01RMmkav9iTy39Zaj_7tE9677EGlOJ14KU9TZn7I"", ""2018-2025!H1209"")"),89.12672189499999)</f>
        <v>89.1267219</v>
      </c>
      <c r="E60" s="28">
        <f>IFERROR(__xludf.DUMMYFUNCTION("C60*IMPORTRANGE(""https://docs.google.com/spreadsheets/d/1xsp01RMmkav9iTy39Zaj_7tE9677EGlOJ14KU9TZn7I"", ""2018-2025!T1209"")"),75.230875237)</f>
        <v>75.23087524</v>
      </c>
      <c r="F60" s="28">
        <f>IFERROR(__xludf.DUMMYFUNCTION("C60*IMPORTRANGE(""https://docs.google.com/spreadsheets/d/1xsp01RMmkav9iTy39Zaj_7tE9677EGlOJ14KU9TZn7I"", ""2018-2025!AC1209"")"),12129.4286582)</f>
        <v>12129.42866</v>
      </c>
      <c r="G60" s="8" t="s">
        <v>27</v>
      </c>
      <c r="H60" s="1"/>
      <c r="I60" s="8"/>
      <c r="J60" s="8"/>
      <c r="K60" s="3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6">
        <v>45099.0</v>
      </c>
      <c r="B61" s="9">
        <v>159.0</v>
      </c>
      <c r="C61" s="27">
        <f>42265.4/1000</f>
        <v>42.2654</v>
      </c>
      <c r="D61" s="28">
        <f>IFERROR(__xludf.DUMMYFUNCTION("C61*IMPORTRANGE(""https://docs.google.com/spreadsheets/d/1xsp01RMmkav9iTy39Zaj_7tE9677EGlOJ14KU9TZn7I"", ""2018-2025!H1232"")"),40.041183325)</f>
        <v>40.04118333</v>
      </c>
      <c r="E61" s="28">
        <f>IFERROR(__xludf.DUMMYFUNCTION("C61*IMPORTRANGE(""https://docs.google.com/spreadsheets/d/1xsp01RMmkav9iTy39Zaj_7tE9677EGlOJ14KU9TZn7I"", ""2018-2025!T1232"")"),34.442919767999996)</f>
        <v>34.44291977</v>
      </c>
      <c r="F61" s="28">
        <f>IFERROR(__xludf.DUMMYFUNCTION("C61*IMPORTRANGE(""https://docs.google.com/spreadsheets/d/1xsp01RMmkav9iTy39Zaj_7tE9677EGlOJ14KU9TZn7I"", ""2018-2025!AC1232"")"),5689.852678800001)</f>
        <v>5689.852679</v>
      </c>
      <c r="G61" s="8" t="s">
        <v>27</v>
      </c>
      <c r="H61" s="1"/>
      <c r="I61" s="8"/>
      <c r="J61" s="8"/>
      <c r="K61" s="3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6">
        <v>45129.0</v>
      </c>
      <c r="B62" s="9">
        <v>148.0</v>
      </c>
      <c r="C62" s="27">
        <f>23087.5/1000</f>
        <v>23.0875</v>
      </c>
      <c r="D62" s="28">
        <f>IFERROR(__xludf.DUMMYFUNCTION("C62*IMPORTRANGE(""https://docs.google.com/spreadsheets/d/1xsp01RMmkav9iTy39Zaj_7tE9677EGlOJ14KU9TZn7I"", ""2018-2025!H1254"")"),22.66499875)</f>
        <v>22.66499875</v>
      </c>
      <c r="E62" s="28">
        <f>IFERROR(__xludf.DUMMYFUNCTION("C62*IMPORTRANGE(""https://docs.google.com/spreadsheets/d/1xsp01RMmkav9iTy39Zaj_7tE9677EGlOJ14KU9TZn7I"", ""2018-2025!T1254"")"),19.245739999999998)</f>
        <v>19.24574</v>
      </c>
      <c r="F62" s="28">
        <f>IFERROR(__xludf.DUMMYFUNCTION("C62*IMPORTRANGE(""https://docs.google.com/spreadsheets/d/1xsp01RMmkav9iTy39Zaj_7tE9677EGlOJ14KU9TZn7I"", ""2018-2025!AC1254"")"),3149.8507125)</f>
        <v>3149.850713</v>
      </c>
      <c r="G62" s="8" t="s">
        <v>27</v>
      </c>
      <c r="H62" s="1"/>
      <c r="I62" s="8"/>
      <c r="J62" s="8"/>
      <c r="K62" s="3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6">
        <v>45160.0</v>
      </c>
      <c r="B63" s="9">
        <v>163.0</v>
      </c>
      <c r="C63" s="27">
        <f>39348.8/1000</f>
        <v>39.3488</v>
      </c>
      <c r="D63" s="28">
        <f>IFERROR(__xludf.DUMMYFUNCTION("C63*IMPORTRANGE(""https://docs.google.com/spreadsheets/d/1xsp01RMmkav9iTy39Zaj_7tE9677EGlOJ14KU9TZn7I"", ""2018-2025!H1278"")"),38.72158012800001)</f>
        <v>38.72158013</v>
      </c>
      <c r="E63" s="28">
        <f>IFERROR(__xludf.DUMMYFUNCTION("C63*IMPORTRANGE(""https://docs.google.com/spreadsheets/d/1xsp01RMmkav9iTy39Zaj_7tE9677EGlOJ14KU9TZn7I"", ""2018-2025!T1278"")"),32.628811936000005)</f>
        <v>32.62881194</v>
      </c>
      <c r="F63" s="28">
        <f>IFERROR(__xludf.DUMMYFUNCTION("C63*IMPORTRANGE(""https://docs.google.com/spreadsheets/d/1xsp01RMmkav9iTy39Zaj_7tE9677EGlOJ14KU9TZn7I"", ""2018-2025!AC1278"")"),5309.8844672000005)</f>
        <v>5309.884467</v>
      </c>
      <c r="G63" s="8" t="s">
        <v>27</v>
      </c>
      <c r="H63" s="1"/>
      <c r="I63" s="8"/>
      <c r="J63" s="8"/>
      <c r="K63" s="3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6">
        <v>45191.0</v>
      </c>
      <c r="B64" s="9">
        <v>142.0</v>
      </c>
      <c r="C64" s="27">
        <f>53533.5/1000</f>
        <v>53.5335</v>
      </c>
      <c r="D64" s="28">
        <f>IFERROR(__xludf.DUMMYFUNCTION("C64*IMPORTRANGE(""https://docs.google.com/spreadsheets/d/1xsp01RMmkav9iTy39Zaj_7tE9677EGlOJ14KU9TZn7I"", ""2018-2025!H1301"")"),53.740139309999996)</f>
        <v>53.74013931</v>
      </c>
      <c r="E64" s="28">
        <f>IFERROR(__xludf.DUMMYFUNCTION("C64*IMPORTRANGE(""https://docs.google.com/spreadsheets/d/1xsp01RMmkav9iTy39Zaj_7tE9677EGlOJ14KU9TZn7I"", ""2018-2025!T1301"")"),46.6986103875)</f>
        <v>46.69861039</v>
      </c>
      <c r="F64" s="28">
        <f>IFERROR(__xludf.DUMMYFUNCTION("C64*IMPORTRANGE(""https://docs.google.com/spreadsheets/d/1xsp01RMmkav9iTy39Zaj_7tE9677EGlOJ14KU9TZn7I"", ""2018-2025!AC1301"")"),7671.029349)</f>
        <v>7671.029349</v>
      </c>
      <c r="G64" s="8" t="s">
        <v>27</v>
      </c>
      <c r="H64" s="1"/>
      <c r="I64" s="8"/>
      <c r="J64" s="8"/>
      <c r="K64" s="3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6">
        <v>45221.0</v>
      </c>
      <c r="B65" s="9">
        <v>128.0</v>
      </c>
      <c r="C65" s="27">
        <f>95544.5/1000</f>
        <v>95.5445</v>
      </c>
      <c r="D65" s="28">
        <f>IFERROR(__xludf.DUMMYFUNCTION("C65*IMPORTRANGE(""https://docs.google.com/spreadsheets/d/1xsp01RMmkav9iTy39Zaj_7tE9677EGlOJ14KU9TZn7I"", ""2018-2025!H1323"")"),97.17640005999999)</f>
        <v>97.17640006</v>
      </c>
      <c r="E65" s="28">
        <f>IFERROR(__xludf.DUMMYFUNCTION("C65*IMPORTRANGE(""https://docs.google.com/spreadsheets/d/1xsp01RMmkav9iTy39Zaj_7tE9677EGlOJ14KU9TZn7I"", ""2018-2025!T1323"")"),84.494778575)</f>
        <v>84.49477858</v>
      </c>
      <c r="F65" s="28">
        <f>IFERROR(__xludf.DUMMYFUNCTION("C65*IMPORTRANGE(""https://docs.google.com/spreadsheets/d/1xsp01RMmkav9iTy39Zaj_7tE9677EGlOJ14KU9TZn7I"", ""2018-2025!AC1323"")"),14019.913296499999)</f>
        <v>14019.9133</v>
      </c>
      <c r="G65" s="8" t="s">
        <v>27</v>
      </c>
      <c r="H65" s="1"/>
      <c r="I65" s="8"/>
      <c r="J65" s="8"/>
      <c r="K65" s="3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6">
        <v>45252.0</v>
      </c>
      <c r="B66" s="9">
        <v>145.0</v>
      </c>
      <c r="C66" s="27">
        <f>69643.8/1000</f>
        <v>69.6438</v>
      </c>
      <c r="D66" s="28">
        <f>IFERROR(__xludf.DUMMYFUNCTION("C66*IMPORTRANGE(""https://docs.google.com/spreadsheets/d/1xsp01RMmkav9iTy39Zaj_7tE9677EGlOJ14KU9TZn7I"", ""2018-2025!H1346"")"),67.515833691)</f>
        <v>67.51583369</v>
      </c>
      <c r="E66" s="28">
        <f>IFERROR(__xludf.DUMMYFUNCTION("C66*IMPORTRANGE(""https://docs.google.com/spreadsheets/d/1xsp01RMmkav9iTy39Zaj_7tE9677EGlOJ14KU9TZn7I"", ""2018-2025!T1346"")"),58.9534767)</f>
        <v>58.9534767</v>
      </c>
      <c r="F66" s="28">
        <f>IFERROR(__xludf.DUMMYFUNCTION("C66*IMPORTRANGE(""https://docs.google.com/spreadsheets/d/1xsp01RMmkav9iTy39Zaj_7tE9677EGlOJ14KU9TZn7I"", ""2018-2025!AC1346"")"),9804.6979173)</f>
        <v>9804.697917</v>
      </c>
      <c r="G66" s="8" t="s">
        <v>27</v>
      </c>
      <c r="H66" s="1"/>
      <c r="I66" s="8"/>
      <c r="J66" s="8"/>
      <c r="K66" s="3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36">
        <v>45282.0</v>
      </c>
      <c r="B67" s="9">
        <v>146.0</v>
      </c>
      <c r="C67" s="27">
        <f>13422.2/1000</f>
        <v>13.4222</v>
      </c>
      <c r="D67" s="28">
        <f>IFERROR(__xludf.DUMMYFUNCTION("C67*IMPORTRANGE(""https://docs.google.com/spreadsheets/d/1xsp01RMmkav9iTy39Zaj_7tE9677EGlOJ14KU9TZn7I"", ""2018-2025!H1369"")"),12.65445016)</f>
        <v>12.65445016</v>
      </c>
      <c r="E67" s="28">
        <f>IFERROR(__xludf.DUMMYFUNCTION("C67*IMPORTRANGE(""https://docs.google.com/spreadsheets/d/1xsp01RMmkav9iTy39Zaj_7tE9677EGlOJ14KU9TZn7I"", ""2018-2025!T1369"")"),11.024659524999999)</f>
        <v>11.02465953</v>
      </c>
      <c r="F67" s="28">
        <f>IFERROR(__xludf.DUMMYFUNCTION("C67*IMPORTRANGE(""https://docs.google.com/spreadsheets/d/1xsp01RMmkav9iTy39Zaj_7tE9677EGlOJ14KU9TZn7I"", ""2018-2025!AC1369"")"),1818.2517452000002)</f>
        <v>1818.251745</v>
      </c>
      <c r="G67" s="8" t="s">
        <v>27</v>
      </c>
      <c r="H67" s="1"/>
      <c r="I67" s="8"/>
      <c r="J67" s="8"/>
      <c r="K67" s="3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4"/>
      <c r="B68" s="29"/>
      <c r="C68" s="31"/>
      <c r="D68" s="31"/>
      <c r="E68" s="31"/>
      <c r="F68" s="31"/>
      <c r="G68" s="24"/>
      <c r="H68" s="1"/>
      <c r="I68" s="38" t="s">
        <v>32</v>
      </c>
      <c r="J68" s="8" t="s">
        <v>30</v>
      </c>
      <c r="K68" s="37" t="s">
        <v>31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9">
        <v>44949.0</v>
      </c>
      <c r="B69" s="40">
        <v>135.0</v>
      </c>
      <c r="C69" s="27">
        <f>21003.8/1000</f>
        <v>21.0038</v>
      </c>
      <c r="D69" s="28">
        <f>IFERROR(__xludf.DUMMYFUNCTION("C69*IMPORTRANGE(""https://docs.google.com/spreadsheets/d/1xsp01RMmkav9iTy39Zaj_7tE9677EGlOJ14KU9TZn7I"", ""2018-2025!H1393"")"),19.427779866999998)</f>
        <v>19.42777987</v>
      </c>
      <c r="E69" s="28">
        <f>IFERROR(__xludf.DUMMYFUNCTION("C69*IMPORTRANGE(""https://docs.google.com/spreadsheets/d/1xsp01RMmkav9iTy39Zaj_7tE9677EGlOJ14KU9TZn7I"", ""2018-2025!T1393"")"),17.184889083999998)</f>
        <v>17.18488908</v>
      </c>
      <c r="F69" s="28">
        <f>IFERROR(__xludf.DUMMYFUNCTION("C69*IMPORTRANGE(""https://docs.google.com/spreadsheets/d/1xsp01RMmkav9iTy39Zaj_7tE9677EGlOJ14KU9TZn7I"", ""2018-2025!AC1393"")"),2738.0343852038)</f>
        <v>2738.034385</v>
      </c>
      <c r="G69" s="8" t="s">
        <v>27</v>
      </c>
      <c r="H69" s="1"/>
      <c r="I69" s="8"/>
      <c r="J69" s="9">
        <f t="shared" ref="J69:K69" si="2">SUM(B69:B80)</f>
        <v>1274</v>
      </c>
      <c r="K69" s="14">
        <f t="shared" si="2"/>
        <v>482.443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9">
        <v>44980.0</v>
      </c>
      <c r="B70" s="40">
        <v>142.0</v>
      </c>
      <c r="C70" s="27">
        <f>45928.1/1000</f>
        <v>45.9281</v>
      </c>
      <c r="D70" s="28">
        <f>IFERROR(__xludf.DUMMYFUNCTION("C70*IMPORTRANGE(""https://docs.google.com/spreadsheets/d/1xsp01RMmkav9iTy39Zaj_7tE9677EGlOJ14KU9TZn7I"", ""2018-2025!H1414"")"),42.86010292)</f>
        <v>42.86010292</v>
      </c>
      <c r="E70" s="28">
        <f>IFERROR(__xludf.DUMMYFUNCTION("C70*IMPORTRANGE(""https://docs.google.com/spreadsheets/d/1xsp01RMmkav9iTy39Zaj_7tE9677EGlOJ14KU9TZn7I"", ""2018-2025!T1414"")"),38.103788884)</f>
        <v>38.10378888</v>
      </c>
      <c r="F70" s="28">
        <f>IFERROR(__xludf.DUMMYFUNCTION("C70*IMPORTRANGE(""https://docs.google.com/spreadsheets/d/1xsp01RMmkav9iTy39Zaj_7tE9677EGlOJ14KU9TZn7I"", ""2018-2025!AC1414"")"),6099.573176700001)</f>
        <v>6099.573177</v>
      </c>
      <c r="G70" s="8" t="s">
        <v>27</v>
      </c>
      <c r="H70" s="1"/>
      <c r="I70" s="8"/>
      <c r="J70" s="8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9">
        <v>45008.0</v>
      </c>
      <c r="B71" s="40">
        <v>140.0</v>
      </c>
      <c r="C71" s="27">
        <f>87683/1000</f>
        <v>87.683</v>
      </c>
      <c r="D71" s="28">
        <f>IFERROR(__xludf.DUMMYFUNCTION("C71*IMPORTRANGE(""https://docs.google.com/spreadsheets/d/1xsp01RMmkav9iTy39Zaj_7tE9677EGlOJ14KU9TZn7I"", ""2018-2025!H1438"")"),82.03621480000001)</f>
        <v>82.0362148</v>
      </c>
      <c r="E71" s="28">
        <f>IFERROR(__xludf.DUMMYFUNCTION("C71*IMPORTRANGE(""https://docs.google.com/spreadsheets/d/1xsp01RMmkav9iTy39Zaj_7tE9677EGlOJ14KU9TZn7I"", ""2018-2025!T1438"")"),72.1543407)</f>
        <v>72.1543407</v>
      </c>
      <c r="F71" s="28">
        <f>IFERROR(__xludf.DUMMYFUNCTION("C71*IMPORTRANGE(""https://docs.google.com/spreadsheets/d/1xsp01RMmkav9iTy39Zaj_7tE9677EGlOJ14KU9TZn7I"", ""2018-2025!AC1438"")"),11679.463633732003)</f>
        <v>11679.46363</v>
      </c>
      <c r="G71" s="8" t="s">
        <v>27</v>
      </c>
      <c r="H71" s="1"/>
      <c r="I71" s="8"/>
      <c r="J71" s="8"/>
      <c r="K71" s="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9">
        <v>45039.0</v>
      </c>
      <c r="B72" s="40">
        <v>97.0</v>
      </c>
      <c r="C72" s="27">
        <f>28892.7/1000</f>
        <v>28.8927</v>
      </c>
      <c r="D72" s="28">
        <f>IFERROR(__xludf.DUMMYFUNCTION("C72*IMPORTRANGE(""https://docs.google.com/spreadsheets/d/1xsp01RMmkav9iTy39Zaj_7tE9677EGlOJ14KU9TZn7I"", ""2018-2025!H1459"")"),26.348697765)</f>
        <v>26.34869777</v>
      </c>
      <c r="E72" s="28">
        <f>IFERROR(__xludf.DUMMYFUNCTION("C72*IMPORTRANGE(""https://docs.google.com/spreadsheets/d/1xsp01RMmkav9iTy39Zaj_7tE9677EGlOJ14KU9TZn7I"", ""2018-2025!T1459"")"),23.23439697105)</f>
        <v>23.23439697</v>
      </c>
      <c r="F72" s="28">
        <f>IFERROR(__xludf.DUMMYFUNCTION("C72*IMPORTRANGE(""https://docs.google.com/spreadsheets/d/1xsp01RMmkav9iTy39Zaj_7tE9677EGlOJ14KU9TZn7I"", ""2018-2025!AC364"")"),3226.3755772500003)</f>
        <v>3226.375577</v>
      </c>
      <c r="G72" s="8" t="s">
        <v>27</v>
      </c>
      <c r="H72" s="1"/>
      <c r="I72" s="8"/>
      <c r="J72" s="8"/>
      <c r="K72" s="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41">
        <v>45069.0</v>
      </c>
      <c r="B73" s="40">
        <v>111.0</v>
      </c>
      <c r="C73" s="27">
        <f>18928.9/1000</f>
        <v>18.9289</v>
      </c>
      <c r="D73" s="28">
        <f>IFERROR(__xludf.DUMMYFUNCTION("C73*IMPORTRANGE(""https://docs.google.com/spreadsheets/d/1xsp01RMmkav9iTy39Zaj_7tE9677EGlOJ14KU9TZn7I"", ""2018-2025!H1483"")"),17.420834537)</f>
        <v>17.42083454</v>
      </c>
      <c r="E73" s="28">
        <f>IFERROR(__xludf.DUMMYFUNCTION("C73*IMPORTRANGE(""https://docs.google.com/spreadsheets/d/1xsp01RMmkav9iTy39Zaj_7tE9677EGlOJ14KU9TZn7I"", ""2018-2025!T1483"")"),15.163979647800002)</f>
        <v>15.16397965</v>
      </c>
      <c r="F73" s="28">
        <f>IFERROR(__xludf.DUMMYFUNCTION("C73*IMPORTRANGE(""https://docs.google.com/spreadsheets/d/1xsp01RMmkav9iTy39Zaj_7tE9677EGlOJ14KU9TZn7I"", ""2018-2025!AC1483"")"),2583.1512674000005)</f>
        <v>2583.151267</v>
      </c>
      <c r="G73" s="8" t="s">
        <v>27</v>
      </c>
      <c r="H73" s="1"/>
      <c r="I73" s="8"/>
      <c r="J73" s="8"/>
      <c r="K73" s="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9">
        <v>45100.0</v>
      </c>
      <c r="B74" s="40">
        <v>115.0</v>
      </c>
      <c r="C74" s="27">
        <f>52712.4/1000</f>
        <v>52.7124</v>
      </c>
      <c r="D74" s="28">
        <f>IFERROR(__xludf.DUMMYFUNCTION("C74*IMPORTRANGE(""https://docs.google.com/spreadsheets/d/1xsp01RMmkav9iTy39Zaj_7tE9677EGlOJ14KU9TZn7I"", ""2018-2025!H1506"")"),48.61269309000001)</f>
        <v>48.61269309</v>
      </c>
      <c r="E74" s="28">
        <f>IFERROR(__xludf.DUMMYFUNCTION("C74*IMPORTRANGE(""https://docs.google.com/spreadsheets/d/1xsp01RMmkav9iTy39Zaj_7tE9677EGlOJ14KU9TZn7I"", ""2018-2025!T1506"")"),41.731616394)</f>
        <v>41.73161639</v>
      </c>
      <c r="F74" s="28">
        <f>IFERROR(__xludf.DUMMYFUNCTION("C74*IMPORTRANGE(""https://docs.google.com/spreadsheets/d/1xsp01RMmkav9iTy39Zaj_7tE9677EGlOJ14KU9TZn7I"", ""2018-2025!AC1506"")"),7392.2553531372005)</f>
        <v>7392.255353</v>
      </c>
      <c r="G74" s="8" t="s">
        <v>27</v>
      </c>
      <c r="H74" s="1"/>
      <c r="I74" s="8"/>
      <c r="J74" s="8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9">
        <v>45130.0</v>
      </c>
      <c r="B75" s="40">
        <v>98.0</v>
      </c>
      <c r="C75" s="42">
        <f>12407.2/1000</f>
        <v>12.4072</v>
      </c>
      <c r="D75" s="28">
        <f>IFERROR(__xludf.DUMMYFUNCTION("C75*IMPORTRANGE(""https://docs.google.com/spreadsheets/d/1xsp01RMmkav9iTy39Zaj_7tE9677EGlOJ14KU9TZn7I"", ""2018-2025!H1528"")"),11.227771568000001)</f>
        <v>11.22777157</v>
      </c>
      <c r="E75" s="28">
        <f>IFERROR(__xludf.DUMMYFUNCTION("C75*IMPORTRANGE(""https://docs.google.com/spreadsheets/d/1xsp01RMmkav9iTy39Zaj_7tE9677EGlOJ14KU9TZn7I"", ""2018-2025!T1528"")"),9.644364704000001)</f>
        <v>9.644364704</v>
      </c>
      <c r="F75" s="28">
        <f>IFERROR(__xludf.DUMMYFUNCTION("C75*IMPORTRANGE(""https://docs.google.com/spreadsheets/d/1xsp01RMmkav9iTy39Zaj_7tE9677EGlOJ14KU9TZn7I"", ""2018-2025!AC1528"")"),1748.3356991568)</f>
        <v>1748.335699</v>
      </c>
      <c r="G75" s="8" t="s">
        <v>27</v>
      </c>
      <c r="H75" s="1"/>
      <c r="I75" s="8"/>
      <c r="J75" s="8"/>
      <c r="K75" s="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39">
        <v>45161.0</v>
      </c>
      <c r="B76" s="40">
        <v>95.0</v>
      </c>
      <c r="C76" s="42">
        <f>18339.5/1000</f>
        <v>18.3395</v>
      </c>
      <c r="D76" s="28">
        <f>IFERROR(__xludf.DUMMYFUNCTION("C76*IMPORTRANGE(""https://docs.google.com/spreadsheets/d/1xsp01RMmkav9iTy39Zaj_7tE9677EGlOJ14KU9TZn7I"", ""2018-2025!H1552"")"),16.809985700000002)</f>
        <v>16.8099857</v>
      </c>
      <c r="E76" s="28">
        <f>IFERROR(__xludf.DUMMYFUNCTION("C76*IMPORTRANGE(""https://docs.google.com/spreadsheets/d/1xsp01RMmkav9iTy39Zaj_7tE9677EGlOJ14KU9TZn7I"", ""2018-2025!T1552"")"),14.41741453)</f>
        <v>14.41741453</v>
      </c>
      <c r="F76" s="28">
        <f>IFERROR(__xludf.DUMMYFUNCTION("C76*IMPORTRANGE(""https://docs.google.com/spreadsheets/d/1xsp01RMmkav9iTy39Zaj_7tE9677EGlOJ14KU9TZn7I"", ""2018-2025!AC1552"")"),2664.8209191235)</f>
        <v>2664.820919</v>
      </c>
      <c r="G76" s="8" t="s">
        <v>27</v>
      </c>
      <c r="H76" s="1"/>
      <c r="I76" s="8"/>
      <c r="J76" s="8"/>
      <c r="K76" s="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6">
        <v>45192.0</v>
      </c>
      <c r="B77" s="9">
        <v>75.0</v>
      </c>
      <c r="C77" s="22">
        <f>39047.1/1000</f>
        <v>39.0471</v>
      </c>
      <c r="D77" s="28">
        <f>IFERROR(__xludf.DUMMYFUNCTION("C77*IMPORTRANGE(""https://docs.google.com/spreadsheets/d/1xsp01RMmkav9iTy39Zaj_7tE9677EGlOJ14KU9TZn7I"", ""2018-2025!H1574"")"),36.517628862)</f>
        <v>36.51762886</v>
      </c>
      <c r="E77" s="28">
        <f>IFERROR(__xludf.DUMMYFUNCTION("C77*IMPORTRANGE(""https://docs.google.com/spreadsheets/d/1xsp01RMmkav9iTy39Zaj_7tE9677EGlOJ14KU9TZn7I"", ""2018-2025!T1574"")"),31.484848143)</f>
        <v>31.48484814</v>
      </c>
      <c r="F77" s="28">
        <f>IFERROR(__xludf.DUMMYFUNCTION("C77*IMPORTRANGE(""https://docs.google.com/spreadsheets/d/1xsp01RMmkav9iTy39Zaj_7tE9677EGlOJ14KU9TZn7I"", ""2018-2025!AC1574"")"),5763.5470393116)</f>
        <v>5763.547039</v>
      </c>
      <c r="G77" s="8" t="s">
        <v>27</v>
      </c>
      <c r="H77" s="1"/>
      <c r="I77" s="8"/>
      <c r="J77" s="8"/>
      <c r="K77" s="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6">
        <v>45222.0</v>
      </c>
      <c r="B78" s="9">
        <v>82.0</v>
      </c>
      <c r="C78" s="22">
        <f>75640.4/1000</f>
        <v>75.6404</v>
      </c>
      <c r="D78" s="28">
        <f>IFERROR(__xludf.DUMMYFUNCTION("C78*IMPORTRANGE(""https://docs.google.com/spreadsheets/d/1xsp01RMmkav9iTy39Zaj_7tE9677EGlOJ14KU9TZn7I"", ""2018-2025!H1597"")"),71.586830964)</f>
        <v>71.58683096</v>
      </c>
      <c r="E78" s="28">
        <f>IFERROR(__xludf.DUMMYFUNCTION("C78*IMPORTRANGE(""https://docs.google.com/spreadsheets/d/1xsp01RMmkav9iTy39Zaj_7tE9677EGlOJ14KU9TZn7I"", ""2018-2025!T1597"")"),62.18926766800001)</f>
        <v>62.18926767</v>
      </c>
      <c r="F78" s="28">
        <f>IFERROR(__xludf.DUMMYFUNCTION("C78*IMPORTRANGE(""https://docs.google.com/spreadsheets/d/1xsp01RMmkav9iTy39Zaj_7tE9677EGlOJ14KU9TZn7I"", ""2018-2025!AC1597"")"),11326.2046219212)</f>
        <v>11326.20462</v>
      </c>
      <c r="G78" s="8" t="s">
        <v>27</v>
      </c>
      <c r="H78" s="1"/>
      <c r="I78" s="8"/>
      <c r="J78" s="8"/>
      <c r="K78" s="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6">
        <v>45253.0</v>
      </c>
      <c r="B79" s="9">
        <v>86.0</v>
      </c>
      <c r="C79" s="22">
        <f>34690.9/1000</f>
        <v>34.6909</v>
      </c>
      <c r="D79" s="28">
        <f>IFERROR(__xludf.DUMMYFUNCTION("C79*IMPORTRANGE(""https://docs.google.com/spreadsheets/d/1xsp01RMmkav9iTy39Zaj_7tE9677EGlOJ14KU9TZn7I"", ""2018-2025!H1620"")"),31.9608996245)</f>
        <v>31.96089962</v>
      </c>
      <c r="E79" s="28">
        <f>IFERROR(__xludf.DUMMYFUNCTION("C79*IMPORTRANGE(""https://docs.google.com/spreadsheets/d/1xsp01RMmkav9iTy39Zaj_7tE9677EGlOJ14KU9TZn7I"", ""2018-2025!T1620"")"),27.934500315999998)</f>
        <v>27.93450032</v>
      </c>
      <c r="F79" s="28">
        <f>IFERROR(__xludf.DUMMYFUNCTION("C79*IMPORTRANGE(""https://docs.google.com/spreadsheets/d/1xsp01RMmkav9iTy39Zaj_7tE9677EGlOJ14KU9TZn7I"", ""2018-2025!AC1620"")"),5210.3128941773)</f>
        <v>5210.312894</v>
      </c>
      <c r="G79" s="8" t="s">
        <v>27</v>
      </c>
      <c r="H79" s="1"/>
      <c r="I79" s="8"/>
      <c r="J79" s="8"/>
      <c r="K79" s="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6">
        <v>45283.0</v>
      </c>
      <c r="B80" s="9">
        <v>98.0</v>
      </c>
      <c r="C80" s="22">
        <f>47169/1000</f>
        <v>47.169</v>
      </c>
      <c r="D80" s="28">
        <f>IFERROR(__xludf.DUMMYFUNCTION("C80*IMPORTRANGE(""https://docs.google.com/spreadsheets/d/1xsp01RMmkav9iTy39Zaj_7tE9677EGlOJ14KU9TZn7I"", ""2018-2025!H1642"")"),43.293123269999995)</f>
        <v>43.29312327</v>
      </c>
      <c r="E80" s="28">
        <f>IFERROR(__xludf.DUMMYFUNCTION("C80*IMPORTRANGE(""https://docs.google.com/spreadsheets/d/1xsp01RMmkav9iTy39Zaj_7tE9677EGlOJ14KU9TZn7I"", ""2018-2025!T1642"")"),37.2823776)</f>
        <v>37.2823776</v>
      </c>
      <c r="F80" s="28">
        <f>IFERROR(__xludf.DUMMYFUNCTION("C80*IMPORTRANGE(""https://docs.google.com/spreadsheets/d/1xsp01RMmkav9iTy39Zaj_7tE9677EGlOJ14KU9TZn7I"", ""2018-2025!AC1642"")"),6769.836151155)</f>
        <v>6769.836151</v>
      </c>
      <c r="G80" s="8" t="s">
        <v>27</v>
      </c>
      <c r="H80" s="1"/>
      <c r="I80" s="38"/>
      <c r="J80" s="8"/>
      <c r="K80" s="3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4">
        <v>2024.0</v>
      </c>
      <c r="B81" s="24"/>
      <c r="C81" s="24"/>
      <c r="D81" s="31"/>
      <c r="E81" s="31"/>
      <c r="F81" s="31"/>
      <c r="G81" s="24"/>
      <c r="H81" s="1"/>
      <c r="I81" s="38" t="s">
        <v>33</v>
      </c>
      <c r="J81" s="17" t="s">
        <v>30</v>
      </c>
      <c r="K81" s="37" t="s">
        <v>31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43">
        <v>45322.0</v>
      </c>
      <c r="B82" s="44">
        <v>75.0</v>
      </c>
      <c r="C82" s="28">
        <f>36107/1000</f>
        <v>36.107</v>
      </c>
      <c r="D82" s="28">
        <f>IFERROR(__xludf.DUMMYFUNCTION("C82*IMPORTRANGE(""https://docs.google.com/spreadsheets/d/1xsp01RMmkav9iTy39Zaj_7tE9677EGlOJ14KU9TZn7I"", ""2018-2025!H1667"")"),33.0415157)</f>
        <v>33.0415157</v>
      </c>
      <c r="E82" s="28">
        <f>IFERROR(__xludf.DUMMYFUNCTION("C82*IMPORTRANGE(""https://docs.google.com/spreadsheets/d/1xsp01RMmkav9iTy39Zaj_7tE9677EGlOJ14KU9TZn7I"", ""2018-2025!T1667"")"),28.40862653)</f>
        <v>28.40862653</v>
      </c>
      <c r="F82" s="28">
        <f>IFERROR(__xludf.DUMMYFUNCTION("C82*IMPORTRANGE(""https://docs.google.com/spreadsheets/d/1xsp01RMmkav9iTy39Zaj_7tE9677EGlOJ14KU9TZn7I"", ""2018-2025!AC1667"")"),5264.184174642)</f>
        <v>5264.184175</v>
      </c>
      <c r="G82" s="8" t="s">
        <v>27</v>
      </c>
      <c r="H82" s="1"/>
      <c r="I82" s="8"/>
      <c r="J82" s="9">
        <f t="shared" ref="J82:K82" si="3">SUM(B82:B93)</f>
        <v>1259</v>
      </c>
      <c r="K82" s="14">
        <f t="shared" si="3"/>
        <v>395.1733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3">
        <v>45323.0</v>
      </c>
      <c r="B83" s="9">
        <v>72.0</v>
      </c>
      <c r="C83" s="22">
        <f>7105.9/1000</f>
        <v>7.1059</v>
      </c>
      <c r="D83" s="28">
        <f>IFERROR(__xludf.DUMMYFUNCTION("C83*IMPORTRANGE(""https://docs.google.com/spreadsheets/d/1xsp01RMmkav9iTy39Zaj_7tE9677EGlOJ14KU9TZn7I"", ""2018-2025!H1689"")"),6.584682234999999)</f>
        <v>6.584682235</v>
      </c>
      <c r="E83" s="28">
        <f>IFERROR(__xludf.DUMMYFUNCTION("C83*IMPORTRANGE(""https://docs.google.com/spreadsheets/d/1xsp01RMmkav9iTy39Zaj_7tE9677EGlOJ14KU9TZn7I"", ""2018-2025!T1689"")"),5.627375387)</f>
        <v>5.627375387</v>
      </c>
      <c r="F83" s="28">
        <f>IFERROR(__xludf.DUMMYFUNCTION("C83*IMPORTRANGE(""https://docs.google.com/spreadsheets/d/1xsp01RMmkav9iTy39Zaj_7tE9677EGlOJ14KU9TZn7I"", ""2018-2025!AC1689"")"),1065.4763894322998)</f>
        <v>1065.476389</v>
      </c>
      <c r="G83" s="8" t="s">
        <v>27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43">
        <v>45352.0</v>
      </c>
      <c r="B84" s="9">
        <v>95.0</v>
      </c>
      <c r="C84" s="22">
        <f>13632.4/1000</f>
        <v>13.6324</v>
      </c>
      <c r="D84" s="28">
        <f>IFERROR(__xludf.DUMMYFUNCTION("C84*IMPORTRANGE(""https://docs.google.com/spreadsheets/d/1xsp01RMmkav9iTy39Zaj_7tE9677EGlOJ14KU9TZn7I"", ""2018-2025!H1712"")"),12.549033172)</f>
        <v>12.54903317</v>
      </c>
      <c r="E84" s="28">
        <f>IFERROR(__xludf.DUMMYFUNCTION("C84*IMPORTRANGE(""https://docs.google.com/spreadsheets/d/1xsp01RMmkav9iTy39Zaj_7tE9677EGlOJ14KU9TZn7I"", ""2018-2025!T1712"")"),10.717792880000001)</f>
        <v>10.71779288</v>
      </c>
      <c r="F84" s="28">
        <f>IFERROR(__xludf.DUMMYFUNCTION("C84*IMPORTRANGE(""https://docs.google.com/spreadsheets/d/1xsp01RMmkav9iTy39Zaj_7tE9677EGlOJ14KU9TZn7I"", ""2018-2025!AC1712"")"),2046.2232195514)</f>
        <v>2046.22322</v>
      </c>
      <c r="G84" s="8" t="s">
        <v>27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43">
        <v>45383.0</v>
      </c>
      <c r="B85" s="9">
        <v>87.0</v>
      </c>
      <c r="C85" s="22">
        <f>35343.1/1000</f>
        <v>35.3431</v>
      </c>
      <c r="D85" s="28">
        <f>IFERROR(__xludf.DUMMYFUNCTION("C85*IMPORTRANGE(""https://docs.google.com/spreadsheets/d/1xsp01RMmkav9iTy39Zaj_7tE9677EGlOJ14KU9TZn7I"", ""2018-2025!H1735"")"),32.979000041)</f>
        <v>32.97900004</v>
      </c>
      <c r="E85" s="28">
        <f>IFERROR(__xludf.DUMMYFUNCTION("C85*IMPORTRANGE(""https://docs.google.com/spreadsheets/d/1xsp01RMmkav9iTy39Zaj_7tE9677EGlOJ14KU9TZn7I"", ""2018-2025!T1735"")"),28.223232505)</f>
        <v>28.22323251</v>
      </c>
      <c r="F85" s="28">
        <f>IFERROR(__xludf.DUMMYFUNCTION("C85*IMPORTRANGE(""https://docs.google.com/spreadsheets/d/1xsp01RMmkav9iTy39Zaj_7tE9677EGlOJ14KU9TZn7I"", ""2018-2025!AC1735"")"),5433.807220278451)</f>
        <v>5433.80722</v>
      </c>
      <c r="G85" s="8" t="s">
        <v>27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43">
        <v>45413.0</v>
      </c>
      <c r="B86" s="9">
        <v>115.0</v>
      </c>
      <c r="C86" s="22">
        <f>48183.6/1000</f>
        <v>48.1836</v>
      </c>
      <c r="D86" s="28">
        <f>IFERROR(__xludf.DUMMYFUNCTION("C86*IMPORTRANGE(""https://docs.google.com/spreadsheets/d/1xsp01RMmkav9iTy39Zaj_7tE9677EGlOJ14KU9TZn7I"", ""2018-2025!H1759"")"),44.562120623999995)</f>
        <v>44.56212062</v>
      </c>
      <c r="E86" s="28">
        <f>IFERROR(__xludf.DUMMYFUNCTION("C86*IMPORTRANGE(""https://docs.google.com/spreadsheets/d/1xsp01RMmkav9iTy39Zaj_7tE9677EGlOJ14KU9TZn7I"", ""2018-2025!T1759"")"),38.023654287599996)</f>
        <v>38.02365429</v>
      </c>
      <c r="F86" s="28">
        <f>IFERROR(__xludf.DUMMYFUNCTION("C86*IMPORTRANGE(""https://docs.google.com/spreadsheets/d/1xsp01RMmkav9iTy39Zaj_7tE9677EGlOJ14KU9TZn7I"", ""2018-2025!AC1759"")"),7527.8684751672)</f>
        <v>7527.868475</v>
      </c>
      <c r="G86" s="8" t="s">
        <v>27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43">
        <v>45473.0</v>
      </c>
      <c r="B87" s="9">
        <v>124.0</v>
      </c>
      <c r="C87" s="22">
        <f>49410.4/1000
</f>
        <v>49.4104</v>
      </c>
      <c r="D87" s="28">
        <f>IFERROR(__xludf.DUMMYFUNCTION("C87*IMPORTRANGE(""https://docs.google.com/spreadsheets/d/1xsp01RMmkav9iTy39Zaj_7tE9677EGlOJ14KU9TZn7I"", ""2018-2025!H1781"")"),46.003058816)</f>
        <v>46.00305882</v>
      </c>
      <c r="E87" s="28">
        <f>IFERROR(__xludf.DUMMYFUNCTION("C87*IMPORTRANGE(""https://docs.google.com/spreadsheets/d/1xsp01RMmkav9iTy39Zaj_7tE9677EGlOJ14KU9TZn7I"", ""2018-2025!T1781"")"),38.838550816)</f>
        <v>38.83855082</v>
      </c>
      <c r="F87" s="28">
        <f>IFERROR(__xludf.DUMMYFUNCTION("C87*IMPORTRANGE(""https://docs.google.com/spreadsheets/d/1xsp01RMmkav9iTy39Zaj_7tE9677EGlOJ14KU9TZn7I"", ""2018-2025!AC1781"")"),7784.411125452001)</f>
        <v>7784.411125</v>
      </c>
      <c r="G87" s="8" t="s">
        <v>27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43">
        <v>45504.0</v>
      </c>
      <c r="B88" s="9">
        <v>116.0</v>
      </c>
      <c r="C88" s="22">
        <f>34506.6/1000</f>
        <v>34.5066</v>
      </c>
      <c r="D88" s="28">
        <f>IFERROR(__xludf.DUMMYFUNCTION("C88*IMPORTRANGE(""https://docs.google.com/spreadsheets/d/1xsp01RMmkav9iTy39Zaj_7tE9677EGlOJ14KU9TZn7I"", ""2018-2025!H1805"")"),31.817673194999998)</f>
        <v>31.8176732</v>
      </c>
      <c r="E88" s="28">
        <f>IFERROR(__xludf.DUMMYFUNCTION("C88*IMPORTRANGE(""https://docs.google.com/spreadsheets/d/1xsp01RMmkav9iTy39Zaj_7tE9677EGlOJ14KU9TZn7I"", ""2018-2025!T1805"")"),26.823360444)</f>
        <v>26.82336044</v>
      </c>
      <c r="F88" s="28">
        <f>IFERROR(__xludf.DUMMYFUNCTION("C88*IMPORTRANGE(""https://docs.google.com/spreadsheets/d/1xsp01RMmkav9iTy39Zaj_7tE9677EGlOJ14KU9TZn7I"", ""2018-2025!AC1805"")"),5457.943601133)</f>
        <v>5457.943601</v>
      </c>
      <c r="G88" s="8" t="s">
        <v>27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43">
        <v>45535.0</v>
      </c>
      <c r="B89" s="9">
        <v>104.0</v>
      </c>
      <c r="C89" s="22">
        <f>39051.4/1000</f>
        <v>39.0514</v>
      </c>
      <c r="D89" s="28">
        <f>IFERROR(__xludf.DUMMYFUNCTION("C89*IMPORTRANGE(""https://docs.google.com/spreadsheets/d/1xsp01RMmkav9iTy39Zaj_7tE9677EGlOJ14KU9TZn7I"", ""2018-2025!H1828"")"),35.48483563800001)</f>
        <v>35.48483564</v>
      </c>
      <c r="E89" s="28">
        <f>IFERROR(__xludf.DUMMYFUNCTION("C89*IMPORTRANGE(""https://docs.google.com/spreadsheets/d/1xsp01RMmkav9iTy39Zaj_7tE9677EGlOJ14KU9TZn7I"", ""2018-2025!T1828"")"),30.359339388000002)</f>
        <v>30.35933939</v>
      </c>
      <c r="F89" s="28">
        <f>IFERROR(__xludf.DUMMYFUNCTION("C89*IMPORTRANGE(""https://docs.google.com/spreadsheets/d/1xsp01RMmkav9iTy39Zaj_7tE9677EGlOJ14KU9TZn7I"", ""2018-2025!AC1828"")"),5707.869563417301)</f>
        <v>5707.869563</v>
      </c>
      <c r="G89" s="8" t="s">
        <v>27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43">
        <v>45565.0</v>
      </c>
      <c r="B90" s="9">
        <v>127.0</v>
      </c>
      <c r="C90" s="22">
        <f>16822/1000</f>
        <v>16.822</v>
      </c>
      <c r="D90" s="28">
        <f>IFERROR(__xludf.DUMMYFUNCTION("C90*IMPORTRANGE(""https://docs.google.com/spreadsheets/d/1xsp01RMmkav9iTy39Zaj_7tE9677EGlOJ14KU9TZn7I"", ""2018-2025!H1851"")"),15.136435599999999)</f>
        <v>15.1364356</v>
      </c>
      <c r="E90" s="28">
        <f>IFERROR(__xludf.DUMMYFUNCTION("C90*IMPORTRANGE(""https://docs.google.com/spreadsheets/d/1xsp01RMmkav9iTy39Zaj_7tE9677EGlOJ14KU9TZn7I"", ""2018-2025!T1851"")"),12.7468705)</f>
        <v>12.7468705</v>
      </c>
      <c r="F90" s="28">
        <f>IFERROR(__xludf.DUMMYFUNCTION("C90*IMPORTRANGE(""https://docs.google.com/spreadsheets/d/1xsp01RMmkav9iTy39Zaj_7tE9677EGlOJ14KU9TZn7I"", ""2018-2025!AC1851"")"),2401.50872)</f>
        <v>2401.50872</v>
      </c>
      <c r="G90" s="8" t="s">
        <v>27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43">
        <v>45596.0</v>
      </c>
      <c r="B91" s="9">
        <v>133.0</v>
      </c>
      <c r="C91" s="22">
        <f>45346.2/1000</f>
        <v>45.3462</v>
      </c>
      <c r="D91" s="28">
        <f>IFERROR(__xludf.DUMMYFUNCTION("C91*IMPORTRANGE(""https://docs.google.com/spreadsheets/d/1xsp01RMmkav9iTy39Zaj_7tE9677EGlOJ14KU9TZn7I"", ""2018-2025!H1875"")"),42.912015984)</f>
        <v>42.91201598</v>
      </c>
      <c r="E91" s="28">
        <f>IFERROR(__xludf.DUMMYFUNCTION("C91*IMPORTRANGE(""https://docs.google.com/spreadsheets/d/1xsp01RMmkav9iTy39Zaj_7tE9677EGlOJ14KU9TZn7I"", ""2018-2025!T1875"")"),34.7351892)</f>
        <v>34.7351892</v>
      </c>
      <c r="F91" s="28">
        <f>IFERROR(__xludf.DUMMYFUNCTION("C91*IMPORTRANGE(""https://docs.google.com/spreadsheets/d/1xsp01RMmkav9iTy39Zaj_7tE9677EGlOJ14KU9TZn7I"", ""2018-2025!AC1875"")"),6787.645946999999)</f>
        <v>6787.645947</v>
      </c>
      <c r="G91" s="8" t="s">
        <v>27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43">
        <v>45626.0</v>
      </c>
      <c r="B92" s="9">
        <v>98.0</v>
      </c>
      <c r="C92" s="22">
        <f>22898.9/1000</f>
        <v>22.8989</v>
      </c>
      <c r="D92" s="28">
        <f>IFERROR(__xludf.DUMMYFUNCTION("C92*IMPORTRANGE(""https://docs.google.com/spreadsheets/d/1xsp01RMmkav9iTy39Zaj_7tE9677EGlOJ14KU9TZn7I"", ""2018-2025!H1897"")"),21.648620060000002)</f>
        <v>21.64862006</v>
      </c>
      <c r="E92" s="28">
        <f>IFERROR(__xludf.DUMMYFUNCTION("C92*IMPORTRANGE(""https://docs.google.com/spreadsheets/d/1xsp01RMmkav9iTy39Zaj_7tE9677EGlOJ14KU9TZn7I"", ""2018-2025!T1897"")"),18.0443332)</f>
        <v>18.0443332</v>
      </c>
      <c r="F92" s="28">
        <f>IFERROR(__xludf.DUMMYFUNCTION("C92*IMPORTRANGE(""https://docs.google.com/spreadsheets/d/1xsp01RMmkav9iTy39Zaj_7tE9677EGlOJ14KU9TZn7I"", ""2018-2025!AC1897"")"),3502.8447330000004)</f>
        <v>3502.844733</v>
      </c>
      <c r="G92" s="8" t="s">
        <v>27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43">
        <v>45627.0</v>
      </c>
      <c r="B93" s="9">
        <v>113.0</v>
      </c>
      <c r="C93" s="22">
        <f>46765.8/1000</f>
        <v>46.7658</v>
      </c>
      <c r="D93" s="28">
        <f>IFERROR(__xludf.DUMMYFUNCTION("C93*IMPORTRANGE(""https://docs.google.com/spreadsheets/d/1xsp01RMmkav9iTy39Zaj_7tE9677EGlOJ14KU9TZn7I"", ""2018-2025!H1920"")"),44.62158807000001)</f>
        <v>44.62158807</v>
      </c>
      <c r="E93" s="28">
        <f>IFERROR(__xludf.DUMMYFUNCTION("C93*IMPORTRANGE(""https://docs.google.com/spreadsheets/d/1xsp01RMmkav9iTy39Zaj_7tE9677EGlOJ14KU9TZn7I"", ""2018-2025!T1920"")"),37.00110096)</f>
        <v>37.00110096</v>
      </c>
      <c r="F93" s="28">
        <f>IFERROR(__xludf.DUMMYFUNCTION("C93*IMPORTRANGE(""https://docs.google.com/spreadsheets/d/1xsp01RMmkav9iTy39Zaj_7tE9677EGlOJ14KU9TZn7I"", ""2018-2025!AC1920"")"),7197.022791)</f>
        <v>7197.022791</v>
      </c>
      <c r="G93" s="8" t="s">
        <v>27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4">
        <v>2025.0</v>
      </c>
      <c r="B94" s="24"/>
      <c r="C94" s="31"/>
      <c r="D94" s="31"/>
      <c r="E94" s="31"/>
      <c r="F94" s="31"/>
      <c r="G94" s="24"/>
      <c r="H94" s="1"/>
      <c r="I94" s="38" t="s">
        <v>34</v>
      </c>
      <c r="J94" s="8" t="s">
        <v>30</v>
      </c>
      <c r="K94" s="37" t="s">
        <v>31</v>
      </c>
      <c r="L94" s="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43">
        <v>45688.0</v>
      </c>
      <c r="B95" s="44">
        <v>106.0</v>
      </c>
      <c r="C95" s="28">
        <f>56314.7/1000</f>
        <v>56.3147</v>
      </c>
      <c r="D95" s="28">
        <f>IFERROR(__xludf.DUMMYFUNCTION("C95*IMPORTRANGE(""https://docs.google.com/spreadsheets/d/1xsp01RMmkav9iTy39Zaj_7tE9677EGlOJ14KU9TZn7I"", ""2018-2025!H1945"")"),54.366211379999996)</f>
        <v>54.36621138</v>
      </c>
      <c r="E95" s="28">
        <f>IFERROR(__xludf.DUMMYFUNCTION("C95*IMPORTRANGE(""https://docs.google.com/spreadsheets/d/1xsp01RMmkav9iTy39Zaj_7tE9677EGlOJ14KU9TZn7I"", ""2018-2025!T1945"")"),45.552960829999996)</f>
        <v>45.55296083</v>
      </c>
      <c r="F95" s="28">
        <f>IFERROR(__xludf.DUMMYFUNCTION("C95*IMPORTRANGE(""https://docs.google.com/spreadsheets/d/1xsp01RMmkav9iTy39Zaj_7tE9677EGlOJ14KU9TZn7I"", ""2018-2025!AC1945"")"),8811.561108999998)</f>
        <v>8811.561109</v>
      </c>
      <c r="G95" s="8" t="s">
        <v>27</v>
      </c>
      <c r="H95" s="1"/>
      <c r="I95" s="8"/>
      <c r="J95" s="9">
        <f t="shared" ref="J95:K95" si="4">SUM(B95:B106)</f>
        <v>1409</v>
      </c>
      <c r="K95" s="14">
        <f t="shared" si="4"/>
        <v>729.9188</v>
      </c>
      <c r="L95" s="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43">
        <v>45716.0</v>
      </c>
      <c r="B96" s="44">
        <v>103.0</v>
      </c>
      <c r="C96" s="28">
        <f>36014.9/1000</f>
        <v>36.0149</v>
      </c>
      <c r="D96" s="28">
        <f>IFERROR(__xludf.DUMMYFUNCTION("C96*IMPORTRANGE(""https://docs.google.com/spreadsheets/d/1xsp01RMmkav9iTy39Zaj_7tE9677EGlOJ14KU9TZn7I"", ""2018-2025!H1966"")"),34.586909215000006)</f>
        <v>34.58690922</v>
      </c>
      <c r="E96" s="28">
        <f>IFERROR(__xludf.DUMMYFUNCTION("C96*IMPORTRANGE(""https://docs.google.com/spreadsheets/d/1xsp01RMmkav9iTy39Zaj_7tE9677EGlOJ14KU9TZn7I"", ""2018-2025!T1966"")"),28.62104103)</f>
        <v>28.62104103</v>
      </c>
      <c r="F96" s="28">
        <f>IFERROR(__xludf.DUMMYFUNCTION("C96*IMPORTRANGE(""https://docs.google.com/spreadsheets/d/1xsp01RMmkav9iTy39Zaj_7tE9677EGlOJ14KU9TZn7I"", ""2018-2025!AC1966"")"),5455.7171265000015)</f>
        <v>5455.717127</v>
      </c>
      <c r="G96" s="8" t="s">
        <v>27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43">
        <v>45747.0</v>
      </c>
      <c r="B97" s="44">
        <v>116.0</v>
      </c>
      <c r="C97" s="28">
        <f>97904.5/1000</f>
        <v>97.9045</v>
      </c>
      <c r="D97" s="28">
        <f>IFERROR(__xludf.DUMMYFUNCTION("C97*IMPORTRANGE(""https://docs.google.com/spreadsheets/d/1xsp01RMmkav9iTy39Zaj_7tE9677EGlOJ14KU9TZn7I"", ""2018-2025!H1988"")"),90.4050153)</f>
        <v>90.4050153</v>
      </c>
      <c r="E97" s="28">
        <f>IFERROR(__xludf.DUMMYFUNCTION("C97*IMPORTRANGE(""https://docs.google.com/spreadsheets/d/1xsp01RMmkav9iTy39Zaj_7tE9677EGlOJ14KU9TZn7I"", ""2018-2025!T1988"")"),75.68996895)</f>
        <v>75.68996895</v>
      </c>
      <c r="F97" s="28">
        <f>IFERROR(__xludf.DUMMYFUNCTION("C97*IMPORTRANGE(""https://docs.google.com/spreadsheets/d/1xsp01RMmkav9iTy39Zaj_7tE9677EGlOJ14KU9TZn7I"", ""2018-2025!AC1988"")"),14608.330445000001)</f>
        <v>14608.33045</v>
      </c>
      <c r="G97" s="8" t="s">
        <v>27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43">
        <v>45777.0</v>
      </c>
      <c r="B98" s="44">
        <v>110.0</v>
      </c>
      <c r="C98" s="28">
        <f>30739.5/1000</f>
        <v>30.7395</v>
      </c>
      <c r="D98" s="28">
        <f>IFERROR(__xludf.DUMMYFUNCTION("C98*IMPORTRANGE(""https://docs.google.com/spreadsheets/d/1xsp01RMmkav9iTy39Zaj_7tE9677EGlOJ14KU9TZn7I"", ""2018-2025!H2011"")"),27.10916505)</f>
        <v>27.10916505</v>
      </c>
      <c r="E98" s="28">
        <f>IFERROR(__xludf.DUMMYFUNCTION("C98*IMPORTRANGE(""https://docs.google.com/spreadsheets/d/1xsp01RMmkav9iTy39Zaj_7tE9677EGlOJ14KU9TZn7I"", ""2018-2025!T2011"")"),23.222155275)</f>
        <v>23.22215528</v>
      </c>
      <c r="F98" s="28">
        <f>IFERROR(__xludf.DUMMYFUNCTION("C98*IMPORTRANGE(""https://docs.google.com/spreadsheets/d/1xsp01RMmkav9iTy39Zaj_7tE9677EGlOJ14KU9TZn7I"", ""2018-2025!AC2011"")"),4406.199929999999)</f>
        <v>4406.19993</v>
      </c>
      <c r="G98" s="8" t="s">
        <v>27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3">
        <v>45808.0</v>
      </c>
      <c r="B99" s="44">
        <v>113.0</v>
      </c>
      <c r="C99" s="28">
        <f>68857.9/1000</f>
        <v>68.8579</v>
      </c>
      <c r="D99" s="28" t="s">
        <v>35</v>
      </c>
      <c r="E99" s="28">
        <f>IFERROR(__xludf.DUMMYFUNCTION("C99*IMPORTRANGE(""https://docs.google.com/spreadsheets/d/1xsp01RMmkav9iTy39Zaj_7tE9677EGlOJ14KU9TZn7I"", ""2018-2025!T2035"")"),51.53325236)</f>
        <v>51.53325236</v>
      </c>
      <c r="F99" s="28">
        <f>IFERROR(__xludf.DUMMYFUNCTION("C99*IMPORTRANGE(""https://docs.google.com/spreadsheets/d/1xsp01RMmkav9iTy39Zaj_7tE9677EGlOJ14KU9TZn7I"", ""2018-2025!AC2035"")"),9950.655128999999)</f>
        <v>9950.655129</v>
      </c>
      <c r="G99" s="8" t="s">
        <v>27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43">
        <v>45838.0</v>
      </c>
      <c r="B100" s="44">
        <v>125.0</v>
      </c>
      <c r="C100" s="28">
        <f>63726.6/1000</f>
        <v>63.7266</v>
      </c>
      <c r="D100" s="28">
        <f>IFERROR(__xludf.DUMMYFUNCTION("C100*IMPORTRANGE(""https://docs.google.com/spreadsheets/d/1xsp01RMmkav9iTy39Zaj_7tE9677EGlOJ14KU9TZn7I"", ""2018-2025!H2058"")"),55.375229069999996)</f>
        <v>55.37522907</v>
      </c>
      <c r="E100" s="28">
        <f>IFERROR(__xludf.DUMMYFUNCTION("C100*IMPORTRANGE(""https://docs.google.com/spreadsheets/d/1xsp01RMmkav9iTy39Zaj_7tE9677EGlOJ14KU9TZn7I"", ""2018-2025!T2058"")"),47.02385814)</f>
        <v>47.02385814</v>
      </c>
      <c r="F100" s="28">
        <f>IFERROR(__xludf.DUMMYFUNCTION("C100*IMPORTRANGE(""https://docs.google.com/spreadsheets/d/1xsp01RMmkav9iTy39Zaj_7tE9677EGlOJ14KU9TZn7I"", ""2018-2025!AC2058"")"),9217.415423999999)</f>
        <v>9217.415424</v>
      </c>
      <c r="G100" s="8" t="s">
        <v>27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43">
        <v>45869.0</v>
      </c>
      <c r="B101" s="44">
        <v>133.0</v>
      </c>
      <c r="C101" s="28">
        <f>54641.5/1000</f>
        <v>54.6415</v>
      </c>
      <c r="D101" s="28">
        <f>IFERROR(__xludf.DUMMYFUNCTION("C101*IMPORTRANGE(""https://docs.google.com/spreadsheets/d/1xsp01RMmkav9iTy39Zaj_7tE9677EGlOJ14KU9TZn7I"", ""2018-2025!H2083"")"),46.685697600000005)</f>
        <v>46.6856976</v>
      </c>
      <c r="E101" s="28">
        <f>IFERROR(__xludf.DUMMYFUNCTION("C101*IMPORTRANGE(""https://docs.google.com/spreadsheets/d/1xsp01RMmkav9iTy39Zaj_7tE9677EGlOJ14KU9TZn7I"", ""2018-2025!T2083"")"),40.486619425)</f>
        <v>40.48661943</v>
      </c>
      <c r="F101" s="28">
        <f>IFERROR(__xludf.DUMMYFUNCTION("C101*IMPORTRANGE(""https://docs.google.com/spreadsheets/d/1xsp01RMmkav9iTy39Zaj_7tE9677EGlOJ14KU9TZn7I"", ""2018-2025!AC2083"")"),8054.430307499999)</f>
        <v>8054.430308</v>
      </c>
      <c r="G101" s="8" t="s">
        <v>27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43">
        <v>45900.0</v>
      </c>
      <c r="B102" s="44">
        <v>121.0</v>
      </c>
      <c r="C102" s="28">
        <f>54121.1/1000</f>
        <v>54.1211</v>
      </c>
      <c r="D102" s="28">
        <f>IFERROR(__xludf.DUMMYFUNCTION("C102*IMPORTRANGE(""https://docs.google.com/spreadsheets/d/1xsp01RMmkav9iTy39Zaj_7tE9677EGlOJ14KU9TZn7I"", ""2018-2025!H2106"")"),46.460258294999996)</f>
        <v>46.4602583</v>
      </c>
      <c r="E102" s="28">
        <f>IFERROR(__xludf.DUMMYFUNCTION("C102*IMPORTRANGE(""https://docs.google.com/spreadsheets/d/1xsp01RMmkav9iTy39Zaj_7tE9677EGlOJ14KU9TZn7I"", ""2018-2025!T2106"")"),40.13079565)</f>
        <v>40.13079565</v>
      </c>
      <c r="F102" s="28">
        <f>IFERROR(__xludf.DUMMYFUNCTION("C102*IMPORTRANGE(""https://docs.google.com/spreadsheets/d/1xsp01RMmkav9iTy39Zaj_7tE9677EGlOJ14KU9TZn7I"", ""2018-2025!AC2106"")"),7977.450139999998)</f>
        <v>7977.45014</v>
      </c>
      <c r="G102" s="8" t="s">
        <v>27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43">
        <v>45930.0</v>
      </c>
      <c r="B103" s="17">
        <v>109.0</v>
      </c>
      <c r="C103" s="45">
        <f>53843.8/1000</f>
        <v>53.8438</v>
      </c>
      <c r="D103" s="28">
        <f>IFERROR(__xludf.DUMMYFUNCTION("C103*IMPORTRANGE(""https://docs.google.com/spreadsheets/d/1xsp01RMmkav9iTy39Zaj_7tE9677EGlOJ14KU9TZn7I"", ""2018-2025!H2130"")"),45.891070739999996)</f>
        <v>45.89107074</v>
      </c>
      <c r="E103" s="28">
        <f>IFERROR(__xludf.DUMMYFUNCTION("C103*IMPORTRANGE(""https://docs.google.com/spreadsheets/d/1xsp01RMmkav9iTy39Zaj_7tE9677EGlOJ14KU9TZn7I"", ""2018-2025!T2130"")"),39.844412)</f>
        <v>39.844412</v>
      </c>
      <c r="F103" s="28">
        <f>IFERROR(__xludf.DUMMYFUNCTION("C103*IMPORTRANGE(""https://docs.google.com/spreadsheets/d/1xsp01RMmkav9iTy39Zaj_7tE9677EGlOJ14KU9TZn7I"", ""2018-2025!AC2130"")"),7953.806136)</f>
        <v>7953.806136</v>
      </c>
      <c r="G103" s="8" t="s">
        <v>27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43">
        <v>45961.0</v>
      </c>
      <c r="B104" s="44">
        <v>116.0</v>
      </c>
      <c r="C104" s="28">
        <f>118506.9/1000</f>
        <v>118.5069</v>
      </c>
      <c r="D104" s="28">
        <f>IFERROR(__xludf.DUMMYFUNCTION("C104*IMPORTRANGE(""https://docs.google.com/spreadsheets/d/1xsp01RMmkav9iTy39Zaj_7tE9677EGlOJ14KU9TZn7I"", ""2018-2025!H2154"")"),101.915934)</f>
        <v>101.915934</v>
      </c>
      <c r="E104" s="28">
        <f>IFERROR(__xludf.DUMMYFUNCTION("C104*IMPORTRANGE(""https://docs.google.com/spreadsheets/d/1xsp01RMmkav9iTy39Zaj_7tE9677EGlOJ14KU9TZn7I"", ""2018-2025!T2154"")"),88.70241465)</f>
        <v>88.70241465</v>
      </c>
      <c r="F104" s="28">
        <f>IFERROR(__xludf.DUMMYFUNCTION("C104*IMPORTRANGE(""https://docs.google.com/spreadsheets/d/1xsp01RMmkav9iTy39Zaj_7tE9677EGlOJ14KU9TZn7I"", ""2018-2025!AC2154"")"),18005.938385999998)</f>
        <v>18005.93839</v>
      </c>
      <c r="G104" s="8" t="s">
        <v>27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43">
        <v>45991.0</v>
      </c>
      <c r="B105" s="17">
        <v>108.0</v>
      </c>
      <c r="C105" s="45">
        <f>22575.4/1000</f>
        <v>22.5754</v>
      </c>
      <c r="D105" s="28">
        <f>IFERROR(__xludf.DUMMYFUNCTION("C105*IMPORTRANGE(""https://docs.google.com/spreadsheets/d/1xsp01RMmkav9iTy39Zaj_7tE9677EGlOJ14KU9TZn7I"", ""2018-2025!H2175"")"),19.51530453)</f>
        <v>19.51530453</v>
      </c>
      <c r="E105" s="28">
        <f>IFERROR(__xludf.DUMMYFUNCTION("C105*IMPORTRANGE(""https://docs.google.com/spreadsheets/d/1xsp01RMmkav9iTy39Zaj_7tE9677EGlOJ14KU9TZn7I"", ""2018-2025!T2175"")"),17.16972047)</f>
        <v>17.16972047</v>
      </c>
      <c r="F105" s="28">
        <f>IFERROR(__xludf.DUMMYFUNCTION("C105*IMPORTRANGE(""https://docs.google.com/spreadsheets/d/1xsp01RMmkav9iTy39Zaj_7tE9677EGlOJ14KU9TZn7I"", ""2018-2025!AC2175"")"),3499.7513849999996)</f>
        <v>3499.751385</v>
      </c>
      <c r="G105" s="8" t="s">
        <v>27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43">
        <v>46022.0</v>
      </c>
      <c r="B106" s="44">
        <v>149.0</v>
      </c>
      <c r="C106" s="28">
        <f>72672/1000</f>
        <v>72.672</v>
      </c>
      <c r="D106" s="28">
        <f>IFERROR(__xludf.DUMMYFUNCTION("C106*IMPORTRANGE(""https://docs.google.com/spreadsheets/d/1xsp01RMmkav9iTy39Zaj_7tE9677EGlOJ14KU9TZn7I"", ""2018-2025!H2199"")"),61.9020096)</f>
        <v>61.9020096</v>
      </c>
      <c r="E106" s="28">
        <f>IFERROR(__xludf.DUMMYFUNCTION("C106*IMPORTRANGE(""https://docs.google.com/spreadsheets/d/1xsp01RMmkav9iTy39Zaj_7tE9677EGlOJ14KU9TZn7I"", ""2018-2025!T2199"")"),54.307785599999995)</f>
        <v>54.3077856</v>
      </c>
      <c r="F106" s="28">
        <f>IFERROR(__xludf.DUMMYFUNCTION("C106*IMPORTRANGE(""https://docs.google.com/spreadsheets/d/1xsp01RMmkav9iTy39Zaj_7tE9677EGlOJ14KU9TZn7I"", ""2018-2025!AC2199"")"),11327.38464)</f>
        <v>11327.38464</v>
      </c>
      <c r="G106" s="8" t="s">
        <v>27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4">
        <v>2026.0</v>
      </c>
      <c r="B107" s="24"/>
      <c r="C107" s="31"/>
      <c r="D107" s="31"/>
      <c r="E107" s="31"/>
      <c r="F107" s="31"/>
      <c r="G107" s="2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3">
        <v>46053.0</v>
      </c>
      <c r="B108" s="44">
        <v>120.0</v>
      </c>
      <c r="C108" s="28">
        <f>75645.5/1000</f>
        <v>75.6455</v>
      </c>
      <c r="D108" s="28">
        <f>IFERROR(__xludf.DUMMYFUNCTION("C108*IMPORTRANGE(""https://docs.google.com/spreadsheets/d/1xsp01RMmkav9iTy39Zaj_7tE9677EGlOJ14KU9TZn7I/edit?gid=298733920#gid=298733920"",""H24"")"),0.0)</f>
        <v>0</v>
      </c>
      <c r="E108" s="28">
        <f>IFERROR(__xludf.DUMMYFUNCTION("C108*IMPORTRANGE(""https://docs.google.com/spreadsheets/d/1xsp01RMmkav9iTy39Zaj_7tE9677EGlOJ14KU9TZn7I/edit?gid=298733920#gid=298733920"",""Q24"")"),0.0)</f>
        <v>0</v>
      </c>
      <c r="F108" s="28">
        <f>IFERROR(__xludf.DUMMYFUNCTION("C108*IMPORTRANGE(""https://docs.google.com/spreadsheets/d/1xsp01RMmkav9iTy39Zaj_7tE9677EGlOJ14KU9TZn7I/edit?gid=298733920#gid=298733920"",""Z24"")"),0.0)</f>
        <v>0</v>
      </c>
      <c r="G108" s="8" t="s">
        <v>27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3">
        <v>46081.0</v>
      </c>
      <c r="B109" s="44">
        <v>113.0</v>
      </c>
      <c r="C109" s="28">
        <f>343743.8/1000</f>
        <v>343.7438</v>
      </c>
      <c r="D109" s="28">
        <f>IFERROR(__xludf.DUMMYFUNCTION("C109*IMPORTRANGE(""https://docs.google.com/spreadsheets/d/1xsp01RMmkav9iTy39Zaj_7tE9677EGlOJ14KU9TZn7I/edit?gid=298733920#gid=298733920"",""H45"")"),0.0)</f>
        <v>0</v>
      </c>
      <c r="E109" s="28">
        <f>IFERROR(__xludf.DUMMYFUNCTION("C109*IMPORTRANGE(""https://docs.google.com/spreadsheets/d/1xsp01RMmkav9iTy39Zaj_7tE9677EGlOJ14KU9TZn7I/edit?gid=298733920#gid=298733920"",""Q45"")"),0.0)</f>
        <v>0</v>
      </c>
      <c r="F109" s="28">
        <f>IFERROR(__xludf.DUMMYFUNCTION("C109*IMPORTRANGE(""https://docs.google.com/spreadsheets/d/1xsp01RMmkav9iTy39Zaj_7tE9677EGlOJ14KU9TZn7I/edit?gid=298733920#gid=298733920"",""Z45"")"),0.0)</f>
        <v>0</v>
      </c>
      <c r="G109" s="8" t="s">
        <v>27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3">
        <v>46112.0</v>
      </c>
      <c r="B110" s="44">
        <v>100.0</v>
      </c>
      <c r="C110" s="28">
        <f>69578.6/1000</f>
        <v>69.5786</v>
      </c>
      <c r="D110" s="28">
        <f>IFERROR(__xludf.DUMMYFUNCTION("C110*IMPORTRANGE(""https://docs.google.com/spreadsheets/d/1xsp01RMmkav9iTy39Zaj_7tE9677EGlOJ14KU9TZn7I/edit?gid=298733920#gid=298733920"",""2026 - Most Recent!H70"")"),60.147220770000004)</f>
        <v>60.14722077</v>
      </c>
      <c r="E110" s="28">
        <f>IFERROR(__xludf.DUMMYFUNCTION("C110*IMPORTRANGE(""https://docs.google.com/spreadsheets/d/1xsp01RMmkav9iTy39Zaj_7tE9677EGlOJ14KU9TZn7I/edit?gid=298733920#gid=298733920"",""2026 - Most Recent!Q70"")"),60.147220770000004)</f>
        <v>60.14722077</v>
      </c>
      <c r="F110" s="28">
        <f>IFERROR(__xludf.DUMMYFUNCTION("C110*IMPORTRANGE(""https://docs.google.com/spreadsheets/d/1xsp01RMmkav9iTy39Zaj_7tE9677EGlOJ14KU9TZn7I/edit?gid=298733920#gid=298733920"",""2026 - Most Recent!Z70"")"),11059.51847)</f>
        <v>11059.51847</v>
      </c>
      <c r="G110" s="8" t="s">
        <v>27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E1"/>
  </mergeCells>
  <drawing r:id="rId1"/>
</worksheet>
</file>