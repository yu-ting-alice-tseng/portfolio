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onita\Desktop\00_Personal Document\07_Portfolio\Personal Website\portfolio\assets\"/>
    </mc:Choice>
  </mc:AlternateContent>
  <xr:revisionPtr revIDLastSave="0" documentId="13_ncr:1_{B249D914-D69D-4385-9A66-C1C3987665B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ashboard" sheetId="6" r:id="rId1"/>
    <sheet name="Data" sheetId="7" r:id="rId2"/>
    <sheet name="Main Performance" sheetId="9" state="hidden" r:id="rId3"/>
    <sheet name="PivotStage" sheetId="8" state="hidden" r:id="rId4"/>
    <sheet name="Comparison" sheetId="10" r:id="rId5"/>
  </sheets>
  <definedNames>
    <definedName name="Segment_Metric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/FVbj4nBy/RST0iMSZIyMRpo/v22g833tKAd9oEkEVE="/>
    </ext>
  </extLst>
</workbook>
</file>

<file path=xl/calcChain.xml><?xml version="1.0" encoding="utf-8"?>
<calcChain xmlns="http://schemas.openxmlformats.org/spreadsheetml/2006/main">
  <c r="O11" i="6" l="1"/>
  <c r="C4" i="7"/>
  <c r="D4" i="7"/>
  <c r="E4" i="7"/>
  <c r="F4" i="7"/>
  <c r="G4" i="7"/>
  <c r="H4" i="7"/>
  <c r="I4" i="7"/>
  <c r="J4" i="7"/>
  <c r="K4" i="7"/>
  <c r="L4" i="7"/>
  <c r="B4" i="7"/>
  <c r="B3" i="7"/>
  <c r="C3" i="7"/>
  <c r="D3" i="7"/>
  <c r="E3" i="7"/>
  <c r="F3" i="7"/>
  <c r="G3" i="7"/>
  <c r="H3" i="7"/>
  <c r="I3" i="7"/>
  <c r="J3" i="7"/>
  <c r="K3" i="7"/>
  <c r="L3" i="7"/>
  <c r="O8" i="6"/>
  <c r="N8" i="6"/>
  <c r="N7" i="6" a="1"/>
  <c r="N7" i="6" s="1"/>
  <c r="M7" i="6" a="1"/>
  <c r="M7" i="6" s="1"/>
  <c r="K7" i="6" a="1"/>
  <c r="K7" i="6" s="1"/>
  <c r="L7" i="6"/>
  <c r="C7" i="6" a="1"/>
  <c r="C7" i="6" s="1"/>
  <c r="G11" i="6" s="1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" i="7"/>
  <c r="J6" i="7"/>
  <c r="K6" i="7" s="1"/>
  <c r="J7" i="7"/>
  <c r="K7" i="7" s="1"/>
  <c r="J8" i="7"/>
  <c r="K8" i="7" s="1"/>
  <c r="J9" i="7"/>
  <c r="K9" i="7" s="1"/>
  <c r="J10" i="7"/>
  <c r="K10" i="7" s="1"/>
  <c r="J11" i="7"/>
  <c r="K11" i="7" s="1"/>
  <c r="J12" i="7"/>
  <c r="K12" i="7" s="1"/>
  <c r="J13" i="7"/>
  <c r="K13" i="7" s="1"/>
  <c r="J14" i="7"/>
  <c r="K14" i="7" s="1"/>
  <c r="J15" i="7"/>
  <c r="K15" i="7" s="1"/>
  <c r="J16" i="7"/>
  <c r="K16" i="7" s="1"/>
  <c r="J17" i="7"/>
  <c r="K17" i="7" s="1"/>
  <c r="J18" i="7"/>
  <c r="K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K24" i="7" s="1"/>
  <c r="J25" i="7"/>
  <c r="K25" i="7" s="1"/>
  <c r="J26" i="7"/>
  <c r="K26" i="7" s="1"/>
  <c r="J27" i="7"/>
  <c r="K27" i="7" s="1"/>
  <c r="J28" i="7"/>
  <c r="K28" i="7" s="1"/>
  <c r="J29" i="7"/>
  <c r="K29" i="7" s="1"/>
  <c r="J30" i="7"/>
  <c r="K30" i="7" s="1"/>
  <c r="J31" i="7"/>
  <c r="K31" i="7" s="1"/>
  <c r="J32" i="7"/>
  <c r="K32" i="7" s="1"/>
  <c r="J33" i="7"/>
  <c r="K33" i="7" s="1"/>
  <c r="J34" i="7"/>
  <c r="K34" i="7" s="1"/>
  <c r="J35" i="7"/>
  <c r="K35" i="7" s="1"/>
  <c r="J36" i="7"/>
  <c r="K36" i="7" s="1"/>
  <c r="J37" i="7"/>
  <c r="K37" i="7" s="1"/>
  <c r="J38" i="7"/>
  <c r="K38" i="7" s="1"/>
  <c r="J39" i="7"/>
  <c r="K39" i="7" s="1"/>
  <c r="J40" i="7"/>
  <c r="K40" i="7" s="1"/>
  <c r="J41" i="7"/>
  <c r="K41" i="7" s="1"/>
  <c r="J42" i="7"/>
  <c r="K42" i="7" s="1"/>
  <c r="J43" i="7"/>
  <c r="K43" i="7" s="1"/>
  <c r="J44" i="7"/>
  <c r="K44" i="7" s="1"/>
  <c r="J45" i="7"/>
  <c r="K45" i="7" s="1"/>
  <c r="J46" i="7"/>
  <c r="K46" i="7" s="1"/>
  <c r="J47" i="7"/>
  <c r="K47" i="7" s="1"/>
  <c r="J48" i="7"/>
  <c r="K48" i="7" s="1"/>
  <c r="J49" i="7"/>
  <c r="K49" i="7" s="1"/>
  <c r="J50" i="7"/>
  <c r="K50" i="7" s="1"/>
  <c r="J51" i="7"/>
  <c r="K51" i="7" s="1"/>
  <c r="J52" i="7"/>
  <c r="K52" i="7" s="1"/>
  <c r="J53" i="7"/>
  <c r="K53" i="7" s="1"/>
  <c r="J54" i="7"/>
  <c r="K54" i="7" s="1"/>
  <c r="J55" i="7"/>
  <c r="K55" i="7" s="1"/>
  <c r="J56" i="7"/>
  <c r="K56" i="7" s="1"/>
  <c r="J57" i="7"/>
  <c r="K57" i="7" s="1"/>
  <c r="J58" i="7"/>
  <c r="K58" i="7" s="1"/>
  <c r="J59" i="7"/>
  <c r="K59" i="7" s="1"/>
  <c r="J60" i="7"/>
  <c r="K60" i="7" s="1"/>
  <c r="J61" i="7"/>
  <c r="K61" i="7" s="1"/>
  <c r="J62" i="7"/>
  <c r="K62" i="7" s="1"/>
  <c r="J63" i="7"/>
  <c r="K63" i="7" s="1"/>
  <c r="J64" i="7"/>
  <c r="K64" i="7" s="1"/>
  <c r="J65" i="7"/>
  <c r="K65" i="7" s="1"/>
  <c r="J66" i="7"/>
  <c r="K66" i="7" s="1"/>
  <c r="J67" i="7"/>
  <c r="K67" i="7" s="1"/>
  <c r="J68" i="7"/>
  <c r="K68" i="7" s="1"/>
  <c r="J69" i="7"/>
  <c r="K69" i="7" s="1"/>
  <c r="J70" i="7"/>
  <c r="K70" i="7" s="1"/>
  <c r="J71" i="7"/>
  <c r="K71" i="7" s="1"/>
  <c r="J72" i="7"/>
  <c r="K72" i="7" s="1"/>
  <c r="J73" i="7"/>
  <c r="K73" i="7" s="1"/>
  <c r="J74" i="7"/>
  <c r="K74" i="7" s="1"/>
  <c r="J75" i="7"/>
  <c r="K75" i="7" s="1"/>
  <c r="J76" i="7"/>
  <c r="K76" i="7" s="1"/>
  <c r="J77" i="7"/>
  <c r="K77" i="7" s="1"/>
  <c r="J78" i="7"/>
  <c r="K78" i="7" s="1"/>
  <c r="J79" i="7"/>
  <c r="K79" i="7" s="1"/>
  <c r="J80" i="7"/>
  <c r="K80" i="7" s="1"/>
  <c r="J81" i="7"/>
  <c r="K81" i="7" s="1"/>
  <c r="J82" i="7"/>
  <c r="K82" i="7" s="1"/>
  <c r="J83" i="7"/>
  <c r="K83" i="7" s="1"/>
  <c r="J84" i="7"/>
  <c r="K84" i="7" s="1"/>
  <c r="J85" i="7"/>
  <c r="K85" i="7" s="1"/>
  <c r="J86" i="7"/>
  <c r="K86" i="7" s="1"/>
  <c r="J87" i="7"/>
  <c r="K87" i="7" s="1"/>
  <c r="J88" i="7"/>
  <c r="K88" i="7" s="1"/>
  <c r="J89" i="7"/>
  <c r="K89" i="7" s="1"/>
  <c r="J90" i="7"/>
  <c r="K90" i="7" s="1"/>
  <c r="J91" i="7"/>
  <c r="K91" i="7" s="1"/>
  <c r="J92" i="7"/>
  <c r="K92" i="7" s="1"/>
  <c r="J93" i="7"/>
  <c r="K93" i="7" s="1"/>
  <c r="J94" i="7"/>
  <c r="K94" i="7" s="1"/>
  <c r="J95" i="7"/>
  <c r="K95" i="7" s="1"/>
  <c r="J96" i="7"/>
  <c r="K96" i="7" s="1"/>
  <c r="J97" i="7"/>
  <c r="K97" i="7" s="1"/>
  <c r="J98" i="7"/>
  <c r="K98" i="7" s="1"/>
  <c r="J99" i="7"/>
  <c r="K99" i="7" s="1"/>
  <c r="J100" i="7"/>
  <c r="K100" i="7" s="1"/>
  <c r="J101" i="7"/>
  <c r="K101" i="7" s="1"/>
  <c r="J102" i="7"/>
  <c r="K102" i="7" s="1"/>
  <c r="J103" i="7"/>
  <c r="K103" i="7" s="1"/>
  <c r="J104" i="7"/>
  <c r="K104" i="7" s="1"/>
  <c r="J105" i="7"/>
  <c r="K105" i="7" s="1"/>
  <c r="J106" i="7"/>
  <c r="K106" i="7" s="1"/>
  <c r="J107" i="7"/>
  <c r="K107" i="7" s="1"/>
  <c r="J108" i="7"/>
  <c r="K108" i="7" s="1"/>
  <c r="J109" i="7"/>
  <c r="K109" i="7" s="1"/>
  <c r="J110" i="7"/>
  <c r="K110" i="7" s="1"/>
  <c r="J111" i="7"/>
  <c r="K111" i="7" s="1"/>
  <c r="J112" i="7"/>
  <c r="K112" i="7" s="1"/>
  <c r="J113" i="7"/>
  <c r="K113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K119" i="7" s="1"/>
  <c r="J120" i="7"/>
  <c r="K120" i="7" s="1"/>
  <c r="J121" i="7"/>
  <c r="K121" i="7" s="1"/>
  <c r="J122" i="7"/>
  <c r="K122" i="7" s="1"/>
  <c r="J123" i="7"/>
  <c r="K123" i="7" s="1"/>
  <c r="J124" i="7"/>
  <c r="K124" i="7" s="1"/>
  <c r="J125" i="7"/>
  <c r="K125" i="7" s="1"/>
  <c r="J126" i="7"/>
  <c r="K126" i="7" s="1"/>
  <c r="J127" i="7"/>
  <c r="K127" i="7" s="1"/>
  <c r="J128" i="7"/>
  <c r="K128" i="7" s="1"/>
  <c r="J129" i="7"/>
  <c r="K129" i="7" s="1"/>
  <c r="J130" i="7"/>
  <c r="K130" i="7" s="1"/>
  <c r="J131" i="7"/>
  <c r="K131" i="7" s="1"/>
  <c r="J132" i="7"/>
  <c r="K132" i="7" s="1"/>
  <c r="J133" i="7"/>
  <c r="K133" i="7" s="1"/>
  <c r="J134" i="7"/>
  <c r="K134" i="7" s="1"/>
  <c r="J135" i="7"/>
  <c r="K135" i="7" s="1"/>
  <c r="J136" i="7"/>
  <c r="K136" i="7" s="1"/>
  <c r="J137" i="7"/>
  <c r="K137" i="7" s="1"/>
  <c r="J138" i="7"/>
  <c r="K138" i="7" s="1"/>
  <c r="J139" i="7"/>
  <c r="K139" i="7" s="1"/>
  <c r="J140" i="7"/>
  <c r="K140" i="7" s="1"/>
  <c r="J141" i="7"/>
  <c r="K141" i="7" s="1"/>
  <c r="J142" i="7"/>
  <c r="K142" i="7" s="1"/>
  <c r="J143" i="7"/>
  <c r="K143" i="7" s="1"/>
  <c r="J144" i="7"/>
  <c r="K144" i="7" s="1"/>
  <c r="J145" i="7"/>
  <c r="K145" i="7" s="1"/>
  <c r="J146" i="7"/>
  <c r="K146" i="7" s="1"/>
  <c r="J147" i="7"/>
  <c r="K147" i="7" s="1"/>
  <c r="J148" i="7"/>
  <c r="K148" i="7" s="1"/>
  <c r="J149" i="7"/>
  <c r="K149" i="7" s="1"/>
  <c r="J150" i="7"/>
  <c r="K150" i="7" s="1"/>
  <c r="J151" i="7"/>
  <c r="K151" i="7" s="1"/>
  <c r="J152" i="7"/>
  <c r="K152" i="7" s="1"/>
  <c r="J153" i="7"/>
  <c r="K153" i="7" s="1"/>
  <c r="J154" i="7"/>
  <c r="K154" i="7" s="1"/>
  <c r="J155" i="7"/>
  <c r="K155" i="7" s="1"/>
  <c r="J156" i="7"/>
  <c r="K156" i="7" s="1"/>
  <c r="J157" i="7"/>
  <c r="K157" i="7" s="1"/>
  <c r="J158" i="7"/>
  <c r="K158" i="7" s="1"/>
  <c r="J159" i="7"/>
  <c r="K159" i="7" s="1"/>
  <c r="J160" i="7"/>
  <c r="K160" i="7" s="1"/>
  <c r="J161" i="7"/>
  <c r="K161" i="7" s="1"/>
  <c r="J162" i="7"/>
  <c r="K162" i="7" s="1"/>
  <c r="J163" i="7"/>
  <c r="K163" i="7" s="1"/>
  <c r="J164" i="7"/>
  <c r="K164" i="7" s="1"/>
  <c r="J165" i="7"/>
  <c r="K165" i="7" s="1"/>
  <c r="J166" i="7"/>
  <c r="K166" i="7" s="1"/>
  <c r="J167" i="7"/>
  <c r="K167" i="7" s="1"/>
  <c r="J168" i="7"/>
  <c r="K168" i="7" s="1"/>
  <c r="J169" i="7"/>
  <c r="K169" i="7" s="1"/>
  <c r="J170" i="7"/>
  <c r="K170" i="7" s="1"/>
  <c r="J171" i="7"/>
  <c r="K171" i="7" s="1"/>
  <c r="J172" i="7"/>
  <c r="K172" i="7" s="1"/>
  <c r="J173" i="7"/>
  <c r="K173" i="7" s="1"/>
  <c r="J174" i="7"/>
  <c r="K174" i="7" s="1"/>
  <c r="J175" i="7"/>
  <c r="K175" i="7" s="1"/>
  <c r="J176" i="7"/>
  <c r="K176" i="7" s="1"/>
  <c r="J177" i="7"/>
  <c r="K177" i="7" s="1"/>
  <c r="J178" i="7"/>
  <c r="K178" i="7" s="1"/>
  <c r="J179" i="7"/>
  <c r="K179" i="7" s="1"/>
  <c r="J180" i="7"/>
  <c r="K180" i="7" s="1"/>
  <c r="J181" i="7"/>
  <c r="K181" i="7" s="1"/>
  <c r="J182" i="7"/>
  <c r="K182" i="7" s="1"/>
  <c r="J183" i="7"/>
  <c r="K183" i="7" s="1"/>
  <c r="J184" i="7"/>
  <c r="K184" i="7" s="1"/>
  <c r="J185" i="7"/>
  <c r="K185" i="7" s="1"/>
  <c r="J186" i="7"/>
  <c r="K186" i="7" s="1"/>
  <c r="J187" i="7"/>
  <c r="K187" i="7" s="1"/>
  <c r="J188" i="7"/>
  <c r="K188" i="7" s="1"/>
  <c r="J189" i="7"/>
  <c r="K189" i="7" s="1"/>
  <c r="J190" i="7"/>
  <c r="K190" i="7" s="1"/>
  <c r="J191" i="7"/>
  <c r="K191" i="7" s="1"/>
  <c r="J192" i="7"/>
  <c r="K192" i="7" s="1"/>
  <c r="J193" i="7"/>
  <c r="K193" i="7" s="1"/>
  <c r="J194" i="7"/>
  <c r="K194" i="7" s="1"/>
  <c r="J195" i="7"/>
  <c r="K195" i="7" s="1"/>
  <c r="J196" i="7"/>
  <c r="K196" i="7" s="1"/>
  <c r="J197" i="7"/>
  <c r="K197" i="7" s="1"/>
  <c r="J198" i="7"/>
  <c r="K198" i="7" s="1"/>
  <c r="J199" i="7"/>
  <c r="K199" i="7" s="1"/>
  <c r="J200" i="7"/>
  <c r="K200" i="7" s="1"/>
  <c r="J201" i="7"/>
  <c r="K201" i="7" s="1"/>
  <c r="J202" i="7"/>
  <c r="K202" i="7" s="1"/>
  <c r="J203" i="7"/>
  <c r="K203" i="7" s="1"/>
  <c r="J204" i="7"/>
  <c r="K204" i="7" s="1"/>
  <c r="J205" i="7"/>
  <c r="K205" i="7" s="1"/>
  <c r="J206" i="7"/>
  <c r="K206" i="7" s="1"/>
  <c r="J207" i="7"/>
  <c r="K207" i="7" s="1"/>
  <c r="J208" i="7"/>
  <c r="K208" i="7" s="1"/>
  <c r="J209" i="7"/>
  <c r="K209" i="7" s="1"/>
  <c r="J210" i="7"/>
  <c r="K210" i="7" s="1"/>
  <c r="J211" i="7"/>
  <c r="K211" i="7" s="1"/>
  <c r="J212" i="7"/>
  <c r="K212" i="7" s="1"/>
  <c r="J213" i="7"/>
  <c r="K213" i="7" s="1"/>
  <c r="J214" i="7"/>
  <c r="K214" i="7" s="1"/>
  <c r="J215" i="7"/>
  <c r="K215" i="7" s="1"/>
  <c r="J216" i="7"/>
  <c r="K216" i="7" s="1"/>
  <c r="J217" i="7"/>
  <c r="K217" i="7" s="1"/>
  <c r="J218" i="7"/>
  <c r="K218" i="7" s="1"/>
  <c r="J219" i="7"/>
  <c r="K219" i="7" s="1"/>
  <c r="J220" i="7"/>
  <c r="K220" i="7" s="1"/>
  <c r="J221" i="7"/>
  <c r="K221" i="7" s="1"/>
  <c r="J222" i="7"/>
  <c r="K222" i="7" s="1"/>
  <c r="J223" i="7"/>
  <c r="K223" i="7" s="1"/>
  <c r="J224" i="7"/>
  <c r="K224" i="7" s="1"/>
  <c r="J225" i="7"/>
  <c r="K225" i="7" s="1"/>
  <c r="J226" i="7"/>
  <c r="K226" i="7" s="1"/>
  <c r="J227" i="7"/>
  <c r="K227" i="7" s="1"/>
  <c r="J228" i="7"/>
  <c r="K228" i="7" s="1"/>
  <c r="J229" i="7"/>
  <c r="K229" i="7" s="1"/>
  <c r="J230" i="7"/>
  <c r="K230" i="7" s="1"/>
  <c r="J231" i="7"/>
  <c r="K231" i="7" s="1"/>
  <c r="J232" i="7"/>
  <c r="K232" i="7" s="1"/>
  <c r="J233" i="7"/>
  <c r="K233" i="7" s="1"/>
  <c r="J234" i="7"/>
  <c r="K234" i="7" s="1"/>
  <c r="J235" i="7"/>
  <c r="K235" i="7" s="1"/>
  <c r="J236" i="7"/>
  <c r="K236" i="7" s="1"/>
  <c r="J237" i="7"/>
  <c r="K237" i="7" s="1"/>
  <c r="J238" i="7"/>
  <c r="K238" i="7" s="1"/>
  <c r="J239" i="7"/>
  <c r="K239" i="7" s="1"/>
  <c r="J240" i="7"/>
  <c r="K240" i="7" s="1"/>
  <c r="J241" i="7"/>
  <c r="K241" i="7" s="1"/>
  <c r="J242" i="7"/>
  <c r="K242" i="7" s="1"/>
  <c r="J243" i="7"/>
  <c r="K243" i="7" s="1"/>
  <c r="J244" i="7"/>
  <c r="K244" i="7" s="1"/>
  <c r="J245" i="7"/>
  <c r="K245" i="7" s="1"/>
  <c r="J246" i="7"/>
  <c r="K246" i="7" s="1"/>
  <c r="J247" i="7"/>
  <c r="K247" i="7" s="1"/>
  <c r="J248" i="7"/>
  <c r="K248" i="7" s="1"/>
  <c r="J249" i="7"/>
  <c r="K249" i="7" s="1"/>
  <c r="J250" i="7"/>
  <c r="K250" i="7" s="1"/>
  <c r="J251" i="7"/>
  <c r="K251" i="7" s="1"/>
  <c r="J252" i="7"/>
  <c r="K252" i="7" s="1"/>
  <c r="J253" i="7"/>
  <c r="K253" i="7" s="1"/>
  <c r="J254" i="7"/>
  <c r="K254" i="7" s="1"/>
  <c r="J255" i="7"/>
  <c r="K255" i="7" s="1"/>
  <c r="J256" i="7"/>
  <c r="K256" i="7" s="1"/>
  <c r="J257" i="7"/>
  <c r="K257" i="7" s="1"/>
  <c r="J258" i="7"/>
  <c r="K258" i="7" s="1"/>
  <c r="J259" i="7"/>
  <c r="K259" i="7" s="1"/>
  <c r="J260" i="7"/>
  <c r="K260" i="7" s="1"/>
  <c r="J261" i="7"/>
  <c r="K261" i="7" s="1"/>
  <c r="J262" i="7"/>
  <c r="K262" i="7" s="1"/>
  <c r="J263" i="7"/>
  <c r="K263" i="7" s="1"/>
  <c r="J264" i="7"/>
  <c r="K264" i="7" s="1"/>
  <c r="J265" i="7"/>
  <c r="K265" i="7" s="1"/>
  <c r="J266" i="7"/>
  <c r="K266" i="7" s="1"/>
  <c r="J267" i="7"/>
  <c r="K267" i="7" s="1"/>
  <c r="J268" i="7"/>
  <c r="K268" i="7" s="1"/>
  <c r="J269" i="7"/>
  <c r="K269" i="7" s="1"/>
  <c r="J270" i="7"/>
  <c r="K270" i="7" s="1"/>
  <c r="J271" i="7"/>
  <c r="K271" i="7" s="1"/>
  <c r="J272" i="7"/>
  <c r="K272" i="7" s="1"/>
  <c r="J273" i="7"/>
  <c r="K273" i="7" s="1"/>
  <c r="J274" i="7"/>
  <c r="K274" i="7" s="1"/>
  <c r="J275" i="7"/>
  <c r="K275" i="7" s="1"/>
  <c r="J276" i="7"/>
  <c r="K276" i="7" s="1"/>
  <c r="J277" i="7"/>
  <c r="K277" i="7" s="1"/>
  <c r="J278" i="7"/>
  <c r="K278" i="7" s="1"/>
  <c r="J279" i="7"/>
  <c r="K279" i="7" s="1"/>
  <c r="J280" i="7"/>
  <c r="K280" i="7" s="1"/>
  <c r="J281" i="7"/>
  <c r="K281" i="7" s="1"/>
  <c r="J282" i="7"/>
  <c r="K282" i="7" s="1"/>
  <c r="J283" i="7"/>
  <c r="K283" i="7" s="1"/>
  <c r="J284" i="7"/>
  <c r="K284" i="7" s="1"/>
  <c r="J285" i="7"/>
  <c r="K285" i="7" s="1"/>
  <c r="J286" i="7"/>
  <c r="K286" i="7" s="1"/>
  <c r="J287" i="7"/>
  <c r="K287" i="7" s="1"/>
  <c r="J288" i="7"/>
  <c r="K288" i="7" s="1"/>
  <c r="J289" i="7"/>
  <c r="K289" i="7" s="1"/>
  <c r="J290" i="7"/>
  <c r="K290" i="7" s="1"/>
  <c r="J291" i="7"/>
  <c r="K291" i="7" s="1"/>
  <c r="J292" i="7"/>
  <c r="K292" i="7" s="1"/>
  <c r="J293" i="7"/>
  <c r="K293" i="7" s="1"/>
  <c r="J294" i="7"/>
  <c r="K294" i="7" s="1"/>
  <c r="J295" i="7"/>
  <c r="K295" i="7" s="1"/>
  <c r="J296" i="7"/>
  <c r="K296" i="7" s="1"/>
  <c r="J297" i="7"/>
  <c r="K297" i="7" s="1"/>
  <c r="J298" i="7"/>
  <c r="K298" i="7" s="1"/>
  <c r="J299" i="7"/>
  <c r="K299" i="7" s="1"/>
  <c r="J300" i="7"/>
  <c r="K300" i="7" s="1"/>
  <c r="J301" i="7"/>
  <c r="K301" i="7" s="1"/>
  <c r="J302" i="7"/>
  <c r="K302" i="7" s="1"/>
  <c r="J303" i="7"/>
  <c r="K303" i="7" s="1"/>
  <c r="J304" i="7"/>
  <c r="K304" i="7" s="1"/>
  <c r="J305" i="7"/>
  <c r="K305" i="7" s="1"/>
  <c r="J306" i="7"/>
  <c r="K306" i="7" s="1"/>
  <c r="J307" i="7"/>
  <c r="K307" i="7" s="1"/>
  <c r="J308" i="7"/>
  <c r="K308" i="7" s="1"/>
  <c r="J309" i="7"/>
  <c r="K309" i="7" s="1"/>
  <c r="J310" i="7"/>
  <c r="K310" i="7" s="1"/>
  <c r="J311" i="7"/>
  <c r="K311" i="7" s="1"/>
  <c r="J312" i="7"/>
  <c r="K312" i="7" s="1"/>
  <c r="J313" i="7"/>
  <c r="K313" i="7" s="1"/>
  <c r="J314" i="7"/>
  <c r="K314" i="7" s="1"/>
  <c r="J315" i="7"/>
  <c r="K315" i="7" s="1"/>
  <c r="J316" i="7"/>
  <c r="K316" i="7" s="1"/>
  <c r="J317" i="7"/>
  <c r="K317" i="7" s="1"/>
  <c r="J318" i="7"/>
  <c r="K318" i="7" s="1"/>
  <c r="J319" i="7"/>
  <c r="K319" i="7" s="1"/>
  <c r="J320" i="7"/>
  <c r="K320" i="7" s="1"/>
  <c r="J321" i="7"/>
  <c r="K321" i="7" s="1"/>
  <c r="J322" i="7"/>
  <c r="K322" i="7" s="1"/>
  <c r="J323" i="7"/>
  <c r="K323" i="7" s="1"/>
  <c r="J324" i="7"/>
  <c r="K324" i="7" s="1"/>
  <c r="J325" i="7"/>
  <c r="K325" i="7" s="1"/>
  <c r="J326" i="7"/>
  <c r="K326" i="7" s="1"/>
  <c r="J327" i="7"/>
  <c r="K327" i="7" s="1"/>
  <c r="J328" i="7"/>
  <c r="K328" i="7" s="1"/>
  <c r="J329" i="7"/>
  <c r="K329" i="7" s="1"/>
  <c r="J330" i="7"/>
  <c r="K330" i="7" s="1"/>
  <c r="J331" i="7"/>
  <c r="K331" i="7" s="1"/>
  <c r="J332" i="7"/>
  <c r="K332" i="7" s="1"/>
  <c r="J333" i="7"/>
  <c r="K333" i="7" s="1"/>
  <c r="J334" i="7"/>
  <c r="K334" i="7" s="1"/>
  <c r="J335" i="7"/>
  <c r="K335" i="7" s="1"/>
  <c r="J336" i="7"/>
  <c r="K336" i="7" s="1"/>
  <c r="J337" i="7"/>
  <c r="K337" i="7" s="1"/>
  <c r="J338" i="7"/>
  <c r="K338" i="7" s="1"/>
  <c r="J339" i="7"/>
  <c r="K339" i="7" s="1"/>
  <c r="J340" i="7"/>
  <c r="K340" i="7" s="1"/>
  <c r="J341" i="7"/>
  <c r="K341" i="7" s="1"/>
  <c r="J342" i="7"/>
  <c r="K342" i="7" s="1"/>
  <c r="J343" i="7"/>
  <c r="K343" i="7" s="1"/>
  <c r="J344" i="7"/>
  <c r="K344" i="7" s="1"/>
  <c r="J345" i="7"/>
  <c r="K345" i="7" s="1"/>
  <c r="J346" i="7"/>
  <c r="K346" i="7" s="1"/>
  <c r="J347" i="7"/>
  <c r="K347" i="7" s="1"/>
  <c r="J348" i="7"/>
  <c r="K348" i="7" s="1"/>
  <c r="J349" i="7"/>
  <c r="K349" i="7" s="1"/>
  <c r="J350" i="7"/>
  <c r="K350" i="7" s="1"/>
  <c r="J351" i="7"/>
  <c r="K351" i="7" s="1"/>
  <c r="J352" i="7"/>
  <c r="K352" i="7" s="1"/>
  <c r="J353" i="7"/>
  <c r="K353" i="7" s="1"/>
  <c r="J354" i="7"/>
  <c r="K354" i="7" s="1"/>
  <c r="J355" i="7"/>
  <c r="K355" i="7" s="1"/>
  <c r="J356" i="7"/>
  <c r="K356" i="7" s="1"/>
  <c r="J357" i="7"/>
  <c r="K357" i="7" s="1"/>
  <c r="J358" i="7"/>
  <c r="K358" i="7" s="1"/>
  <c r="J359" i="7"/>
  <c r="K359" i="7" s="1"/>
  <c r="J360" i="7"/>
  <c r="K360" i="7" s="1"/>
  <c r="J361" i="7"/>
  <c r="K361" i="7" s="1"/>
  <c r="J362" i="7"/>
  <c r="K362" i="7" s="1"/>
  <c r="J363" i="7"/>
  <c r="K363" i="7" s="1"/>
  <c r="J364" i="7"/>
  <c r="K364" i="7" s="1"/>
  <c r="J365" i="7"/>
  <c r="K365" i="7" s="1"/>
  <c r="J366" i="7"/>
  <c r="K366" i="7" s="1"/>
  <c r="J367" i="7"/>
  <c r="K367" i="7" s="1"/>
  <c r="J368" i="7"/>
  <c r="K368" i="7" s="1"/>
  <c r="J369" i="7"/>
  <c r="K369" i="7" s="1"/>
  <c r="J370" i="7"/>
  <c r="K370" i="7" s="1"/>
  <c r="J371" i="7"/>
  <c r="K371" i="7" s="1"/>
  <c r="J372" i="7"/>
  <c r="K372" i="7" s="1"/>
  <c r="J373" i="7"/>
  <c r="K373" i="7" s="1"/>
  <c r="J374" i="7"/>
  <c r="K374" i="7" s="1"/>
  <c r="J375" i="7"/>
  <c r="K375" i="7" s="1"/>
  <c r="J376" i="7"/>
  <c r="K376" i="7" s="1"/>
  <c r="J377" i="7"/>
  <c r="K377" i="7" s="1"/>
  <c r="J378" i="7"/>
  <c r="K378" i="7" s="1"/>
  <c r="J379" i="7"/>
  <c r="K379" i="7" s="1"/>
  <c r="J380" i="7"/>
  <c r="K380" i="7" s="1"/>
  <c r="J381" i="7"/>
  <c r="K381" i="7" s="1"/>
  <c r="J382" i="7"/>
  <c r="K382" i="7" s="1"/>
  <c r="J383" i="7"/>
  <c r="K383" i="7" s="1"/>
  <c r="J384" i="7"/>
  <c r="K384" i="7" s="1"/>
  <c r="J385" i="7"/>
  <c r="K385" i="7" s="1"/>
  <c r="J386" i="7"/>
  <c r="K386" i="7" s="1"/>
  <c r="J387" i="7"/>
  <c r="K387" i="7" s="1"/>
  <c r="J388" i="7"/>
  <c r="K388" i="7" s="1"/>
  <c r="J389" i="7"/>
  <c r="K389" i="7" s="1"/>
  <c r="J390" i="7"/>
  <c r="K390" i="7" s="1"/>
  <c r="J391" i="7"/>
  <c r="K391" i="7" s="1"/>
  <c r="J392" i="7"/>
  <c r="K392" i="7" s="1"/>
  <c r="J393" i="7"/>
  <c r="K393" i="7" s="1"/>
  <c r="J394" i="7"/>
  <c r="K394" i="7" s="1"/>
  <c r="J395" i="7"/>
  <c r="K395" i="7" s="1"/>
  <c r="J396" i="7"/>
  <c r="K396" i="7" s="1"/>
  <c r="J397" i="7"/>
  <c r="K397" i="7" s="1"/>
  <c r="J398" i="7"/>
  <c r="K398" i="7" s="1"/>
  <c r="J399" i="7"/>
  <c r="K399" i="7" s="1"/>
  <c r="J400" i="7"/>
  <c r="K400" i="7" s="1"/>
  <c r="J401" i="7"/>
  <c r="K401" i="7" s="1"/>
  <c r="J402" i="7"/>
  <c r="K402" i="7" s="1"/>
  <c r="J403" i="7"/>
  <c r="K403" i="7" s="1"/>
  <c r="J404" i="7"/>
  <c r="K404" i="7" s="1"/>
  <c r="J405" i="7"/>
  <c r="K405" i="7" s="1"/>
  <c r="J406" i="7"/>
  <c r="K406" i="7" s="1"/>
  <c r="J407" i="7"/>
  <c r="K407" i="7" s="1"/>
  <c r="J408" i="7"/>
  <c r="K408" i="7" s="1"/>
  <c r="J409" i="7"/>
  <c r="K409" i="7" s="1"/>
  <c r="J410" i="7"/>
  <c r="K410" i="7" s="1"/>
  <c r="J411" i="7"/>
  <c r="K411" i="7" s="1"/>
  <c r="J412" i="7"/>
  <c r="K412" i="7" s="1"/>
  <c r="J413" i="7"/>
  <c r="K413" i="7" s="1"/>
  <c r="J414" i="7"/>
  <c r="K414" i="7" s="1"/>
  <c r="J415" i="7"/>
  <c r="K415" i="7" s="1"/>
  <c r="J416" i="7"/>
  <c r="K416" i="7" s="1"/>
  <c r="J417" i="7"/>
  <c r="K417" i="7" s="1"/>
  <c r="J418" i="7"/>
  <c r="K418" i="7" s="1"/>
  <c r="J419" i="7"/>
  <c r="K419" i="7" s="1"/>
  <c r="J420" i="7"/>
  <c r="K420" i="7" s="1"/>
  <c r="J421" i="7"/>
  <c r="K421" i="7" s="1"/>
  <c r="J422" i="7"/>
  <c r="K422" i="7" s="1"/>
  <c r="J423" i="7"/>
  <c r="K423" i="7" s="1"/>
  <c r="J424" i="7"/>
  <c r="K424" i="7" s="1"/>
  <c r="J425" i="7"/>
  <c r="K425" i="7" s="1"/>
  <c r="J426" i="7"/>
  <c r="K426" i="7" s="1"/>
  <c r="J427" i="7"/>
  <c r="K427" i="7" s="1"/>
  <c r="J428" i="7"/>
  <c r="K428" i="7" s="1"/>
  <c r="J429" i="7"/>
  <c r="K429" i="7" s="1"/>
  <c r="J430" i="7"/>
  <c r="K430" i="7" s="1"/>
  <c r="J431" i="7"/>
  <c r="K431" i="7" s="1"/>
  <c r="J432" i="7"/>
  <c r="K432" i="7" s="1"/>
  <c r="J433" i="7"/>
  <c r="K433" i="7" s="1"/>
  <c r="J434" i="7"/>
  <c r="K434" i="7" s="1"/>
  <c r="J435" i="7"/>
  <c r="K435" i="7" s="1"/>
  <c r="J436" i="7"/>
  <c r="K436" i="7" s="1"/>
  <c r="J437" i="7"/>
  <c r="K437" i="7" s="1"/>
  <c r="J438" i="7"/>
  <c r="K438" i="7" s="1"/>
  <c r="J439" i="7"/>
  <c r="K439" i="7" s="1"/>
  <c r="J440" i="7"/>
  <c r="K440" i="7" s="1"/>
  <c r="J441" i="7"/>
  <c r="K441" i="7" s="1"/>
  <c r="J442" i="7"/>
  <c r="K442" i="7" s="1"/>
  <c r="J443" i="7"/>
  <c r="K443" i="7" s="1"/>
  <c r="J444" i="7"/>
  <c r="K444" i="7" s="1"/>
  <c r="J445" i="7"/>
  <c r="K445" i="7" s="1"/>
  <c r="J446" i="7"/>
  <c r="K446" i="7" s="1"/>
  <c r="J447" i="7"/>
  <c r="K447" i="7" s="1"/>
  <c r="J448" i="7"/>
  <c r="K448" i="7" s="1"/>
  <c r="J449" i="7"/>
  <c r="K449" i="7" s="1"/>
  <c r="J450" i="7"/>
  <c r="K450" i="7" s="1"/>
  <c r="J451" i="7"/>
  <c r="K451" i="7" s="1"/>
  <c r="J452" i="7"/>
  <c r="K452" i="7" s="1"/>
  <c r="J453" i="7"/>
  <c r="K453" i="7" s="1"/>
  <c r="J454" i="7"/>
  <c r="K454" i="7" s="1"/>
  <c r="J455" i="7"/>
  <c r="K455" i="7" s="1"/>
  <c r="J456" i="7"/>
  <c r="K456" i="7" s="1"/>
  <c r="J457" i="7"/>
  <c r="K457" i="7" s="1"/>
  <c r="J458" i="7"/>
  <c r="K458" i="7" s="1"/>
  <c r="J459" i="7"/>
  <c r="K459" i="7" s="1"/>
  <c r="J460" i="7"/>
  <c r="K460" i="7" s="1"/>
  <c r="J461" i="7"/>
  <c r="K461" i="7" s="1"/>
  <c r="J462" i="7"/>
  <c r="K462" i="7" s="1"/>
  <c r="J463" i="7"/>
  <c r="K463" i="7" s="1"/>
  <c r="J464" i="7"/>
  <c r="K464" i="7" s="1"/>
  <c r="J465" i="7"/>
  <c r="K465" i="7" s="1"/>
  <c r="J466" i="7"/>
  <c r="K466" i="7" s="1"/>
  <c r="J467" i="7"/>
  <c r="K467" i="7" s="1"/>
  <c r="J468" i="7"/>
  <c r="K468" i="7" s="1"/>
  <c r="J469" i="7"/>
  <c r="K469" i="7" s="1"/>
  <c r="J470" i="7"/>
  <c r="K470" i="7" s="1"/>
  <c r="J471" i="7"/>
  <c r="K471" i="7" s="1"/>
  <c r="J472" i="7"/>
  <c r="K472" i="7" s="1"/>
  <c r="J473" i="7"/>
  <c r="K473" i="7" s="1"/>
  <c r="J474" i="7"/>
  <c r="K474" i="7" s="1"/>
  <c r="J475" i="7"/>
  <c r="K475" i="7" s="1"/>
  <c r="J476" i="7"/>
  <c r="K476" i="7" s="1"/>
  <c r="J477" i="7"/>
  <c r="K477" i="7" s="1"/>
  <c r="J478" i="7"/>
  <c r="K478" i="7" s="1"/>
  <c r="J479" i="7"/>
  <c r="K479" i="7" s="1"/>
  <c r="J480" i="7"/>
  <c r="K480" i="7" s="1"/>
  <c r="J481" i="7"/>
  <c r="K481" i="7" s="1"/>
  <c r="J482" i="7"/>
  <c r="K482" i="7" s="1"/>
  <c r="J483" i="7"/>
  <c r="K483" i="7" s="1"/>
  <c r="J484" i="7"/>
  <c r="K484" i="7" s="1"/>
  <c r="J485" i="7"/>
  <c r="K485" i="7" s="1"/>
  <c r="J486" i="7"/>
  <c r="K486" i="7" s="1"/>
  <c r="J487" i="7"/>
  <c r="K487" i="7" s="1"/>
  <c r="J488" i="7"/>
  <c r="K488" i="7" s="1"/>
  <c r="J489" i="7"/>
  <c r="K489" i="7" s="1"/>
  <c r="J490" i="7"/>
  <c r="K490" i="7" s="1"/>
  <c r="J491" i="7"/>
  <c r="K491" i="7" s="1"/>
  <c r="J492" i="7"/>
  <c r="K492" i="7" s="1"/>
  <c r="J493" i="7"/>
  <c r="K493" i="7" s="1"/>
  <c r="J494" i="7"/>
  <c r="K494" i="7" s="1"/>
  <c r="J495" i="7"/>
  <c r="K495" i="7" s="1"/>
  <c r="J496" i="7"/>
  <c r="K496" i="7" s="1"/>
  <c r="J497" i="7"/>
  <c r="K497" i="7" s="1"/>
  <c r="J498" i="7"/>
  <c r="K498" i="7" s="1"/>
  <c r="J499" i="7"/>
  <c r="K499" i="7" s="1"/>
  <c r="J500" i="7"/>
  <c r="K500" i="7" s="1"/>
  <c r="J501" i="7"/>
  <c r="K501" i="7" s="1"/>
  <c r="J502" i="7"/>
  <c r="K502" i="7" s="1"/>
  <c r="J503" i="7"/>
  <c r="K503" i="7" s="1"/>
  <c r="J504" i="7"/>
  <c r="K504" i="7" s="1"/>
  <c r="J505" i="7"/>
  <c r="K505" i="7" s="1"/>
  <c r="J506" i="7"/>
  <c r="K506" i="7" s="1"/>
  <c r="J507" i="7"/>
  <c r="K507" i="7" s="1"/>
  <c r="J508" i="7"/>
  <c r="K508" i="7" s="1"/>
  <c r="J509" i="7"/>
  <c r="K509" i="7" s="1"/>
  <c r="J510" i="7"/>
  <c r="K510" i="7" s="1"/>
  <c r="J511" i="7"/>
  <c r="K511" i="7" s="1"/>
  <c r="J512" i="7"/>
  <c r="K512" i="7" s="1"/>
  <c r="J513" i="7"/>
  <c r="K513" i="7" s="1"/>
  <c r="J514" i="7"/>
  <c r="K514" i="7" s="1"/>
  <c r="J515" i="7"/>
  <c r="K515" i="7" s="1"/>
  <c r="J516" i="7"/>
  <c r="K516" i="7" s="1"/>
  <c r="J517" i="7"/>
  <c r="K517" i="7" s="1"/>
  <c r="J518" i="7"/>
  <c r="K518" i="7" s="1"/>
  <c r="J519" i="7"/>
  <c r="K519" i="7" s="1"/>
  <c r="J520" i="7"/>
  <c r="K520" i="7" s="1"/>
  <c r="J521" i="7"/>
  <c r="K521" i="7" s="1"/>
  <c r="J522" i="7"/>
  <c r="K522" i="7" s="1"/>
  <c r="J523" i="7"/>
  <c r="K523" i="7" s="1"/>
  <c r="J524" i="7"/>
  <c r="K524" i="7" s="1"/>
  <c r="J525" i="7"/>
  <c r="K525" i="7" s="1"/>
  <c r="J526" i="7"/>
  <c r="K526" i="7" s="1"/>
  <c r="J527" i="7"/>
  <c r="K527" i="7" s="1"/>
  <c r="J528" i="7"/>
  <c r="K528" i="7" s="1"/>
  <c r="J529" i="7"/>
  <c r="K529" i="7" s="1"/>
  <c r="J530" i="7"/>
  <c r="K530" i="7" s="1"/>
  <c r="J531" i="7"/>
  <c r="K531" i="7" s="1"/>
  <c r="J532" i="7"/>
  <c r="K532" i="7" s="1"/>
  <c r="J533" i="7"/>
  <c r="K533" i="7" s="1"/>
  <c r="J534" i="7"/>
  <c r="K534" i="7" s="1"/>
  <c r="J535" i="7"/>
  <c r="K535" i="7" s="1"/>
  <c r="J536" i="7"/>
  <c r="K536" i="7" s="1"/>
  <c r="J537" i="7"/>
  <c r="K537" i="7" s="1"/>
  <c r="J538" i="7"/>
  <c r="K538" i="7" s="1"/>
  <c r="J539" i="7"/>
  <c r="K539" i="7" s="1"/>
  <c r="J540" i="7"/>
  <c r="K540" i="7" s="1"/>
  <c r="J541" i="7"/>
  <c r="K541" i="7" s="1"/>
  <c r="J542" i="7"/>
  <c r="K542" i="7" s="1"/>
  <c r="J543" i="7"/>
  <c r="K543" i="7" s="1"/>
  <c r="J544" i="7"/>
  <c r="K544" i="7" s="1"/>
  <c r="J545" i="7"/>
  <c r="K545" i="7" s="1"/>
  <c r="J546" i="7"/>
  <c r="K546" i="7" s="1"/>
  <c r="J547" i="7"/>
  <c r="K547" i="7" s="1"/>
  <c r="J548" i="7"/>
  <c r="K548" i="7" s="1"/>
  <c r="J549" i="7"/>
  <c r="K549" i="7" s="1"/>
  <c r="J550" i="7"/>
  <c r="K550" i="7" s="1"/>
  <c r="J551" i="7"/>
  <c r="K551" i="7" s="1"/>
  <c r="J552" i="7"/>
  <c r="K552" i="7" s="1"/>
  <c r="J553" i="7"/>
  <c r="K553" i="7" s="1"/>
  <c r="J554" i="7"/>
  <c r="K554" i="7" s="1"/>
  <c r="J555" i="7"/>
  <c r="K555" i="7" s="1"/>
  <c r="J556" i="7"/>
  <c r="K556" i="7" s="1"/>
  <c r="J557" i="7"/>
  <c r="K557" i="7" s="1"/>
  <c r="J558" i="7"/>
  <c r="K558" i="7" s="1"/>
  <c r="J559" i="7"/>
  <c r="K559" i="7" s="1"/>
  <c r="J560" i="7"/>
  <c r="K560" i="7" s="1"/>
  <c r="J561" i="7"/>
  <c r="K561" i="7" s="1"/>
  <c r="J562" i="7"/>
  <c r="K562" i="7" s="1"/>
  <c r="J563" i="7"/>
  <c r="K563" i="7" s="1"/>
  <c r="J564" i="7"/>
  <c r="K564" i="7" s="1"/>
  <c r="J565" i="7"/>
  <c r="K565" i="7" s="1"/>
  <c r="J566" i="7"/>
  <c r="K566" i="7" s="1"/>
  <c r="J567" i="7"/>
  <c r="K567" i="7" s="1"/>
  <c r="J568" i="7"/>
  <c r="K568" i="7" s="1"/>
  <c r="J569" i="7"/>
  <c r="K569" i="7" s="1"/>
  <c r="J570" i="7"/>
  <c r="K570" i="7" s="1"/>
  <c r="J571" i="7"/>
  <c r="K571" i="7" s="1"/>
  <c r="J572" i="7"/>
  <c r="K572" i="7" s="1"/>
  <c r="J573" i="7"/>
  <c r="K573" i="7" s="1"/>
  <c r="J574" i="7"/>
  <c r="K574" i="7" s="1"/>
  <c r="J575" i="7"/>
  <c r="K575" i="7" s="1"/>
  <c r="J576" i="7"/>
  <c r="K576" i="7" s="1"/>
  <c r="J577" i="7"/>
  <c r="K577" i="7" s="1"/>
  <c r="J578" i="7"/>
  <c r="K578" i="7" s="1"/>
  <c r="J579" i="7"/>
  <c r="K579" i="7" s="1"/>
  <c r="J580" i="7"/>
  <c r="K580" i="7" s="1"/>
  <c r="J581" i="7"/>
  <c r="K581" i="7" s="1"/>
  <c r="J5" i="7"/>
  <c r="K5" i="7" s="1"/>
  <c r="D7" i="6" a="1"/>
  <c r="D7" i="6" s="1"/>
  <c r="B11" i="6" l="1"/>
  <c r="B12" i="6" s="1"/>
  <c r="F13" i="6"/>
  <c r="D13" i="6"/>
  <c r="F14" i="6"/>
  <c r="F11" i="6"/>
  <c r="F12" i="6" s="1"/>
  <c r="C13" i="6"/>
  <c r="D14" i="6"/>
  <c r="E13" i="6"/>
  <c r="C14" i="6"/>
  <c r="E14" i="6"/>
  <c r="B13" i="6"/>
  <c r="B14" i="6"/>
  <c r="J12" i="6"/>
  <c r="N11" i="6"/>
  <c r="L12" i="6"/>
  <c r="K12" i="6"/>
  <c r="M12" i="6"/>
  <c r="N12" i="6"/>
  <c r="O12" i="6"/>
  <c r="K11" i="6"/>
  <c r="L11" i="6"/>
  <c r="M11" i="6"/>
  <c r="J11" i="6"/>
  <c r="O7" i="6"/>
  <c r="A3" i="9" a="1"/>
  <c r="A3" i="9" s="1"/>
  <c r="D11" i="6"/>
  <c r="D12" i="6" s="1"/>
  <c r="C11" i="6"/>
  <c r="C12" i="6" s="1"/>
  <c r="A3" i="8" a="1"/>
  <c r="A3" i="8" s="1"/>
  <c r="A3" i="10" l="1" a="1"/>
  <c r="A3" i="10" s="1"/>
  <c r="B3" i="10" a="1"/>
  <c r="B3" i="10" s="1"/>
  <c r="M13" i="6"/>
  <c r="L3" i="9" a="1"/>
  <c r="L3" i="9" s="1"/>
  <c r="K3" i="9" a="1"/>
  <c r="K3" i="9" s="1"/>
  <c r="E3" i="9" a="1"/>
  <c r="E3" i="9" s="1"/>
  <c r="I3" i="9" a="1"/>
  <c r="I3" i="9" s="1"/>
  <c r="D3" i="9" a="1"/>
  <c r="D3" i="9" s="1"/>
  <c r="F3" i="9" a="1"/>
  <c r="F3" i="9" s="1"/>
  <c r="C3" i="9" a="1"/>
  <c r="C3" i="9" s="1"/>
  <c r="J3" i="9" a="1"/>
  <c r="J3" i="9" s="1"/>
  <c r="H3" i="9" a="1"/>
  <c r="H3" i="9" s="1"/>
  <c r="B3" i="9" a="1"/>
  <c r="G3" i="9" a="1"/>
  <c r="G3" i="9" s="1"/>
  <c r="E11" i="6"/>
  <c r="B3" i="9" l="1"/>
  <c r="N13" i="6" l="1"/>
  <c r="J13" i="6"/>
  <c r="K13" i="6"/>
  <c r="O13" i="6"/>
  <c r="L13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<sst xmlns="http://schemas.openxmlformats.org/spreadsheetml/2006/main" count="90" uniqueCount="70">
  <si>
    <t>Date</t>
  </si>
  <si>
    <t>TOTAL VIEWS</t>
  </si>
  <si>
    <t>NEW FOLLOWERS</t>
  </si>
  <si>
    <t>TOTAL ENGAGEMENT</t>
  </si>
  <si>
    <t>DAYS IN RANGE</t>
  </si>
  <si>
    <t>Views</t>
  </si>
  <si>
    <t>Engagement</t>
  </si>
  <si>
    <t>New Followers</t>
  </si>
  <si>
    <t>Engagement Rate</t>
  </si>
  <si>
    <t>Total Watch Time (s)</t>
  </si>
  <si>
    <t>Likes</t>
  </si>
  <si>
    <t>Saves</t>
  </si>
  <si>
    <t>Comments</t>
  </si>
  <si>
    <t>Shares</t>
  </si>
  <si>
    <t>Profile Visits</t>
  </si>
  <si>
    <t>Brand Awareness</t>
  </si>
  <si>
    <t>ALL METRICS</t>
  </si>
  <si>
    <t>Metric</t>
  </si>
  <si>
    <t>Somme de Value</t>
  </si>
  <si>
    <t>From</t>
  </si>
  <si>
    <t>To</t>
  </si>
  <si>
    <t>COMPARE TWO PERIODS</t>
  </si>
  <si>
    <t>Period A — From</t>
  </si>
  <si>
    <t>Period A — To</t>
  </si>
  <si>
    <t>Period B — To</t>
  </si>
  <si>
    <t>VIEWS</t>
  </si>
  <si>
    <t>ENGAGEMENT</t>
  </si>
  <si>
    <t>ENG. RATE</t>
  </si>
  <si>
    <t>LIKES</t>
  </si>
  <si>
    <t>PROFILE VISITS</t>
  </si>
  <si>
    <t>A</t>
  </si>
  <si>
    <t>B</t>
  </si>
  <si>
    <t>Δ</t>
  </si>
  <si>
    <t>Period A</t>
  </si>
  <si>
    <t>Period B</t>
  </si>
  <si>
    <t>Engoo Social Media Performance Dashboard</t>
    <phoneticPr fontId="1" type="noConversion"/>
  </si>
  <si>
    <t>Platform: Xiaohongshu</t>
    <phoneticPr fontId="1" type="noConversion"/>
  </si>
  <si>
    <t>RANGE</t>
    <phoneticPr fontId="1" type="noConversion"/>
  </si>
  <si>
    <t>Quick Date Range</t>
    <phoneticPr fontId="1" type="noConversion"/>
  </si>
  <si>
    <t>Custom Dates</t>
    <phoneticPr fontId="1" type="noConversion"/>
  </si>
  <si>
    <t>Engagement Rate</t>
    <phoneticPr fontId="1" type="noConversion"/>
  </si>
  <si>
    <t>Saves</t>
    <phoneticPr fontId="1" type="noConversion"/>
  </si>
  <si>
    <t>Comments</t>
    <phoneticPr fontId="1" type="noConversion"/>
  </si>
  <si>
    <t>Shares</t>
    <phoneticPr fontId="1" type="noConversion"/>
  </si>
  <si>
    <t xml:space="preserve">Profile Visits </t>
    <phoneticPr fontId="1" type="noConversion"/>
  </si>
  <si>
    <t>Brand Awareness</t>
    <phoneticPr fontId="1" type="noConversion"/>
  </si>
  <si>
    <t>Total Watch Time (min)</t>
    <phoneticPr fontId="1" type="noConversion"/>
  </si>
  <si>
    <t>Original Data</t>
    <phoneticPr fontId="1" type="noConversion"/>
  </si>
  <si>
    <t>Data for the Main Metric</t>
    <phoneticPr fontId="1" type="noConversion"/>
  </si>
  <si>
    <t>Total général</t>
  </si>
  <si>
    <t>Value</t>
  </si>
  <si>
    <t>⚠️ After changing C7/D7: right-click chart → Refresh</t>
  </si>
  <si>
    <t>Custom</t>
  </si>
  <si>
    <t>MultiMetricPivot</t>
    <phoneticPr fontId="1" type="noConversion"/>
  </si>
  <si>
    <t>Filtered Data (Selected Time Range)</t>
    <phoneticPr fontId="1" type="noConversion"/>
  </si>
  <si>
    <t>KEY METRICS</t>
    <phoneticPr fontId="1" type="noConversion"/>
  </si>
  <si>
    <t>PERFORMANCE GRAPH</t>
    <phoneticPr fontId="1" type="noConversion"/>
  </si>
  <si>
    <t>Period B — From</t>
    <phoneticPr fontId="1" type="noConversion"/>
  </si>
  <si>
    <t>Quick Period Range</t>
    <phoneticPr fontId="1" type="noConversion"/>
  </si>
  <si>
    <t>Last 90 days</t>
  </si>
  <si>
    <t>MAX</t>
    <phoneticPr fontId="1" type="noConversion"/>
  </si>
  <si>
    <t>MIN</t>
    <phoneticPr fontId="1" type="noConversion"/>
  </si>
  <si>
    <t>AVG. ENGAGEMENT RATE</t>
    <phoneticPr fontId="1" type="noConversion"/>
  </si>
  <si>
    <t>TOTAL NEW FOLLOWERS</t>
    <phoneticPr fontId="1" type="noConversion"/>
  </si>
  <si>
    <t>TOTAL LIKES</t>
    <phoneticPr fontId="1" type="noConversion"/>
  </si>
  <si>
    <t>AVG</t>
    <phoneticPr fontId="1" type="noConversion"/>
  </si>
  <si>
    <t>Compare Metric</t>
  </si>
  <si>
    <t>Period Comparison (driven by Dashboard!O6)</t>
  </si>
  <si>
    <t>Date (Period A)</t>
  </si>
  <si>
    <t>Last 90 vs prior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</si>
</sst>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\+#,##0;\-#,##0;0"/>
    <numFmt numFmtId="178" formatCode="\▲\ 0.0%;\▼\ 0.0%;0.0%"/>
    <numFmt numFmtId="179" formatCode="yyyy\-mm\-dd;@"/>
    <numFmt numFmtId="180" formatCode="ddd\ d\-mmm"/>
  </numFmts>
  <fonts count="36" x14ac:knownFonts="1">
    <font>
      <sz val="11"/>
      <color rgb="FF000000"/>
      <name val="Calibri"/>
      <scheme val="minor"/>
    </font>
    <font>
      <sz val="9"/>
      <name val="Calibri"/>
      <family val="3"/>
      <charset val="136"/>
      <scheme val="minor"/>
    </font>
    <font>
      <b/>
      <sz val="11"/>
      <color rgb="FF000000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sz val="10"/>
      <color rgb="FF6B7280"/>
      <name val="Calibri"/>
      <family val="2"/>
      <scheme val="minor"/>
    </font>
    <font>
      <b/>
      <sz val="10"/>
      <color rgb="FF6B7280"/>
      <name val="Calibri"/>
      <family val="2"/>
      <scheme val="minor"/>
    </font>
    <font>
      <b/>
      <sz val="14"/>
      <color rgb="FF1A2B4C"/>
      <name val="Calibri"/>
      <family val="2"/>
      <scheme val="minor"/>
    </font>
    <font>
      <b/>
      <sz val="9"/>
      <color rgb="FFFFFFFF"/>
      <name val="Calibri"/>
      <family val="2"/>
      <scheme val="minor"/>
    </font>
    <font>
      <i/>
      <sz val="10"/>
      <color rgb="FF9CA3AF"/>
      <name val="Calibri"/>
      <family val="2"/>
      <scheme val="minor"/>
    </font>
    <font>
      <b/>
      <i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A3AF"/>
      <name val="Calibri"/>
      <family val="2"/>
      <scheme val="minor"/>
    </font>
    <font>
      <b/>
      <sz val="12"/>
      <color rgb="FF1A2B4C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1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  <font>
      <b/>
      <sz val="18"/>
      <color rgb="FF1A2B4C"/>
      <name val="Calibri"/>
      <family val="2"/>
      <scheme val="minor"/>
    </font>
    <font>
      <b/>
      <sz val="9"/>
      <color rgb="FF9CA3AF"/>
      <name val="Calibri"/>
      <family val="2"/>
      <scheme val="minor"/>
    </font>
    <font>
      <b/>
      <sz val="14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sz val="14"/>
      <color rgb="FF000000"/>
      <name val="Calibri"/>
      <family val="2"/>
      <scheme val="major"/>
    </font>
    <font>
      <b/>
      <sz val="11"/>
      <color rgb="FF000000"/>
      <name val="Calibri"/>
      <family val="2"/>
      <scheme val="major"/>
    </font>
    <font>
      <b/>
      <sz val="10"/>
      <color rgb="FF40404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9"/>
      <color rgb="FFC659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0"/>
      <color rgb="FFC65911"/>
      <name val="Calibri"/>
      <family val="2"/>
      <scheme val="minor"/>
    </font>
    <font>
      <b/>
      <sz val="18"/>
      <color rgb="FF16A34A"/>
      <name val="Calibri"/>
      <family val="2"/>
      <scheme val="minor"/>
    </font>
    <font>
      <sz val="12"/>
      <color rgb="FF6B7280"/>
      <name val="Calibri"/>
      <family val="2"/>
      <scheme val="minor"/>
    </font>
    <font>
      <b/>
      <sz val="12"/>
      <color rgb="FF6B7280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9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F8FB"/>
        <bgColor indexed="64"/>
      </patternFill>
    </fill>
    <fill>
      <patternFill patternType="solid">
        <fgColor rgb="FF1A2B4C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2F2F2"/>
        <bgColor indexed="64"/>
      </patternFill>
    </fill>
  </fills>
  <borders count="25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/>
      <right/>
      <top/>
      <bottom style="medium">
        <color theme="4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medium">
        <color rgb="FFE5B800"/>
      </left>
      <right style="medium">
        <color rgb="FFE5B800"/>
      </right>
      <top style="medium">
        <color rgb="FFE5B800"/>
      </top>
      <bottom style="medium">
        <color rgb="FFE5B800"/>
      </bottom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/>
      <top/>
      <bottom style="thin">
        <color rgb="FFE5E7EB"/>
      </bottom>
      <diagonal/>
    </border>
    <border>
      <left style="medium">
        <color rgb="FFE5B800"/>
      </left>
      <right style="thin">
        <color theme="2" tint="-0.14999847407452621"/>
      </right>
      <top style="thin">
        <color rgb="FFD1D5DB"/>
      </top>
      <bottom style="thin">
        <color rgb="FFD1D5DB"/>
      </bottom>
      <diagonal/>
    </border>
    <border>
      <left style="thin">
        <color theme="0" tint="-0.14996795556505021"/>
      </left>
      <right style="thin">
        <color theme="2" tint="-0.14999847407452621"/>
      </right>
      <top style="thin">
        <color theme="0" tint="-0.14996795556505021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 style="thin">
        <color theme="2" tint="-0.14999847407452621"/>
      </left>
      <right style="thin">
        <color theme="2" tint="-0.14996795556505021"/>
      </right>
      <top style="thin">
        <color rgb="FFD1D5DB"/>
      </top>
      <bottom style="thin">
        <color theme="2" tint="-0.14996795556505021"/>
      </bottom>
      <diagonal/>
    </border>
    <border>
      <left style="thin">
        <color theme="2" tint="-0.14996795556505021"/>
      </left>
      <right style="thin">
        <color theme="2" tint="-0.14993743705557422"/>
      </right>
      <top style="thin">
        <color theme="2" tint="-0.14999847407452621"/>
      </top>
      <bottom style="thin">
        <color theme="2" tint="-0.14993743705557422"/>
      </bottom>
      <diagonal/>
    </border>
    <border>
      <left style="thin">
        <color theme="2" tint="-0.14996795556505021"/>
      </left>
      <right style="thin">
        <color theme="2" tint="-0.14996795556505021"/>
      </right>
      <top style="thin">
        <color rgb="FFD1D5DB"/>
      </top>
      <bottom style="thin">
        <color theme="2" tint="-0.149967955565050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medium">
        <color rgb="FFE5B800"/>
      </top>
      <bottom style="thin">
        <color theme="8" tint="0.39994506668294322"/>
      </bottom>
      <diagonal/>
    </border>
    <border diagonalUp="1">
      <left style="thin">
        <color rgb="FFE5E7EB"/>
      </left>
      <right style="thin">
        <color rgb="FFE5E7EB"/>
      </right>
      <top style="thin">
        <color rgb="FFE5E7EB"/>
      </top>
      <bottom/>
      <diagonal style="thin">
        <color rgb="FFE5E7EB"/>
      </diagonal>
    </border>
    <border diagonalUp="1">
      <left style="thin">
        <color rgb="FFE5E7EB"/>
      </left>
      <right style="thin">
        <color rgb="FFE5E7EB"/>
      </right>
      <top/>
      <bottom/>
      <diagonal style="thin">
        <color rgb="FFE5E7EB"/>
      </diagonal>
    </border>
    <border diagonalUp="1">
      <left style="thin">
        <color rgb="FFE5E7EB"/>
      </left>
      <right style="thin">
        <color rgb="FFE5E7EB"/>
      </right>
      <top/>
      <bottom style="thin">
        <color rgb="FFE5E7EB"/>
      </bottom>
      <diagonal style="thin">
        <color rgb="FFE5E7EB"/>
      </diagonal>
    </border>
    <border>
      <left style="thin">
        <color theme="2" tint="-0.14999847407452621"/>
      </left>
      <right style="thin">
        <color theme="2" tint="-0.14999847407452621"/>
      </right>
      <top/>
      <bottom style="thin">
        <color theme="2" tint="-0.1499984740745262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>
      <alignment vertical="center"/>
    </xf>
  </cellStyleXfs>
  <cellXfs count="88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10" fontId="0" fillId="0" borderId="0" xfId="0" applyNumberForma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0" xfId="0" pivotButton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3" fontId="18" fillId="5" borderId="5" xfId="0" applyNumberFormat="1" applyFont="1" applyFill="1" applyBorder="1" applyAlignment="1">
      <alignment horizontal="center" vertical="center"/>
    </xf>
    <xf numFmtId="3" fontId="18" fillId="5" borderId="6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0" borderId="7" xfId="0" applyFont="1" applyBorder="1" applyAlignment="1">
      <alignment horizontal="centerContinuous"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76" fontId="21" fillId="0" borderId="0" xfId="0" applyNumberFormat="1" applyFont="1" applyAlignment="1">
      <alignment vertical="center"/>
    </xf>
    <xf numFmtId="10" fontId="21" fillId="0" borderId="0" xfId="0" applyNumberFormat="1" applyFont="1" applyAlignment="1">
      <alignment vertical="center"/>
    </xf>
    <xf numFmtId="10" fontId="21" fillId="0" borderId="0" xfId="1" applyNumberFormat="1" applyFont="1" applyAlignment="1">
      <alignment vertical="center"/>
    </xf>
    <xf numFmtId="0" fontId="22" fillId="0" borderId="7" xfId="0" applyFont="1" applyBorder="1" applyAlignment="1">
      <alignment horizontal="centerContinuous" vertical="center"/>
    </xf>
    <xf numFmtId="0" fontId="21" fillId="0" borderId="7" xfId="0" applyFont="1" applyBorder="1" applyAlignment="1">
      <alignment horizontal="centerContinuous" vertical="center"/>
    </xf>
    <xf numFmtId="0" fontId="24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6" fillId="2" borderId="0" xfId="0" applyFont="1" applyFill="1" applyAlignment="1">
      <alignment vertical="center"/>
    </xf>
    <xf numFmtId="176" fontId="13" fillId="2" borderId="0" xfId="0" applyNumberFormat="1" applyFont="1" applyFill="1" applyAlignment="1">
      <alignment horizontal="center" vertical="center"/>
    </xf>
    <xf numFmtId="176" fontId="7" fillId="5" borderId="8" xfId="0" applyNumberFormat="1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176" fontId="7" fillId="5" borderId="12" xfId="0" applyNumberFormat="1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/>
    </xf>
    <xf numFmtId="176" fontId="7" fillId="5" borderId="14" xfId="0" applyNumberFormat="1" applyFont="1" applyFill="1" applyBorder="1" applyAlignment="1">
      <alignment horizontal="center" vertical="center"/>
    </xf>
    <xf numFmtId="176" fontId="7" fillId="5" borderId="13" xfId="0" applyNumberFormat="1" applyFont="1" applyFill="1" applyBorder="1" applyAlignment="1">
      <alignment horizontal="center" vertical="center"/>
    </xf>
    <xf numFmtId="14" fontId="21" fillId="0" borderId="0" xfId="0" applyNumberFormat="1" applyFont="1" applyAlignment="1">
      <alignment vertical="center"/>
    </xf>
    <xf numFmtId="179" fontId="7" fillId="5" borderId="12" xfId="0" applyNumberFormat="1" applyFont="1" applyFill="1" applyBorder="1" applyAlignment="1">
      <alignment horizontal="center" vertical="center"/>
    </xf>
    <xf numFmtId="179" fontId="7" fillId="5" borderId="14" xfId="0" applyNumberFormat="1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179" fontId="7" fillId="6" borderId="18" xfId="0" applyNumberFormat="1" applyFont="1" applyFill="1" applyBorder="1" applyAlignment="1">
      <alignment horizontal="center" vertical="center"/>
    </xf>
    <xf numFmtId="179" fontId="7" fillId="6" borderId="10" xfId="0" applyNumberFormat="1" applyFont="1" applyFill="1" applyBorder="1" applyAlignment="1">
      <alignment horizontal="center" vertical="center"/>
    </xf>
    <xf numFmtId="179" fontId="7" fillId="6" borderId="15" xfId="0" applyNumberFormat="1" applyFont="1" applyFill="1" applyBorder="1" applyAlignment="1">
      <alignment horizontal="center" vertical="center"/>
    </xf>
    <xf numFmtId="179" fontId="7" fillId="6" borderId="17" xfId="0" applyNumberFormat="1" applyFont="1" applyFill="1" applyBorder="1" applyAlignment="1">
      <alignment horizontal="center" vertical="center"/>
    </xf>
    <xf numFmtId="1" fontId="29" fillId="6" borderId="16" xfId="0" applyNumberFormat="1" applyFont="1" applyFill="1" applyBorder="1" applyAlignment="1">
      <alignment horizontal="center" vertical="center"/>
    </xf>
    <xf numFmtId="176" fontId="23" fillId="8" borderId="0" xfId="0" applyNumberFormat="1" applyFont="1" applyFill="1" applyAlignment="1">
      <alignment vertical="center"/>
    </xf>
    <xf numFmtId="0" fontId="23" fillId="8" borderId="0" xfId="0" applyFont="1" applyFill="1" applyAlignment="1">
      <alignment vertical="center"/>
    </xf>
    <xf numFmtId="10" fontId="23" fillId="8" borderId="0" xfId="1" applyNumberFormat="1" applyFont="1" applyFill="1" applyAlignment="1">
      <alignment vertical="center"/>
    </xf>
    <xf numFmtId="10" fontId="18" fillId="5" borderId="5" xfId="1" applyNumberFormat="1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179" fontId="7" fillId="2" borderId="0" xfId="0" applyNumberFormat="1" applyFont="1" applyFill="1" applyAlignment="1">
      <alignment horizontal="center" vertical="center"/>
    </xf>
    <xf numFmtId="1" fontId="29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3" fontId="18" fillId="5" borderId="2" xfId="0" applyNumberFormat="1" applyFont="1" applyFill="1" applyBorder="1" applyAlignment="1">
      <alignment horizontal="center" vertical="center"/>
    </xf>
    <xf numFmtId="177" fontId="31" fillId="5" borderId="11" xfId="0" applyNumberFormat="1" applyFont="1" applyFill="1" applyBorder="1" applyAlignment="1">
      <alignment horizontal="center" vertical="center"/>
    </xf>
    <xf numFmtId="3" fontId="18" fillId="5" borderId="4" xfId="0" applyNumberFormat="1" applyFont="1" applyFill="1" applyBorder="1" applyAlignment="1">
      <alignment horizontal="center" vertical="center"/>
    </xf>
    <xf numFmtId="178" fontId="27" fillId="5" borderId="2" xfId="0" applyNumberFormat="1" applyFont="1" applyFill="1" applyBorder="1" applyAlignment="1">
      <alignment horizontal="center" vertical="center"/>
    </xf>
    <xf numFmtId="178" fontId="27" fillId="5" borderId="4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3" fontId="27" fillId="2" borderId="2" xfId="0" applyNumberFormat="1" applyFont="1" applyFill="1" applyBorder="1" applyAlignment="1">
      <alignment horizontal="center" vertical="center"/>
    </xf>
    <xf numFmtId="3" fontId="33" fillId="2" borderId="5" xfId="0" applyNumberFormat="1" applyFont="1" applyFill="1" applyBorder="1" applyAlignment="1">
      <alignment horizontal="center" vertical="center"/>
    </xf>
    <xf numFmtId="10" fontId="27" fillId="2" borderId="2" xfId="1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horizontal="center" vertical="center"/>
    </xf>
    <xf numFmtId="3" fontId="33" fillId="2" borderId="21" xfId="0" applyNumberFormat="1" applyFont="1" applyFill="1" applyBorder="1" applyAlignment="1">
      <alignment horizontal="center" vertical="center"/>
    </xf>
    <xf numFmtId="3" fontId="18" fillId="2" borderId="21" xfId="0" applyNumberFormat="1" applyFont="1" applyFill="1" applyBorder="1" applyAlignment="1">
      <alignment horizontal="center" vertical="center"/>
    </xf>
    <xf numFmtId="0" fontId="32" fillId="2" borderId="22" xfId="0" applyFont="1" applyFill="1" applyBorder="1" applyAlignment="1">
      <alignment horizontal="center" vertical="center"/>
    </xf>
    <xf numFmtId="0" fontId="27" fillId="2" borderId="23" xfId="0" applyFont="1" applyFill="1" applyBorder="1" applyAlignment="1">
      <alignment horizontal="center" vertical="center"/>
    </xf>
    <xf numFmtId="10" fontId="18" fillId="5" borderId="2" xfId="0" applyNumberFormat="1" applyFont="1" applyFill="1" applyBorder="1" applyAlignment="1">
      <alignment horizontal="center" vertical="center"/>
    </xf>
    <xf numFmtId="3" fontId="33" fillId="2" borderId="5" xfId="1" applyNumberFormat="1" applyFont="1" applyFill="1" applyBorder="1" applyAlignment="1">
      <alignment horizontal="center" vertical="center"/>
    </xf>
    <xf numFmtId="10" fontId="33" fillId="2" borderId="5" xfId="1" applyNumberFormat="1" applyFont="1" applyFill="1" applyBorder="1" applyAlignment="1">
      <alignment horizontal="center" vertical="center"/>
    </xf>
    <xf numFmtId="3" fontId="33" fillId="2" borderId="6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30" fillId="2" borderId="0" xfId="0" applyFont="1" applyFill="1" applyAlignment="1">
      <alignment horizontal="left"/>
    </xf>
    <xf numFmtId="0" fontId="35" fillId="2" borderId="0" xfId="0" applyFont="1" applyFill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180" fontId="21" fillId="0" borderId="0" xfId="0" applyNumberFormat="1" applyFont="1" applyAlignment="1">
      <alignment vertical="center"/>
    </xf>
  </cellXfs>
  <cellStyles count="2">
    <cellStyle name="Normal" xfId="0" builtinId="0"/>
    <cellStyle name="Pourcentage" xfId="1" builtinId="5"/>
  </cellStyles>
  <dxfs count="27"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DC2626"/>
      </font>
    </dxf>
    <dxf>
      <font>
        <color rgb="FF00B050"/>
      </font>
    </dxf>
    <dxf>
      <font>
        <color rgb="FF16A34A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numFmt numFmtId="19" formatCode="dd/mm/yyyy"/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  <numFmt numFmtId="176" formatCode="yyyy\-mm\-dd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  <dxf>
      <font>
        <b/>
        <strike val="0"/>
        <outline val="0"/>
        <shadow val="0"/>
        <u val="none"/>
        <vertAlign val="baseline"/>
        <color rgb="FF000000"/>
        <name val="Calibri"/>
        <family val="2"/>
        <scheme val="major"/>
      </font>
    </dxf>
  </dxfs>
  <tableStyles count="0" defaultTableStyle="TableStyleMedium2" defaultPivotStyle="PivotStyleLight16"/>
  <colors>
    <mruColors>
      <color rgb="FF1A2B4C"/>
      <color rgb="FF6B7280"/>
      <color rgb="FFF7F8FB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[Engoo_XHS Dashboard_EN.xlsx]PivotStage!MultiMetricPivot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Performance</a:t>
            </a:r>
            <a:r>
              <a:rPr lang="en-US" altLang="zh-TW" baseline="0"/>
              <a:t> Trends</a:t>
            </a:r>
            <a:endParaRPr lang="fr-FR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 alt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PivotStage!$F$2:$F$3</c:f>
              <c:strCache>
                <c:ptCount val="1"/>
                <c:pt idx="0">
                  <c:v>Brand Awareness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PivotStage!$E$4:$E$94</c:f>
              <c:strCache>
                <c:ptCount val="90"/>
                <c:pt idx="0">
                  <c:v>24/04/2026</c:v>
                </c:pt>
                <c:pt idx="1">
                  <c:v>25/04/2026</c:v>
                </c:pt>
                <c:pt idx="2">
                  <c:v>26/04/2026</c:v>
                </c:pt>
                <c:pt idx="3">
                  <c:v>27/04/2026</c:v>
                </c:pt>
                <c:pt idx="4">
                  <c:v>28/04/2026</c:v>
                </c:pt>
                <c:pt idx="5">
                  <c:v>29/04/2026</c:v>
                </c:pt>
                <c:pt idx="6">
                  <c:v>30/04/2026</c:v>
                </c:pt>
                <c:pt idx="7">
                  <c:v>01/04/2026</c:v>
                </c:pt>
                <c:pt idx="8">
                  <c:v>02/04/2026</c:v>
                </c:pt>
                <c:pt idx="9">
                  <c:v>03/04/2026</c:v>
                </c:pt>
                <c:pt idx="10">
                  <c:v>04/04/2026</c:v>
                </c:pt>
                <c:pt idx="11">
                  <c:v>05/04/2026</c:v>
                </c:pt>
                <c:pt idx="12">
                  <c:v>06/04/2026</c:v>
                </c:pt>
                <c:pt idx="13">
                  <c:v>07/04/2026</c:v>
                </c:pt>
                <c:pt idx="14">
                  <c:v>08/04/2026</c:v>
                </c:pt>
                <c:pt idx="15">
                  <c:v>09/04/2026</c:v>
                </c:pt>
                <c:pt idx="16">
                  <c:v>10/04/2026</c:v>
                </c:pt>
                <c:pt idx="17">
                  <c:v>11/04/2026</c:v>
                </c:pt>
                <c:pt idx="18">
                  <c:v>12/04/2026</c:v>
                </c:pt>
                <c:pt idx="19">
                  <c:v>13/04/2026</c:v>
                </c:pt>
                <c:pt idx="20">
                  <c:v>14/04/2026</c:v>
                </c:pt>
                <c:pt idx="21">
                  <c:v>15/04/2026</c:v>
                </c:pt>
                <c:pt idx="22">
                  <c:v>16/04/2026</c:v>
                </c:pt>
                <c:pt idx="23">
                  <c:v>17/04/2026</c:v>
                </c:pt>
                <c:pt idx="24">
                  <c:v>18/04/2026</c:v>
                </c:pt>
                <c:pt idx="25">
                  <c:v>19/04/2026</c:v>
                </c:pt>
                <c:pt idx="26">
                  <c:v>20/04/2026</c:v>
                </c:pt>
                <c:pt idx="27">
                  <c:v>21/04/2026</c:v>
                </c:pt>
                <c:pt idx="28">
                  <c:v>22/04/2026</c:v>
                </c:pt>
                <c:pt idx="29">
                  <c:v>23/04/2026</c:v>
                </c:pt>
                <c:pt idx="30">
                  <c:v>31/01/2026</c:v>
                </c:pt>
                <c:pt idx="31">
                  <c:v>01/02/2026</c:v>
                </c:pt>
                <c:pt idx="32">
                  <c:v>02/02/2026</c:v>
                </c:pt>
                <c:pt idx="33">
                  <c:v>03/02/2026</c:v>
                </c:pt>
                <c:pt idx="34">
                  <c:v>04/02/2026</c:v>
                </c:pt>
                <c:pt idx="35">
                  <c:v>05/02/2026</c:v>
                </c:pt>
                <c:pt idx="36">
                  <c:v>06/02/2026</c:v>
                </c:pt>
                <c:pt idx="37">
                  <c:v>07/02/2026</c:v>
                </c:pt>
                <c:pt idx="38">
                  <c:v>08/02/2026</c:v>
                </c:pt>
                <c:pt idx="39">
                  <c:v>09/02/2026</c:v>
                </c:pt>
                <c:pt idx="40">
                  <c:v>10/02/2026</c:v>
                </c:pt>
                <c:pt idx="41">
                  <c:v>11/02/2026</c:v>
                </c:pt>
                <c:pt idx="42">
                  <c:v>12/02/2026</c:v>
                </c:pt>
                <c:pt idx="43">
                  <c:v>13/02/2026</c:v>
                </c:pt>
                <c:pt idx="44">
                  <c:v>14/02/2026</c:v>
                </c:pt>
                <c:pt idx="45">
                  <c:v>15/02/2026</c:v>
                </c:pt>
                <c:pt idx="46">
                  <c:v>16/02/2026</c:v>
                </c:pt>
                <c:pt idx="47">
                  <c:v>17/02/2026</c:v>
                </c:pt>
                <c:pt idx="48">
                  <c:v>18/02/2026</c:v>
                </c:pt>
                <c:pt idx="49">
                  <c:v>19/02/2026</c:v>
                </c:pt>
                <c:pt idx="50">
                  <c:v>20/02/2026</c:v>
                </c:pt>
                <c:pt idx="51">
                  <c:v>21/02/2026</c:v>
                </c:pt>
                <c:pt idx="52">
                  <c:v>22/02/2026</c:v>
                </c:pt>
                <c:pt idx="53">
                  <c:v>23/02/2026</c:v>
                </c:pt>
                <c:pt idx="54">
                  <c:v>24/02/2026</c:v>
                </c:pt>
                <c:pt idx="55">
                  <c:v>25/02/2026</c:v>
                </c:pt>
                <c:pt idx="56">
                  <c:v>26/02/2026</c:v>
                </c:pt>
                <c:pt idx="57">
                  <c:v>27/02/2026</c:v>
                </c:pt>
                <c:pt idx="58">
                  <c:v>28/02/2026</c:v>
                </c:pt>
                <c:pt idx="59">
                  <c:v>01/03/2026</c:v>
                </c:pt>
                <c:pt idx="60">
                  <c:v>02/03/2026</c:v>
                </c:pt>
                <c:pt idx="61">
                  <c:v>03/03/2026</c:v>
                </c:pt>
                <c:pt idx="62">
                  <c:v>04/03/2026</c:v>
                </c:pt>
                <c:pt idx="63">
                  <c:v>05/03/2026</c:v>
                </c:pt>
                <c:pt idx="64">
                  <c:v>06/03/2026</c:v>
                </c:pt>
                <c:pt idx="65">
                  <c:v>07/03/2026</c:v>
                </c:pt>
                <c:pt idx="66">
                  <c:v>08/03/2026</c:v>
                </c:pt>
                <c:pt idx="67">
                  <c:v>09/03/2026</c:v>
                </c:pt>
                <c:pt idx="68">
                  <c:v>10/03/2026</c:v>
                </c:pt>
                <c:pt idx="69">
                  <c:v>11/03/2026</c:v>
                </c:pt>
                <c:pt idx="70">
                  <c:v>12/03/2026</c:v>
                </c:pt>
                <c:pt idx="71">
                  <c:v>13/03/2026</c:v>
                </c:pt>
                <c:pt idx="72">
                  <c:v>14/03/2026</c:v>
                </c:pt>
                <c:pt idx="73">
                  <c:v>15/03/2026</c:v>
                </c:pt>
                <c:pt idx="74">
                  <c:v>16/03/2026</c:v>
                </c:pt>
                <c:pt idx="75">
                  <c:v>17/03/2026</c:v>
                </c:pt>
                <c:pt idx="76">
                  <c:v>18/03/2026</c:v>
                </c:pt>
                <c:pt idx="77">
                  <c:v>19/03/2026</c:v>
                </c:pt>
                <c:pt idx="78">
                  <c:v>20/03/2026</c:v>
                </c:pt>
                <c:pt idx="79">
                  <c:v>21/03/2026</c:v>
                </c:pt>
                <c:pt idx="80">
                  <c:v>22/03/2026</c:v>
                </c:pt>
                <c:pt idx="81">
                  <c:v>23/03/2026</c:v>
                </c:pt>
                <c:pt idx="82">
                  <c:v>24/03/2026</c:v>
                </c:pt>
                <c:pt idx="83">
                  <c:v>25/03/2026</c:v>
                </c:pt>
                <c:pt idx="84">
                  <c:v>26/03/2026</c:v>
                </c:pt>
                <c:pt idx="85">
                  <c:v>27/03/2026</c:v>
                </c:pt>
                <c:pt idx="86">
                  <c:v>28/03/2026</c:v>
                </c:pt>
                <c:pt idx="87">
                  <c:v>29/03/2026</c:v>
                </c:pt>
                <c:pt idx="88">
                  <c:v>30/03/2026</c:v>
                </c:pt>
                <c:pt idx="89">
                  <c:v>31/03/2026</c:v>
                </c:pt>
              </c:strCache>
            </c:strRef>
          </c:cat>
          <c:val>
            <c:numRef>
              <c:f>PivotStage!$F$4:$F$94</c:f>
              <c:numCache>
                <c:formatCode>General</c:formatCode>
                <c:ptCount val="90"/>
                <c:pt idx="0">
                  <c:v>50</c:v>
                </c:pt>
                <c:pt idx="1">
                  <c:v>39</c:v>
                </c:pt>
                <c:pt idx="2">
                  <c:v>79</c:v>
                </c:pt>
                <c:pt idx="3">
                  <c:v>53</c:v>
                </c:pt>
                <c:pt idx="4">
                  <c:v>57</c:v>
                </c:pt>
                <c:pt idx="5">
                  <c:v>49</c:v>
                </c:pt>
                <c:pt idx="6">
                  <c:v>44</c:v>
                </c:pt>
                <c:pt idx="7">
                  <c:v>71</c:v>
                </c:pt>
                <c:pt idx="8">
                  <c:v>66</c:v>
                </c:pt>
                <c:pt idx="9">
                  <c:v>85</c:v>
                </c:pt>
                <c:pt idx="10">
                  <c:v>67</c:v>
                </c:pt>
                <c:pt idx="11">
                  <c:v>87</c:v>
                </c:pt>
                <c:pt idx="12">
                  <c:v>73</c:v>
                </c:pt>
                <c:pt idx="13">
                  <c:v>38</c:v>
                </c:pt>
                <c:pt idx="14">
                  <c:v>52</c:v>
                </c:pt>
                <c:pt idx="15">
                  <c:v>59</c:v>
                </c:pt>
                <c:pt idx="16">
                  <c:v>39</c:v>
                </c:pt>
                <c:pt idx="17">
                  <c:v>65</c:v>
                </c:pt>
                <c:pt idx="18">
                  <c:v>40</c:v>
                </c:pt>
                <c:pt idx="19">
                  <c:v>66</c:v>
                </c:pt>
                <c:pt idx="20">
                  <c:v>57</c:v>
                </c:pt>
                <c:pt idx="21">
                  <c:v>61</c:v>
                </c:pt>
                <c:pt idx="22">
                  <c:v>39</c:v>
                </c:pt>
                <c:pt idx="23">
                  <c:v>162</c:v>
                </c:pt>
                <c:pt idx="24">
                  <c:v>41</c:v>
                </c:pt>
                <c:pt idx="25">
                  <c:v>43</c:v>
                </c:pt>
                <c:pt idx="26">
                  <c:v>61</c:v>
                </c:pt>
                <c:pt idx="27">
                  <c:v>64</c:v>
                </c:pt>
                <c:pt idx="28">
                  <c:v>34</c:v>
                </c:pt>
                <c:pt idx="29">
                  <c:v>62</c:v>
                </c:pt>
                <c:pt idx="30">
                  <c:v>49</c:v>
                </c:pt>
                <c:pt idx="31">
                  <c:v>64</c:v>
                </c:pt>
                <c:pt idx="32">
                  <c:v>54</c:v>
                </c:pt>
                <c:pt idx="33">
                  <c:v>71</c:v>
                </c:pt>
                <c:pt idx="34">
                  <c:v>31</c:v>
                </c:pt>
                <c:pt idx="35">
                  <c:v>63</c:v>
                </c:pt>
                <c:pt idx="36">
                  <c:v>34</c:v>
                </c:pt>
                <c:pt idx="37">
                  <c:v>62</c:v>
                </c:pt>
                <c:pt idx="38">
                  <c:v>74</c:v>
                </c:pt>
                <c:pt idx="39">
                  <c:v>51</c:v>
                </c:pt>
                <c:pt idx="40">
                  <c:v>38</c:v>
                </c:pt>
                <c:pt idx="41">
                  <c:v>62</c:v>
                </c:pt>
                <c:pt idx="42">
                  <c:v>32</c:v>
                </c:pt>
                <c:pt idx="43">
                  <c:v>123</c:v>
                </c:pt>
                <c:pt idx="44">
                  <c:v>197</c:v>
                </c:pt>
                <c:pt idx="45">
                  <c:v>121</c:v>
                </c:pt>
                <c:pt idx="46">
                  <c:v>190</c:v>
                </c:pt>
                <c:pt idx="47">
                  <c:v>175</c:v>
                </c:pt>
                <c:pt idx="48">
                  <c:v>167</c:v>
                </c:pt>
                <c:pt idx="49">
                  <c:v>103</c:v>
                </c:pt>
                <c:pt idx="50">
                  <c:v>86</c:v>
                </c:pt>
                <c:pt idx="51">
                  <c:v>65</c:v>
                </c:pt>
                <c:pt idx="52">
                  <c:v>48</c:v>
                </c:pt>
                <c:pt idx="53">
                  <c:v>63</c:v>
                </c:pt>
                <c:pt idx="54">
                  <c:v>62</c:v>
                </c:pt>
                <c:pt idx="55">
                  <c:v>61</c:v>
                </c:pt>
                <c:pt idx="56">
                  <c:v>69</c:v>
                </c:pt>
                <c:pt idx="57">
                  <c:v>45</c:v>
                </c:pt>
                <c:pt idx="58">
                  <c:v>68</c:v>
                </c:pt>
                <c:pt idx="59">
                  <c:v>98</c:v>
                </c:pt>
                <c:pt idx="60">
                  <c:v>66</c:v>
                </c:pt>
                <c:pt idx="61">
                  <c:v>69</c:v>
                </c:pt>
                <c:pt idx="62">
                  <c:v>71</c:v>
                </c:pt>
                <c:pt idx="63">
                  <c:v>30</c:v>
                </c:pt>
                <c:pt idx="64">
                  <c:v>53</c:v>
                </c:pt>
                <c:pt idx="65">
                  <c:v>85</c:v>
                </c:pt>
                <c:pt idx="66">
                  <c:v>123</c:v>
                </c:pt>
                <c:pt idx="67">
                  <c:v>77</c:v>
                </c:pt>
                <c:pt idx="68">
                  <c:v>63</c:v>
                </c:pt>
                <c:pt idx="69">
                  <c:v>56</c:v>
                </c:pt>
                <c:pt idx="70">
                  <c:v>70</c:v>
                </c:pt>
                <c:pt idx="71">
                  <c:v>63</c:v>
                </c:pt>
                <c:pt idx="72">
                  <c:v>59</c:v>
                </c:pt>
                <c:pt idx="73">
                  <c:v>56</c:v>
                </c:pt>
                <c:pt idx="74">
                  <c:v>48</c:v>
                </c:pt>
                <c:pt idx="75">
                  <c:v>44</c:v>
                </c:pt>
                <c:pt idx="76">
                  <c:v>48</c:v>
                </c:pt>
                <c:pt idx="77">
                  <c:v>33</c:v>
                </c:pt>
                <c:pt idx="78">
                  <c:v>54</c:v>
                </c:pt>
                <c:pt idx="79">
                  <c:v>55</c:v>
                </c:pt>
                <c:pt idx="80">
                  <c:v>38</c:v>
                </c:pt>
                <c:pt idx="81">
                  <c:v>58</c:v>
                </c:pt>
                <c:pt idx="82">
                  <c:v>50</c:v>
                </c:pt>
                <c:pt idx="83">
                  <c:v>63</c:v>
                </c:pt>
                <c:pt idx="84">
                  <c:v>37</c:v>
                </c:pt>
                <c:pt idx="85">
                  <c:v>41</c:v>
                </c:pt>
                <c:pt idx="86">
                  <c:v>209</c:v>
                </c:pt>
                <c:pt idx="87">
                  <c:v>44</c:v>
                </c:pt>
                <c:pt idx="88">
                  <c:v>36</c:v>
                </c:pt>
                <c:pt idx="8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20-4036-90EB-39C15741921C}"/>
            </c:ext>
          </c:extLst>
        </c:ser>
        <c:ser>
          <c:idx val="1"/>
          <c:order val="1"/>
          <c:tx>
            <c:strRef>
              <c:f>PivotStage!$G$2:$G$3</c:f>
              <c:strCache>
                <c:ptCount val="1"/>
                <c:pt idx="0">
                  <c:v>Likes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PivotStage!$E$4:$E$94</c:f>
              <c:strCache>
                <c:ptCount val="90"/>
                <c:pt idx="0">
                  <c:v>24/04/2026</c:v>
                </c:pt>
                <c:pt idx="1">
                  <c:v>25/04/2026</c:v>
                </c:pt>
                <c:pt idx="2">
                  <c:v>26/04/2026</c:v>
                </c:pt>
                <c:pt idx="3">
                  <c:v>27/04/2026</c:v>
                </c:pt>
                <c:pt idx="4">
                  <c:v>28/04/2026</c:v>
                </c:pt>
                <c:pt idx="5">
                  <c:v>29/04/2026</c:v>
                </c:pt>
                <c:pt idx="6">
                  <c:v>30/04/2026</c:v>
                </c:pt>
                <c:pt idx="7">
                  <c:v>01/04/2026</c:v>
                </c:pt>
                <c:pt idx="8">
                  <c:v>02/04/2026</c:v>
                </c:pt>
                <c:pt idx="9">
                  <c:v>03/04/2026</c:v>
                </c:pt>
                <c:pt idx="10">
                  <c:v>04/04/2026</c:v>
                </c:pt>
                <c:pt idx="11">
                  <c:v>05/04/2026</c:v>
                </c:pt>
                <c:pt idx="12">
                  <c:v>06/04/2026</c:v>
                </c:pt>
                <c:pt idx="13">
                  <c:v>07/04/2026</c:v>
                </c:pt>
                <c:pt idx="14">
                  <c:v>08/04/2026</c:v>
                </c:pt>
                <c:pt idx="15">
                  <c:v>09/04/2026</c:v>
                </c:pt>
                <c:pt idx="16">
                  <c:v>10/04/2026</c:v>
                </c:pt>
                <c:pt idx="17">
                  <c:v>11/04/2026</c:v>
                </c:pt>
                <c:pt idx="18">
                  <c:v>12/04/2026</c:v>
                </c:pt>
                <c:pt idx="19">
                  <c:v>13/04/2026</c:v>
                </c:pt>
                <c:pt idx="20">
                  <c:v>14/04/2026</c:v>
                </c:pt>
                <c:pt idx="21">
                  <c:v>15/04/2026</c:v>
                </c:pt>
                <c:pt idx="22">
                  <c:v>16/04/2026</c:v>
                </c:pt>
                <c:pt idx="23">
                  <c:v>17/04/2026</c:v>
                </c:pt>
                <c:pt idx="24">
                  <c:v>18/04/2026</c:v>
                </c:pt>
                <c:pt idx="25">
                  <c:v>19/04/2026</c:v>
                </c:pt>
                <c:pt idx="26">
                  <c:v>20/04/2026</c:v>
                </c:pt>
                <c:pt idx="27">
                  <c:v>21/04/2026</c:v>
                </c:pt>
                <c:pt idx="28">
                  <c:v>22/04/2026</c:v>
                </c:pt>
                <c:pt idx="29">
                  <c:v>23/04/2026</c:v>
                </c:pt>
                <c:pt idx="30">
                  <c:v>31/01/2026</c:v>
                </c:pt>
                <c:pt idx="31">
                  <c:v>01/02/2026</c:v>
                </c:pt>
                <c:pt idx="32">
                  <c:v>02/02/2026</c:v>
                </c:pt>
                <c:pt idx="33">
                  <c:v>03/02/2026</c:v>
                </c:pt>
                <c:pt idx="34">
                  <c:v>04/02/2026</c:v>
                </c:pt>
                <c:pt idx="35">
                  <c:v>05/02/2026</c:v>
                </c:pt>
                <c:pt idx="36">
                  <c:v>06/02/2026</c:v>
                </c:pt>
                <c:pt idx="37">
                  <c:v>07/02/2026</c:v>
                </c:pt>
                <c:pt idx="38">
                  <c:v>08/02/2026</c:v>
                </c:pt>
                <c:pt idx="39">
                  <c:v>09/02/2026</c:v>
                </c:pt>
                <c:pt idx="40">
                  <c:v>10/02/2026</c:v>
                </c:pt>
                <c:pt idx="41">
                  <c:v>11/02/2026</c:v>
                </c:pt>
                <c:pt idx="42">
                  <c:v>12/02/2026</c:v>
                </c:pt>
                <c:pt idx="43">
                  <c:v>13/02/2026</c:v>
                </c:pt>
                <c:pt idx="44">
                  <c:v>14/02/2026</c:v>
                </c:pt>
                <c:pt idx="45">
                  <c:v>15/02/2026</c:v>
                </c:pt>
                <c:pt idx="46">
                  <c:v>16/02/2026</c:v>
                </c:pt>
                <c:pt idx="47">
                  <c:v>17/02/2026</c:v>
                </c:pt>
                <c:pt idx="48">
                  <c:v>18/02/2026</c:v>
                </c:pt>
                <c:pt idx="49">
                  <c:v>19/02/2026</c:v>
                </c:pt>
                <c:pt idx="50">
                  <c:v>20/02/2026</c:v>
                </c:pt>
                <c:pt idx="51">
                  <c:v>21/02/2026</c:v>
                </c:pt>
                <c:pt idx="52">
                  <c:v>22/02/2026</c:v>
                </c:pt>
                <c:pt idx="53">
                  <c:v>23/02/2026</c:v>
                </c:pt>
                <c:pt idx="54">
                  <c:v>24/02/2026</c:v>
                </c:pt>
                <c:pt idx="55">
                  <c:v>25/02/2026</c:v>
                </c:pt>
                <c:pt idx="56">
                  <c:v>26/02/2026</c:v>
                </c:pt>
                <c:pt idx="57">
                  <c:v>27/02/2026</c:v>
                </c:pt>
                <c:pt idx="58">
                  <c:v>28/02/2026</c:v>
                </c:pt>
                <c:pt idx="59">
                  <c:v>01/03/2026</c:v>
                </c:pt>
                <c:pt idx="60">
                  <c:v>02/03/2026</c:v>
                </c:pt>
                <c:pt idx="61">
                  <c:v>03/03/2026</c:v>
                </c:pt>
                <c:pt idx="62">
                  <c:v>04/03/2026</c:v>
                </c:pt>
                <c:pt idx="63">
                  <c:v>05/03/2026</c:v>
                </c:pt>
                <c:pt idx="64">
                  <c:v>06/03/2026</c:v>
                </c:pt>
                <c:pt idx="65">
                  <c:v>07/03/2026</c:v>
                </c:pt>
                <c:pt idx="66">
                  <c:v>08/03/2026</c:v>
                </c:pt>
                <c:pt idx="67">
                  <c:v>09/03/2026</c:v>
                </c:pt>
                <c:pt idx="68">
                  <c:v>10/03/2026</c:v>
                </c:pt>
                <c:pt idx="69">
                  <c:v>11/03/2026</c:v>
                </c:pt>
                <c:pt idx="70">
                  <c:v>12/03/2026</c:v>
                </c:pt>
                <c:pt idx="71">
                  <c:v>13/03/2026</c:v>
                </c:pt>
                <c:pt idx="72">
                  <c:v>14/03/2026</c:v>
                </c:pt>
                <c:pt idx="73">
                  <c:v>15/03/2026</c:v>
                </c:pt>
                <c:pt idx="74">
                  <c:v>16/03/2026</c:v>
                </c:pt>
                <c:pt idx="75">
                  <c:v>17/03/2026</c:v>
                </c:pt>
                <c:pt idx="76">
                  <c:v>18/03/2026</c:v>
                </c:pt>
                <c:pt idx="77">
                  <c:v>19/03/2026</c:v>
                </c:pt>
                <c:pt idx="78">
                  <c:v>20/03/2026</c:v>
                </c:pt>
                <c:pt idx="79">
                  <c:v>21/03/2026</c:v>
                </c:pt>
                <c:pt idx="80">
                  <c:v>22/03/2026</c:v>
                </c:pt>
                <c:pt idx="81">
                  <c:v>23/03/2026</c:v>
                </c:pt>
                <c:pt idx="82">
                  <c:v>24/03/2026</c:v>
                </c:pt>
                <c:pt idx="83">
                  <c:v>25/03/2026</c:v>
                </c:pt>
                <c:pt idx="84">
                  <c:v>26/03/2026</c:v>
                </c:pt>
                <c:pt idx="85">
                  <c:v>27/03/2026</c:v>
                </c:pt>
                <c:pt idx="86">
                  <c:v>28/03/2026</c:v>
                </c:pt>
                <c:pt idx="87">
                  <c:v>29/03/2026</c:v>
                </c:pt>
                <c:pt idx="88">
                  <c:v>30/03/2026</c:v>
                </c:pt>
                <c:pt idx="89">
                  <c:v>31/03/2026</c:v>
                </c:pt>
              </c:strCache>
            </c:strRef>
          </c:cat>
          <c:val>
            <c:numRef>
              <c:f>PivotStage!$G$4:$G$94</c:f>
              <c:numCache>
                <c:formatCode>General</c:formatCode>
                <c:ptCount val="90"/>
                <c:pt idx="0">
                  <c:v>27</c:v>
                </c:pt>
                <c:pt idx="1">
                  <c:v>28</c:v>
                </c:pt>
                <c:pt idx="2">
                  <c:v>26</c:v>
                </c:pt>
                <c:pt idx="3">
                  <c:v>23</c:v>
                </c:pt>
                <c:pt idx="4">
                  <c:v>19</c:v>
                </c:pt>
                <c:pt idx="5">
                  <c:v>26</c:v>
                </c:pt>
                <c:pt idx="6">
                  <c:v>15</c:v>
                </c:pt>
                <c:pt idx="7">
                  <c:v>19</c:v>
                </c:pt>
                <c:pt idx="8">
                  <c:v>16</c:v>
                </c:pt>
                <c:pt idx="9">
                  <c:v>30</c:v>
                </c:pt>
                <c:pt idx="10">
                  <c:v>41</c:v>
                </c:pt>
                <c:pt idx="11">
                  <c:v>41</c:v>
                </c:pt>
                <c:pt idx="12">
                  <c:v>26</c:v>
                </c:pt>
                <c:pt idx="13">
                  <c:v>22</c:v>
                </c:pt>
                <c:pt idx="14">
                  <c:v>21</c:v>
                </c:pt>
                <c:pt idx="15">
                  <c:v>23</c:v>
                </c:pt>
                <c:pt idx="16">
                  <c:v>26</c:v>
                </c:pt>
                <c:pt idx="17">
                  <c:v>30</c:v>
                </c:pt>
                <c:pt idx="18">
                  <c:v>21</c:v>
                </c:pt>
                <c:pt idx="19">
                  <c:v>34</c:v>
                </c:pt>
                <c:pt idx="20">
                  <c:v>19</c:v>
                </c:pt>
                <c:pt idx="21">
                  <c:v>25</c:v>
                </c:pt>
                <c:pt idx="22">
                  <c:v>28</c:v>
                </c:pt>
                <c:pt idx="23">
                  <c:v>66</c:v>
                </c:pt>
                <c:pt idx="24">
                  <c:v>32</c:v>
                </c:pt>
                <c:pt idx="25">
                  <c:v>34</c:v>
                </c:pt>
                <c:pt idx="26">
                  <c:v>37</c:v>
                </c:pt>
                <c:pt idx="27">
                  <c:v>31</c:v>
                </c:pt>
                <c:pt idx="28">
                  <c:v>17</c:v>
                </c:pt>
                <c:pt idx="29">
                  <c:v>15</c:v>
                </c:pt>
                <c:pt idx="30">
                  <c:v>44</c:v>
                </c:pt>
                <c:pt idx="31">
                  <c:v>35</c:v>
                </c:pt>
                <c:pt idx="32">
                  <c:v>26</c:v>
                </c:pt>
                <c:pt idx="33">
                  <c:v>17</c:v>
                </c:pt>
                <c:pt idx="34">
                  <c:v>30</c:v>
                </c:pt>
                <c:pt idx="35">
                  <c:v>29</c:v>
                </c:pt>
                <c:pt idx="36">
                  <c:v>30</c:v>
                </c:pt>
                <c:pt idx="37">
                  <c:v>32</c:v>
                </c:pt>
                <c:pt idx="38">
                  <c:v>48</c:v>
                </c:pt>
                <c:pt idx="39">
                  <c:v>22</c:v>
                </c:pt>
                <c:pt idx="40">
                  <c:v>23</c:v>
                </c:pt>
                <c:pt idx="41">
                  <c:v>30</c:v>
                </c:pt>
                <c:pt idx="42">
                  <c:v>23</c:v>
                </c:pt>
                <c:pt idx="43">
                  <c:v>33</c:v>
                </c:pt>
                <c:pt idx="44">
                  <c:v>59</c:v>
                </c:pt>
                <c:pt idx="45">
                  <c:v>65</c:v>
                </c:pt>
                <c:pt idx="46">
                  <c:v>76</c:v>
                </c:pt>
                <c:pt idx="47">
                  <c:v>55</c:v>
                </c:pt>
                <c:pt idx="48">
                  <c:v>90</c:v>
                </c:pt>
                <c:pt idx="49">
                  <c:v>68</c:v>
                </c:pt>
                <c:pt idx="50">
                  <c:v>58</c:v>
                </c:pt>
                <c:pt idx="51">
                  <c:v>24</c:v>
                </c:pt>
                <c:pt idx="52">
                  <c:v>20</c:v>
                </c:pt>
                <c:pt idx="53">
                  <c:v>19</c:v>
                </c:pt>
                <c:pt idx="54">
                  <c:v>25</c:v>
                </c:pt>
                <c:pt idx="55">
                  <c:v>18</c:v>
                </c:pt>
                <c:pt idx="56">
                  <c:v>22</c:v>
                </c:pt>
                <c:pt idx="57">
                  <c:v>16</c:v>
                </c:pt>
                <c:pt idx="58">
                  <c:v>40</c:v>
                </c:pt>
                <c:pt idx="59">
                  <c:v>43</c:v>
                </c:pt>
                <c:pt idx="60">
                  <c:v>27</c:v>
                </c:pt>
                <c:pt idx="61">
                  <c:v>18</c:v>
                </c:pt>
                <c:pt idx="62">
                  <c:v>31</c:v>
                </c:pt>
                <c:pt idx="63">
                  <c:v>27</c:v>
                </c:pt>
                <c:pt idx="64">
                  <c:v>26</c:v>
                </c:pt>
                <c:pt idx="65">
                  <c:v>49</c:v>
                </c:pt>
                <c:pt idx="66">
                  <c:v>44</c:v>
                </c:pt>
                <c:pt idx="67">
                  <c:v>30</c:v>
                </c:pt>
                <c:pt idx="68">
                  <c:v>23</c:v>
                </c:pt>
                <c:pt idx="69">
                  <c:v>19</c:v>
                </c:pt>
                <c:pt idx="70">
                  <c:v>25</c:v>
                </c:pt>
                <c:pt idx="71">
                  <c:v>31</c:v>
                </c:pt>
                <c:pt idx="72">
                  <c:v>37</c:v>
                </c:pt>
                <c:pt idx="73">
                  <c:v>28</c:v>
                </c:pt>
                <c:pt idx="74">
                  <c:v>30</c:v>
                </c:pt>
                <c:pt idx="75">
                  <c:v>24</c:v>
                </c:pt>
                <c:pt idx="76">
                  <c:v>30</c:v>
                </c:pt>
                <c:pt idx="77">
                  <c:v>20</c:v>
                </c:pt>
                <c:pt idx="78">
                  <c:v>30</c:v>
                </c:pt>
                <c:pt idx="79">
                  <c:v>25</c:v>
                </c:pt>
                <c:pt idx="80">
                  <c:v>33</c:v>
                </c:pt>
                <c:pt idx="81">
                  <c:v>31</c:v>
                </c:pt>
                <c:pt idx="82">
                  <c:v>30</c:v>
                </c:pt>
                <c:pt idx="83">
                  <c:v>21</c:v>
                </c:pt>
                <c:pt idx="84">
                  <c:v>21</c:v>
                </c:pt>
                <c:pt idx="85">
                  <c:v>23</c:v>
                </c:pt>
                <c:pt idx="86">
                  <c:v>77</c:v>
                </c:pt>
                <c:pt idx="87">
                  <c:v>19</c:v>
                </c:pt>
                <c:pt idx="88">
                  <c:v>29</c:v>
                </c:pt>
                <c:pt idx="8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EB20-4036-90EB-39C15741921C}"/>
            </c:ext>
          </c:extLst>
        </c:ser>
        <c:ser>
          <c:idx val="2"/>
          <c:order val="2"/>
          <c:tx>
            <c:strRef>
              <c:f>PivotStage!$H$2:$H$3</c:f>
              <c:strCache>
                <c:ptCount val="1"/>
                <c:pt idx="0">
                  <c:v>Shares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PivotStage!$E$4:$E$94</c:f>
              <c:strCache>
                <c:ptCount val="90"/>
                <c:pt idx="0">
                  <c:v>24/04/2026</c:v>
                </c:pt>
                <c:pt idx="1">
                  <c:v>25/04/2026</c:v>
                </c:pt>
                <c:pt idx="2">
                  <c:v>26/04/2026</c:v>
                </c:pt>
                <c:pt idx="3">
                  <c:v>27/04/2026</c:v>
                </c:pt>
                <c:pt idx="4">
                  <c:v>28/04/2026</c:v>
                </c:pt>
                <c:pt idx="5">
                  <c:v>29/04/2026</c:v>
                </c:pt>
                <c:pt idx="6">
                  <c:v>30/04/2026</c:v>
                </c:pt>
                <c:pt idx="7">
                  <c:v>01/04/2026</c:v>
                </c:pt>
                <c:pt idx="8">
                  <c:v>02/04/2026</c:v>
                </c:pt>
                <c:pt idx="9">
                  <c:v>03/04/2026</c:v>
                </c:pt>
                <c:pt idx="10">
                  <c:v>04/04/2026</c:v>
                </c:pt>
                <c:pt idx="11">
                  <c:v>05/04/2026</c:v>
                </c:pt>
                <c:pt idx="12">
                  <c:v>06/04/2026</c:v>
                </c:pt>
                <c:pt idx="13">
                  <c:v>07/04/2026</c:v>
                </c:pt>
                <c:pt idx="14">
                  <c:v>08/04/2026</c:v>
                </c:pt>
                <c:pt idx="15">
                  <c:v>09/04/2026</c:v>
                </c:pt>
                <c:pt idx="16">
                  <c:v>10/04/2026</c:v>
                </c:pt>
                <c:pt idx="17">
                  <c:v>11/04/2026</c:v>
                </c:pt>
                <c:pt idx="18">
                  <c:v>12/04/2026</c:v>
                </c:pt>
                <c:pt idx="19">
                  <c:v>13/04/2026</c:v>
                </c:pt>
                <c:pt idx="20">
                  <c:v>14/04/2026</c:v>
                </c:pt>
                <c:pt idx="21">
                  <c:v>15/04/2026</c:v>
                </c:pt>
                <c:pt idx="22">
                  <c:v>16/04/2026</c:v>
                </c:pt>
                <c:pt idx="23">
                  <c:v>17/04/2026</c:v>
                </c:pt>
                <c:pt idx="24">
                  <c:v>18/04/2026</c:v>
                </c:pt>
                <c:pt idx="25">
                  <c:v>19/04/2026</c:v>
                </c:pt>
                <c:pt idx="26">
                  <c:v>20/04/2026</c:v>
                </c:pt>
                <c:pt idx="27">
                  <c:v>21/04/2026</c:v>
                </c:pt>
                <c:pt idx="28">
                  <c:v>22/04/2026</c:v>
                </c:pt>
                <c:pt idx="29">
                  <c:v>23/04/2026</c:v>
                </c:pt>
                <c:pt idx="30">
                  <c:v>31/01/2026</c:v>
                </c:pt>
                <c:pt idx="31">
                  <c:v>01/02/2026</c:v>
                </c:pt>
                <c:pt idx="32">
                  <c:v>02/02/2026</c:v>
                </c:pt>
                <c:pt idx="33">
                  <c:v>03/02/2026</c:v>
                </c:pt>
                <c:pt idx="34">
                  <c:v>04/02/2026</c:v>
                </c:pt>
                <c:pt idx="35">
                  <c:v>05/02/2026</c:v>
                </c:pt>
                <c:pt idx="36">
                  <c:v>06/02/2026</c:v>
                </c:pt>
                <c:pt idx="37">
                  <c:v>07/02/2026</c:v>
                </c:pt>
                <c:pt idx="38">
                  <c:v>08/02/2026</c:v>
                </c:pt>
                <c:pt idx="39">
                  <c:v>09/02/2026</c:v>
                </c:pt>
                <c:pt idx="40">
                  <c:v>10/02/2026</c:v>
                </c:pt>
                <c:pt idx="41">
                  <c:v>11/02/2026</c:v>
                </c:pt>
                <c:pt idx="42">
                  <c:v>12/02/2026</c:v>
                </c:pt>
                <c:pt idx="43">
                  <c:v>13/02/2026</c:v>
                </c:pt>
                <c:pt idx="44">
                  <c:v>14/02/2026</c:v>
                </c:pt>
                <c:pt idx="45">
                  <c:v>15/02/2026</c:v>
                </c:pt>
                <c:pt idx="46">
                  <c:v>16/02/2026</c:v>
                </c:pt>
                <c:pt idx="47">
                  <c:v>17/02/2026</c:v>
                </c:pt>
                <c:pt idx="48">
                  <c:v>18/02/2026</c:v>
                </c:pt>
                <c:pt idx="49">
                  <c:v>19/02/2026</c:v>
                </c:pt>
                <c:pt idx="50">
                  <c:v>20/02/2026</c:v>
                </c:pt>
                <c:pt idx="51">
                  <c:v>21/02/2026</c:v>
                </c:pt>
                <c:pt idx="52">
                  <c:v>22/02/2026</c:v>
                </c:pt>
                <c:pt idx="53">
                  <c:v>23/02/2026</c:v>
                </c:pt>
                <c:pt idx="54">
                  <c:v>24/02/2026</c:v>
                </c:pt>
                <c:pt idx="55">
                  <c:v>25/02/2026</c:v>
                </c:pt>
                <c:pt idx="56">
                  <c:v>26/02/2026</c:v>
                </c:pt>
                <c:pt idx="57">
                  <c:v>27/02/2026</c:v>
                </c:pt>
                <c:pt idx="58">
                  <c:v>28/02/2026</c:v>
                </c:pt>
                <c:pt idx="59">
                  <c:v>01/03/2026</c:v>
                </c:pt>
                <c:pt idx="60">
                  <c:v>02/03/2026</c:v>
                </c:pt>
                <c:pt idx="61">
                  <c:v>03/03/2026</c:v>
                </c:pt>
                <c:pt idx="62">
                  <c:v>04/03/2026</c:v>
                </c:pt>
                <c:pt idx="63">
                  <c:v>05/03/2026</c:v>
                </c:pt>
                <c:pt idx="64">
                  <c:v>06/03/2026</c:v>
                </c:pt>
                <c:pt idx="65">
                  <c:v>07/03/2026</c:v>
                </c:pt>
                <c:pt idx="66">
                  <c:v>08/03/2026</c:v>
                </c:pt>
                <c:pt idx="67">
                  <c:v>09/03/2026</c:v>
                </c:pt>
                <c:pt idx="68">
                  <c:v>10/03/2026</c:v>
                </c:pt>
                <c:pt idx="69">
                  <c:v>11/03/2026</c:v>
                </c:pt>
                <c:pt idx="70">
                  <c:v>12/03/2026</c:v>
                </c:pt>
                <c:pt idx="71">
                  <c:v>13/03/2026</c:v>
                </c:pt>
                <c:pt idx="72">
                  <c:v>14/03/2026</c:v>
                </c:pt>
                <c:pt idx="73">
                  <c:v>15/03/2026</c:v>
                </c:pt>
                <c:pt idx="74">
                  <c:v>16/03/2026</c:v>
                </c:pt>
                <c:pt idx="75">
                  <c:v>17/03/2026</c:v>
                </c:pt>
                <c:pt idx="76">
                  <c:v>18/03/2026</c:v>
                </c:pt>
                <c:pt idx="77">
                  <c:v>19/03/2026</c:v>
                </c:pt>
                <c:pt idx="78">
                  <c:v>20/03/2026</c:v>
                </c:pt>
                <c:pt idx="79">
                  <c:v>21/03/2026</c:v>
                </c:pt>
                <c:pt idx="80">
                  <c:v>22/03/2026</c:v>
                </c:pt>
                <c:pt idx="81">
                  <c:v>23/03/2026</c:v>
                </c:pt>
                <c:pt idx="82">
                  <c:v>24/03/2026</c:v>
                </c:pt>
                <c:pt idx="83">
                  <c:v>25/03/2026</c:v>
                </c:pt>
                <c:pt idx="84">
                  <c:v>26/03/2026</c:v>
                </c:pt>
                <c:pt idx="85">
                  <c:v>27/03/2026</c:v>
                </c:pt>
                <c:pt idx="86">
                  <c:v>28/03/2026</c:v>
                </c:pt>
                <c:pt idx="87">
                  <c:v>29/03/2026</c:v>
                </c:pt>
                <c:pt idx="88">
                  <c:v>30/03/2026</c:v>
                </c:pt>
                <c:pt idx="89">
                  <c:v>31/03/2026</c:v>
                </c:pt>
              </c:strCache>
            </c:strRef>
          </c:cat>
          <c:val>
            <c:numRef>
              <c:f>PivotStage!$H$4:$H$94</c:f>
              <c:numCache>
                <c:formatCode>General</c:formatCode>
                <c:ptCount val="90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7</c:v>
                </c:pt>
                <c:pt idx="12">
                  <c:v>3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8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4</c:v>
                </c:pt>
                <c:pt idx="32">
                  <c:v>2</c:v>
                </c:pt>
                <c:pt idx="33">
                  <c:v>2</c:v>
                </c:pt>
                <c:pt idx="34">
                  <c:v>5</c:v>
                </c:pt>
                <c:pt idx="35">
                  <c:v>3</c:v>
                </c:pt>
                <c:pt idx="36">
                  <c:v>5</c:v>
                </c:pt>
                <c:pt idx="37">
                  <c:v>5</c:v>
                </c:pt>
                <c:pt idx="38">
                  <c:v>6</c:v>
                </c:pt>
                <c:pt idx="39">
                  <c:v>4</c:v>
                </c:pt>
                <c:pt idx="40">
                  <c:v>2</c:v>
                </c:pt>
                <c:pt idx="41">
                  <c:v>4</c:v>
                </c:pt>
                <c:pt idx="42">
                  <c:v>2</c:v>
                </c:pt>
                <c:pt idx="43">
                  <c:v>4</c:v>
                </c:pt>
                <c:pt idx="44">
                  <c:v>8</c:v>
                </c:pt>
                <c:pt idx="45">
                  <c:v>8</c:v>
                </c:pt>
                <c:pt idx="46">
                  <c:v>9</c:v>
                </c:pt>
                <c:pt idx="47">
                  <c:v>6</c:v>
                </c:pt>
                <c:pt idx="48">
                  <c:v>13</c:v>
                </c:pt>
                <c:pt idx="49">
                  <c:v>11</c:v>
                </c:pt>
                <c:pt idx="50">
                  <c:v>6</c:v>
                </c:pt>
                <c:pt idx="51">
                  <c:v>4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4</c:v>
                </c:pt>
                <c:pt idx="59">
                  <c:v>5</c:v>
                </c:pt>
                <c:pt idx="60">
                  <c:v>3</c:v>
                </c:pt>
                <c:pt idx="61">
                  <c:v>2</c:v>
                </c:pt>
                <c:pt idx="62">
                  <c:v>3</c:v>
                </c:pt>
                <c:pt idx="63">
                  <c:v>3</c:v>
                </c:pt>
                <c:pt idx="64">
                  <c:v>2</c:v>
                </c:pt>
                <c:pt idx="65">
                  <c:v>7</c:v>
                </c:pt>
                <c:pt idx="66">
                  <c:v>4</c:v>
                </c:pt>
                <c:pt idx="67">
                  <c:v>3</c:v>
                </c:pt>
                <c:pt idx="68">
                  <c:v>4</c:v>
                </c:pt>
                <c:pt idx="69">
                  <c:v>2</c:v>
                </c:pt>
                <c:pt idx="70">
                  <c:v>3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3</c:v>
                </c:pt>
                <c:pt idx="76">
                  <c:v>4</c:v>
                </c:pt>
                <c:pt idx="77">
                  <c:v>2</c:v>
                </c:pt>
                <c:pt idx="78">
                  <c:v>4</c:v>
                </c:pt>
                <c:pt idx="79">
                  <c:v>2</c:v>
                </c:pt>
                <c:pt idx="80">
                  <c:v>5</c:v>
                </c:pt>
                <c:pt idx="81">
                  <c:v>5</c:v>
                </c:pt>
                <c:pt idx="82">
                  <c:v>4</c:v>
                </c:pt>
                <c:pt idx="83">
                  <c:v>3</c:v>
                </c:pt>
                <c:pt idx="84">
                  <c:v>2</c:v>
                </c:pt>
                <c:pt idx="85">
                  <c:v>4</c:v>
                </c:pt>
                <c:pt idx="86">
                  <c:v>6</c:v>
                </c:pt>
                <c:pt idx="87">
                  <c:v>2</c:v>
                </c:pt>
                <c:pt idx="88">
                  <c:v>5</c:v>
                </c:pt>
                <c:pt idx="8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EB20-4036-90EB-39C157419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806544"/>
        <c:axId val="253790224"/>
      </c:lineChart>
      <c:catAx>
        <c:axId val="253806544"/>
        <c:scaling>
          <c:orientation val="minMax"/>
        </c:scaling>
        <c:delete val="0"/>
        <c:axPos val="b"/>
        <c:numFmt formatCode="dd/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3790224"/>
        <c:crosses val="autoZero"/>
        <c:auto val="1"/>
        <c:lblAlgn val="ctr"/>
        <c:lblOffset val="100"/>
        <c:noMultiLvlLbl val="0"/>
      </c:catAx>
      <c:valAx>
        <c:axId val="25379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538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A2B4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'Main Performance'!$A$3:$A$301</c:f>
              <c:numCache>
                <c:formatCode>yyyy\-mm\-dd</c:formatCode>
                <c:ptCount val="299"/>
                <c:pt idx="0">
                  <c:v>46053</c:v>
                </c:pt>
                <c:pt idx="1">
                  <c:v>46054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46060</c:v>
                </c:pt>
                <c:pt idx="8">
                  <c:v>46061</c:v>
                </c:pt>
                <c:pt idx="9">
                  <c:v>46062</c:v>
                </c:pt>
                <c:pt idx="10">
                  <c:v>46063</c:v>
                </c:pt>
                <c:pt idx="11">
                  <c:v>46064</c:v>
                </c:pt>
                <c:pt idx="12">
                  <c:v>46065</c:v>
                </c:pt>
                <c:pt idx="13">
                  <c:v>46066</c:v>
                </c:pt>
                <c:pt idx="14">
                  <c:v>46067</c:v>
                </c:pt>
                <c:pt idx="15">
                  <c:v>46068</c:v>
                </c:pt>
                <c:pt idx="16">
                  <c:v>46069</c:v>
                </c:pt>
                <c:pt idx="17">
                  <c:v>46070</c:v>
                </c:pt>
                <c:pt idx="18">
                  <c:v>46071</c:v>
                </c:pt>
                <c:pt idx="19">
                  <c:v>46072</c:v>
                </c:pt>
                <c:pt idx="20">
                  <c:v>46073</c:v>
                </c:pt>
                <c:pt idx="21">
                  <c:v>46074</c:v>
                </c:pt>
                <c:pt idx="22">
                  <c:v>46075</c:v>
                </c:pt>
                <c:pt idx="23">
                  <c:v>46076</c:v>
                </c:pt>
                <c:pt idx="24">
                  <c:v>46077</c:v>
                </c:pt>
                <c:pt idx="25">
                  <c:v>46078</c:v>
                </c:pt>
                <c:pt idx="26">
                  <c:v>46079</c:v>
                </c:pt>
                <c:pt idx="27">
                  <c:v>46080</c:v>
                </c:pt>
                <c:pt idx="28">
                  <c:v>46081</c:v>
                </c:pt>
                <c:pt idx="29">
                  <c:v>46082</c:v>
                </c:pt>
                <c:pt idx="30">
                  <c:v>46083</c:v>
                </c:pt>
                <c:pt idx="31">
                  <c:v>46084</c:v>
                </c:pt>
                <c:pt idx="32">
                  <c:v>46085</c:v>
                </c:pt>
                <c:pt idx="33">
                  <c:v>46086</c:v>
                </c:pt>
                <c:pt idx="34">
                  <c:v>46087</c:v>
                </c:pt>
                <c:pt idx="35">
                  <c:v>46088</c:v>
                </c:pt>
                <c:pt idx="36">
                  <c:v>46089</c:v>
                </c:pt>
                <c:pt idx="37">
                  <c:v>46090</c:v>
                </c:pt>
                <c:pt idx="38">
                  <c:v>46091</c:v>
                </c:pt>
                <c:pt idx="39">
                  <c:v>46092</c:v>
                </c:pt>
                <c:pt idx="40">
                  <c:v>46093</c:v>
                </c:pt>
                <c:pt idx="41">
                  <c:v>46094</c:v>
                </c:pt>
                <c:pt idx="42">
                  <c:v>46095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46102</c:v>
                </c:pt>
                <c:pt idx="50">
                  <c:v>46103</c:v>
                </c:pt>
                <c:pt idx="51">
                  <c:v>46104</c:v>
                </c:pt>
                <c:pt idx="52">
                  <c:v>46105</c:v>
                </c:pt>
                <c:pt idx="53">
                  <c:v>46106</c:v>
                </c:pt>
                <c:pt idx="54">
                  <c:v>46107</c:v>
                </c:pt>
                <c:pt idx="55">
                  <c:v>46108</c:v>
                </c:pt>
                <c:pt idx="56">
                  <c:v>46109</c:v>
                </c:pt>
                <c:pt idx="57">
                  <c:v>46110</c:v>
                </c:pt>
                <c:pt idx="58">
                  <c:v>46111</c:v>
                </c:pt>
                <c:pt idx="59">
                  <c:v>46112</c:v>
                </c:pt>
                <c:pt idx="60">
                  <c:v>46113</c:v>
                </c:pt>
                <c:pt idx="61">
                  <c:v>46114</c:v>
                </c:pt>
                <c:pt idx="62">
                  <c:v>46115</c:v>
                </c:pt>
                <c:pt idx="63">
                  <c:v>46116</c:v>
                </c:pt>
                <c:pt idx="64">
                  <c:v>46117</c:v>
                </c:pt>
                <c:pt idx="65">
                  <c:v>46118</c:v>
                </c:pt>
                <c:pt idx="66">
                  <c:v>46119</c:v>
                </c:pt>
                <c:pt idx="67">
                  <c:v>46120</c:v>
                </c:pt>
                <c:pt idx="68">
                  <c:v>46121</c:v>
                </c:pt>
                <c:pt idx="69">
                  <c:v>46122</c:v>
                </c:pt>
                <c:pt idx="70">
                  <c:v>46123</c:v>
                </c:pt>
                <c:pt idx="71">
                  <c:v>46124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46130</c:v>
                </c:pt>
                <c:pt idx="78">
                  <c:v>46131</c:v>
                </c:pt>
                <c:pt idx="79">
                  <c:v>46132</c:v>
                </c:pt>
                <c:pt idx="80">
                  <c:v>46133</c:v>
                </c:pt>
                <c:pt idx="81">
                  <c:v>46134</c:v>
                </c:pt>
                <c:pt idx="82">
                  <c:v>46135</c:v>
                </c:pt>
                <c:pt idx="83">
                  <c:v>46136</c:v>
                </c:pt>
                <c:pt idx="84">
                  <c:v>46137</c:v>
                </c:pt>
                <c:pt idx="85">
                  <c:v>46138</c:v>
                </c:pt>
                <c:pt idx="86">
                  <c:v>46139</c:v>
                </c:pt>
                <c:pt idx="87">
                  <c:v>46140</c:v>
                </c:pt>
                <c:pt idx="88">
                  <c:v>46141</c:v>
                </c:pt>
                <c:pt idx="89">
                  <c:v>46142</c:v>
                </c:pt>
              </c:numCache>
            </c:numRef>
          </c:cat>
          <c:val>
            <c:numRef>
              <c:f>'Main Performance'!$B$3:$B$301</c:f>
              <c:numCache>
                <c:formatCode>General</c:formatCode>
                <c:ptCount val="299"/>
                <c:pt idx="0">
                  <c:v>1016</c:v>
                </c:pt>
                <c:pt idx="1">
                  <c:v>908</c:v>
                </c:pt>
                <c:pt idx="2">
                  <c:v>815</c:v>
                </c:pt>
                <c:pt idx="3">
                  <c:v>808</c:v>
                </c:pt>
                <c:pt idx="4">
                  <c:v>673</c:v>
                </c:pt>
                <c:pt idx="5">
                  <c:v>736</c:v>
                </c:pt>
                <c:pt idx="6">
                  <c:v>658</c:v>
                </c:pt>
                <c:pt idx="7">
                  <c:v>1031</c:v>
                </c:pt>
                <c:pt idx="8">
                  <c:v>1043</c:v>
                </c:pt>
                <c:pt idx="9">
                  <c:v>613</c:v>
                </c:pt>
                <c:pt idx="10">
                  <c:v>766</c:v>
                </c:pt>
                <c:pt idx="11">
                  <c:v>803</c:v>
                </c:pt>
                <c:pt idx="12">
                  <c:v>634</c:v>
                </c:pt>
                <c:pt idx="13">
                  <c:v>1284</c:v>
                </c:pt>
                <c:pt idx="14">
                  <c:v>2242</c:v>
                </c:pt>
                <c:pt idx="15">
                  <c:v>2001</c:v>
                </c:pt>
                <c:pt idx="16">
                  <c:v>2280</c:v>
                </c:pt>
                <c:pt idx="17">
                  <c:v>2083</c:v>
                </c:pt>
                <c:pt idx="18">
                  <c:v>2302</c:v>
                </c:pt>
                <c:pt idx="19">
                  <c:v>1970</c:v>
                </c:pt>
                <c:pt idx="20">
                  <c:v>1600</c:v>
                </c:pt>
                <c:pt idx="21">
                  <c:v>739</c:v>
                </c:pt>
                <c:pt idx="22">
                  <c:v>770</c:v>
                </c:pt>
                <c:pt idx="23">
                  <c:v>746</c:v>
                </c:pt>
                <c:pt idx="24">
                  <c:v>773</c:v>
                </c:pt>
                <c:pt idx="25">
                  <c:v>682</c:v>
                </c:pt>
                <c:pt idx="26">
                  <c:v>881</c:v>
                </c:pt>
                <c:pt idx="27">
                  <c:v>663</c:v>
                </c:pt>
                <c:pt idx="28">
                  <c:v>955</c:v>
                </c:pt>
                <c:pt idx="29">
                  <c:v>1059</c:v>
                </c:pt>
                <c:pt idx="30">
                  <c:v>766</c:v>
                </c:pt>
                <c:pt idx="31">
                  <c:v>746</c:v>
                </c:pt>
                <c:pt idx="32">
                  <c:v>798</c:v>
                </c:pt>
                <c:pt idx="33">
                  <c:v>666</c:v>
                </c:pt>
                <c:pt idx="34">
                  <c:v>714</c:v>
                </c:pt>
                <c:pt idx="35">
                  <c:v>1333</c:v>
                </c:pt>
                <c:pt idx="36">
                  <c:v>1410</c:v>
                </c:pt>
                <c:pt idx="37">
                  <c:v>855</c:v>
                </c:pt>
                <c:pt idx="38">
                  <c:v>788</c:v>
                </c:pt>
                <c:pt idx="39">
                  <c:v>663</c:v>
                </c:pt>
                <c:pt idx="40">
                  <c:v>758</c:v>
                </c:pt>
                <c:pt idx="41">
                  <c:v>690</c:v>
                </c:pt>
                <c:pt idx="42">
                  <c:v>963</c:v>
                </c:pt>
                <c:pt idx="43">
                  <c:v>992</c:v>
                </c:pt>
                <c:pt idx="44">
                  <c:v>783</c:v>
                </c:pt>
                <c:pt idx="45">
                  <c:v>734</c:v>
                </c:pt>
                <c:pt idx="46">
                  <c:v>724</c:v>
                </c:pt>
                <c:pt idx="47">
                  <c:v>686</c:v>
                </c:pt>
                <c:pt idx="48">
                  <c:v>811</c:v>
                </c:pt>
                <c:pt idx="49">
                  <c:v>951</c:v>
                </c:pt>
                <c:pt idx="50">
                  <c:v>751</c:v>
                </c:pt>
                <c:pt idx="51">
                  <c:v>880</c:v>
                </c:pt>
                <c:pt idx="52">
                  <c:v>822</c:v>
                </c:pt>
                <c:pt idx="53">
                  <c:v>767</c:v>
                </c:pt>
                <c:pt idx="54">
                  <c:v>766</c:v>
                </c:pt>
                <c:pt idx="55">
                  <c:v>824</c:v>
                </c:pt>
                <c:pt idx="56">
                  <c:v>2466</c:v>
                </c:pt>
                <c:pt idx="57">
                  <c:v>832</c:v>
                </c:pt>
                <c:pt idx="58">
                  <c:v>746</c:v>
                </c:pt>
                <c:pt idx="59">
                  <c:v>880</c:v>
                </c:pt>
                <c:pt idx="60">
                  <c:v>845</c:v>
                </c:pt>
                <c:pt idx="61">
                  <c:v>822</c:v>
                </c:pt>
                <c:pt idx="62">
                  <c:v>1115</c:v>
                </c:pt>
                <c:pt idx="63">
                  <c:v>1297</c:v>
                </c:pt>
                <c:pt idx="64">
                  <c:v>1208</c:v>
                </c:pt>
                <c:pt idx="65">
                  <c:v>865</c:v>
                </c:pt>
                <c:pt idx="66">
                  <c:v>779</c:v>
                </c:pt>
                <c:pt idx="67">
                  <c:v>749</c:v>
                </c:pt>
                <c:pt idx="68">
                  <c:v>887</c:v>
                </c:pt>
                <c:pt idx="69">
                  <c:v>671</c:v>
                </c:pt>
                <c:pt idx="70">
                  <c:v>1050</c:v>
                </c:pt>
                <c:pt idx="71">
                  <c:v>771</c:v>
                </c:pt>
                <c:pt idx="72">
                  <c:v>818</c:v>
                </c:pt>
                <c:pt idx="73">
                  <c:v>654</c:v>
                </c:pt>
                <c:pt idx="74">
                  <c:v>877</c:v>
                </c:pt>
                <c:pt idx="75">
                  <c:v>771</c:v>
                </c:pt>
                <c:pt idx="76">
                  <c:v>2203</c:v>
                </c:pt>
                <c:pt idx="77">
                  <c:v>866</c:v>
                </c:pt>
                <c:pt idx="78">
                  <c:v>862</c:v>
                </c:pt>
                <c:pt idx="79">
                  <c:v>898</c:v>
                </c:pt>
                <c:pt idx="80">
                  <c:v>688</c:v>
                </c:pt>
                <c:pt idx="81">
                  <c:v>706</c:v>
                </c:pt>
                <c:pt idx="82">
                  <c:v>735</c:v>
                </c:pt>
                <c:pt idx="83">
                  <c:v>856</c:v>
                </c:pt>
                <c:pt idx="84">
                  <c:v>859</c:v>
                </c:pt>
                <c:pt idx="85">
                  <c:v>1089</c:v>
                </c:pt>
                <c:pt idx="86">
                  <c:v>662</c:v>
                </c:pt>
                <c:pt idx="87">
                  <c:v>772</c:v>
                </c:pt>
                <c:pt idx="88">
                  <c:v>678</c:v>
                </c:pt>
                <c:pt idx="89">
                  <c:v>678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884-49F6-9C25-3668FE69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32687"/>
        <c:axId val="855635567"/>
      </c:lineChart>
      <c:dateAx>
        <c:axId val="855632687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5567"/>
        <c:crosses val="autoZero"/>
        <c:auto val="1"/>
        <c:lblOffset val="100"/>
        <c:baseTimeUnit val="days"/>
      </c:dateAx>
      <c:valAx>
        <c:axId val="85563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26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  <a:r>
              <a:rPr lang="en-US" baseline="0"/>
              <a:t> Followers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E94B6E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'Main Performance'!$A$3:$A$301</c:f>
              <c:numCache>
                <c:formatCode>yyyy\-mm\-dd</c:formatCode>
                <c:ptCount val="299"/>
                <c:pt idx="0">
                  <c:v>46053</c:v>
                </c:pt>
                <c:pt idx="1">
                  <c:v>46054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46060</c:v>
                </c:pt>
                <c:pt idx="8">
                  <c:v>46061</c:v>
                </c:pt>
                <c:pt idx="9">
                  <c:v>46062</c:v>
                </c:pt>
                <c:pt idx="10">
                  <c:v>46063</c:v>
                </c:pt>
                <c:pt idx="11">
                  <c:v>46064</c:v>
                </c:pt>
                <c:pt idx="12">
                  <c:v>46065</c:v>
                </c:pt>
                <c:pt idx="13">
                  <c:v>46066</c:v>
                </c:pt>
                <c:pt idx="14">
                  <c:v>46067</c:v>
                </c:pt>
                <c:pt idx="15">
                  <c:v>46068</c:v>
                </c:pt>
                <c:pt idx="16">
                  <c:v>46069</c:v>
                </c:pt>
                <c:pt idx="17">
                  <c:v>46070</c:v>
                </c:pt>
                <c:pt idx="18">
                  <c:v>46071</c:v>
                </c:pt>
                <c:pt idx="19">
                  <c:v>46072</c:v>
                </c:pt>
                <c:pt idx="20">
                  <c:v>46073</c:v>
                </c:pt>
                <c:pt idx="21">
                  <c:v>46074</c:v>
                </c:pt>
                <c:pt idx="22">
                  <c:v>46075</c:v>
                </c:pt>
                <c:pt idx="23">
                  <c:v>46076</c:v>
                </c:pt>
                <c:pt idx="24">
                  <c:v>46077</c:v>
                </c:pt>
                <c:pt idx="25">
                  <c:v>46078</c:v>
                </c:pt>
                <c:pt idx="26">
                  <c:v>46079</c:v>
                </c:pt>
                <c:pt idx="27">
                  <c:v>46080</c:v>
                </c:pt>
                <c:pt idx="28">
                  <c:v>46081</c:v>
                </c:pt>
                <c:pt idx="29">
                  <c:v>46082</c:v>
                </c:pt>
                <c:pt idx="30">
                  <c:v>46083</c:v>
                </c:pt>
                <c:pt idx="31">
                  <c:v>46084</c:v>
                </c:pt>
                <c:pt idx="32">
                  <c:v>46085</c:v>
                </c:pt>
                <c:pt idx="33">
                  <c:v>46086</c:v>
                </c:pt>
                <c:pt idx="34">
                  <c:v>46087</c:v>
                </c:pt>
                <c:pt idx="35">
                  <c:v>46088</c:v>
                </c:pt>
                <c:pt idx="36">
                  <c:v>46089</c:v>
                </c:pt>
                <c:pt idx="37">
                  <c:v>46090</c:v>
                </c:pt>
                <c:pt idx="38">
                  <c:v>46091</c:v>
                </c:pt>
                <c:pt idx="39">
                  <c:v>46092</c:v>
                </c:pt>
                <c:pt idx="40">
                  <c:v>46093</c:v>
                </c:pt>
                <c:pt idx="41">
                  <c:v>46094</c:v>
                </c:pt>
                <c:pt idx="42">
                  <c:v>46095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46102</c:v>
                </c:pt>
                <c:pt idx="50">
                  <c:v>46103</c:v>
                </c:pt>
                <c:pt idx="51">
                  <c:v>46104</c:v>
                </c:pt>
                <c:pt idx="52">
                  <c:v>46105</c:v>
                </c:pt>
                <c:pt idx="53">
                  <c:v>46106</c:v>
                </c:pt>
                <c:pt idx="54">
                  <c:v>46107</c:v>
                </c:pt>
                <c:pt idx="55">
                  <c:v>46108</c:v>
                </c:pt>
                <c:pt idx="56">
                  <c:v>46109</c:v>
                </c:pt>
                <c:pt idx="57">
                  <c:v>46110</c:v>
                </c:pt>
                <c:pt idx="58">
                  <c:v>46111</c:v>
                </c:pt>
                <c:pt idx="59">
                  <c:v>46112</c:v>
                </c:pt>
                <c:pt idx="60">
                  <c:v>46113</c:v>
                </c:pt>
                <c:pt idx="61">
                  <c:v>46114</c:v>
                </c:pt>
                <c:pt idx="62">
                  <c:v>46115</c:v>
                </c:pt>
                <c:pt idx="63">
                  <c:v>46116</c:v>
                </c:pt>
                <c:pt idx="64">
                  <c:v>46117</c:v>
                </c:pt>
                <c:pt idx="65">
                  <c:v>46118</c:v>
                </c:pt>
                <c:pt idx="66">
                  <c:v>46119</c:v>
                </c:pt>
                <c:pt idx="67">
                  <c:v>46120</c:v>
                </c:pt>
                <c:pt idx="68">
                  <c:v>46121</c:v>
                </c:pt>
                <c:pt idx="69">
                  <c:v>46122</c:v>
                </c:pt>
                <c:pt idx="70">
                  <c:v>46123</c:v>
                </c:pt>
                <c:pt idx="71">
                  <c:v>46124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46130</c:v>
                </c:pt>
                <c:pt idx="78">
                  <c:v>46131</c:v>
                </c:pt>
                <c:pt idx="79">
                  <c:v>46132</c:v>
                </c:pt>
                <c:pt idx="80">
                  <c:v>46133</c:v>
                </c:pt>
                <c:pt idx="81">
                  <c:v>46134</c:v>
                </c:pt>
                <c:pt idx="82">
                  <c:v>46135</c:v>
                </c:pt>
                <c:pt idx="83">
                  <c:v>46136</c:v>
                </c:pt>
                <c:pt idx="84">
                  <c:v>46137</c:v>
                </c:pt>
                <c:pt idx="85">
                  <c:v>46138</c:v>
                </c:pt>
                <c:pt idx="86">
                  <c:v>46139</c:v>
                </c:pt>
                <c:pt idx="87">
                  <c:v>46140</c:v>
                </c:pt>
                <c:pt idx="88">
                  <c:v>46141</c:v>
                </c:pt>
                <c:pt idx="89">
                  <c:v>46142</c:v>
                </c:pt>
              </c:numCache>
            </c:numRef>
          </c:cat>
          <c:val>
            <c:numRef>
              <c:f>'Main Performance'!$I$3:$I$301</c:f>
              <c:numCache>
                <c:formatCode>General</c:formatCode>
                <c:ptCount val="29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3</c:v>
                </c:pt>
                <c:pt idx="5">
                  <c:v>9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7</c:v>
                </c:pt>
                <c:pt idx="10">
                  <c:v>4</c:v>
                </c:pt>
                <c:pt idx="11">
                  <c:v>9</c:v>
                </c:pt>
                <c:pt idx="12">
                  <c:v>5</c:v>
                </c:pt>
                <c:pt idx="13">
                  <c:v>22</c:v>
                </c:pt>
                <c:pt idx="14">
                  <c:v>21</c:v>
                </c:pt>
                <c:pt idx="15">
                  <c:v>22</c:v>
                </c:pt>
                <c:pt idx="16">
                  <c:v>21</c:v>
                </c:pt>
                <c:pt idx="17">
                  <c:v>28</c:v>
                </c:pt>
                <c:pt idx="18">
                  <c:v>25</c:v>
                </c:pt>
                <c:pt idx="19">
                  <c:v>22</c:v>
                </c:pt>
                <c:pt idx="20">
                  <c:v>15</c:v>
                </c:pt>
                <c:pt idx="21">
                  <c:v>9</c:v>
                </c:pt>
                <c:pt idx="22">
                  <c:v>8</c:v>
                </c:pt>
                <c:pt idx="23">
                  <c:v>6</c:v>
                </c:pt>
                <c:pt idx="24">
                  <c:v>10</c:v>
                </c:pt>
                <c:pt idx="25">
                  <c:v>8</c:v>
                </c:pt>
                <c:pt idx="26">
                  <c:v>10</c:v>
                </c:pt>
                <c:pt idx="27">
                  <c:v>4</c:v>
                </c:pt>
                <c:pt idx="28">
                  <c:v>11</c:v>
                </c:pt>
                <c:pt idx="29">
                  <c:v>14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3</c:v>
                </c:pt>
                <c:pt idx="34">
                  <c:v>8</c:v>
                </c:pt>
                <c:pt idx="35">
                  <c:v>13</c:v>
                </c:pt>
                <c:pt idx="36">
                  <c:v>22</c:v>
                </c:pt>
                <c:pt idx="37">
                  <c:v>10</c:v>
                </c:pt>
                <c:pt idx="38">
                  <c:v>7</c:v>
                </c:pt>
                <c:pt idx="39">
                  <c:v>6</c:v>
                </c:pt>
                <c:pt idx="40">
                  <c:v>10</c:v>
                </c:pt>
                <c:pt idx="41">
                  <c:v>9</c:v>
                </c:pt>
                <c:pt idx="42">
                  <c:v>9</c:v>
                </c:pt>
                <c:pt idx="43">
                  <c:v>7</c:v>
                </c:pt>
                <c:pt idx="44">
                  <c:v>6</c:v>
                </c:pt>
                <c:pt idx="45">
                  <c:v>7</c:v>
                </c:pt>
                <c:pt idx="46">
                  <c:v>5</c:v>
                </c:pt>
                <c:pt idx="47">
                  <c:v>4</c:v>
                </c:pt>
                <c:pt idx="48">
                  <c:v>8</c:v>
                </c:pt>
                <c:pt idx="49">
                  <c:v>7</c:v>
                </c:pt>
                <c:pt idx="50">
                  <c:v>4</c:v>
                </c:pt>
                <c:pt idx="51">
                  <c:v>5</c:v>
                </c:pt>
                <c:pt idx="52">
                  <c:v>5</c:v>
                </c:pt>
                <c:pt idx="53">
                  <c:v>6</c:v>
                </c:pt>
                <c:pt idx="54">
                  <c:v>5</c:v>
                </c:pt>
                <c:pt idx="55">
                  <c:v>5</c:v>
                </c:pt>
                <c:pt idx="56">
                  <c:v>34</c:v>
                </c:pt>
                <c:pt idx="57">
                  <c:v>5</c:v>
                </c:pt>
                <c:pt idx="58">
                  <c:v>5</c:v>
                </c:pt>
                <c:pt idx="59">
                  <c:v>11</c:v>
                </c:pt>
                <c:pt idx="60">
                  <c:v>10</c:v>
                </c:pt>
                <c:pt idx="61">
                  <c:v>9</c:v>
                </c:pt>
                <c:pt idx="62">
                  <c:v>8</c:v>
                </c:pt>
                <c:pt idx="63">
                  <c:v>8</c:v>
                </c:pt>
                <c:pt idx="64">
                  <c:v>12</c:v>
                </c:pt>
                <c:pt idx="65">
                  <c:v>12</c:v>
                </c:pt>
                <c:pt idx="66">
                  <c:v>4</c:v>
                </c:pt>
                <c:pt idx="67">
                  <c:v>7</c:v>
                </c:pt>
                <c:pt idx="68">
                  <c:v>9</c:v>
                </c:pt>
                <c:pt idx="69">
                  <c:v>6</c:v>
                </c:pt>
                <c:pt idx="70">
                  <c:v>10</c:v>
                </c:pt>
                <c:pt idx="71">
                  <c:v>4</c:v>
                </c:pt>
                <c:pt idx="72">
                  <c:v>10</c:v>
                </c:pt>
                <c:pt idx="73">
                  <c:v>7</c:v>
                </c:pt>
                <c:pt idx="74">
                  <c:v>10</c:v>
                </c:pt>
                <c:pt idx="75">
                  <c:v>6</c:v>
                </c:pt>
                <c:pt idx="76">
                  <c:v>26</c:v>
                </c:pt>
                <c:pt idx="77">
                  <c:v>5</c:v>
                </c:pt>
                <c:pt idx="78">
                  <c:v>5</c:v>
                </c:pt>
                <c:pt idx="79">
                  <c:v>7</c:v>
                </c:pt>
                <c:pt idx="80">
                  <c:v>10</c:v>
                </c:pt>
                <c:pt idx="81">
                  <c:v>4</c:v>
                </c:pt>
                <c:pt idx="82">
                  <c:v>7</c:v>
                </c:pt>
                <c:pt idx="83">
                  <c:v>5</c:v>
                </c:pt>
                <c:pt idx="84">
                  <c:v>4</c:v>
                </c:pt>
                <c:pt idx="85">
                  <c:v>11</c:v>
                </c:pt>
                <c:pt idx="86">
                  <c:v>7</c:v>
                </c:pt>
                <c:pt idx="87">
                  <c:v>8</c:v>
                </c:pt>
                <c:pt idx="88">
                  <c:v>7</c:v>
                </c:pt>
                <c:pt idx="89">
                  <c:v>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737-4F1F-B2A4-530E651CC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40367"/>
        <c:axId val="855641807"/>
      </c:lineChart>
      <c:dateAx>
        <c:axId val="855640367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1807"/>
        <c:crosses val="autoZero"/>
        <c:auto val="1"/>
        <c:lblOffset val="100"/>
        <c:baseTimeUnit val="days"/>
      </c:dateAx>
      <c:valAx>
        <c:axId val="85564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036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6A34A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'Main Performance'!$A$3:$A$301</c:f>
              <c:numCache>
                <c:formatCode>yyyy\-mm\-dd</c:formatCode>
                <c:ptCount val="299"/>
                <c:pt idx="0">
                  <c:v>46053</c:v>
                </c:pt>
                <c:pt idx="1">
                  <c:v>46054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46060</c:v>
                </c:pt>
                <c:pt idx="8">
                  <c:v>46061</c:v>
                </c:pt>
                <c:pt idx="9">
                  <c:v>46062</c:v>
                </c:pt>
                <c:pt idx="10">
                  <c:v>46063</c:v>
                </c:pt>
                <c:pt idx="11">
                  <c:v>46064</c:v>
                </c:pt>
                <c:pt idx="12">
                  <c:v>46065</c:v>
                </c:pt>
                <c:pt idx="13">
                  <c:v>46066</c:v>
                </c:pt>
                <c:pt idx="14">
                  <c:v>46067</c:v>
                </c:pt>
                <c:pt idx="15">
                  <c:v>46068</c:v>
                </c:pt>
                <c:pt idx="16">
                  <c:v>46069</c:v>
                </c:pt>
                <c:pt idx="17">
                  <c:v>46070</c:v>
                </c:pt>
                <c:pt idx="18">
                  <c:v>46071</c:v>
                </c:pt>
                <c:pt idx="19">
                  <c:v>46072</c:v>
                </c:pt>
                <c:pt idx="20">
                  <c:v>46073</c:v>
                </c:pt>
                <c:pt idx="21">
                  <c:v>46074</c:v>
                </c:pt>
                <c:pt idx="22">
                  <c:v>46075</c:v>
                </c:pt>
                <c:pt idx="23">
                  <c:v>46076</c:v>
                </c:pt>
                <c:pt idx="24">
                  <c:v>46077</c:v>
                </c:pt>
                <c:pt idx="25">
                  <c:v>46078</c:v>
                </c:pt>
                <c:pt idx="26">
                  <c:v>46079</c:v>
                </c:pt>
                <c:pt idx="27">
                  <c:v>46080</c:v>
                </c:pt>
                <c:pt idx="28">
                  <c:v>46081</c:v>
                </c:pt>
                <c:pt idx="29">
                  <c:v>46082</c:v>
                </c:pt>
                <c:pt idx="30">
                  <c:v>46083</c:v>
                </c:pt>
                <c:pt idx="31">
                  <c:v>46084</c:v>
                </c:pt>
                <c:pt idx="32">
                  <c:v>46085</c:v>
                </c:pt>
                <c:pt idx="33">
                  <c:v>46086</c:v>
                </c:pt>
                <c:pt idx="34">
                  <c:v>46087</c:v>
                </c:pt>
                <c:pt idx="35">
                  <c:v>46088</c:v>
                </c:pt>
                <c:pt idx="36">
                  <c:v>46089</c:v>
                </c:pt>
                <c:pt idx="37">
                  <c:v>46090</c:v>
                </c:pt>
                <c:pt idx="38">
                  <c:v>46091</c:v>
                </c:pt>
                <c:pt idx="39">
                  <c:v>46092</c:v>
                </c:pt>
                <c:pt idx="40">
                  <c:v>46093</c:v>
                </c:pt>
                <c:pt idx="41">
                  <c:v>46094</c:v>
                </c:pt>
                <c:pt idx="42">
                  <c:v>46095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46102</c:v>
                </c:pt>
                <c:pt idx="50">
                  <c:v>46103</c:v>
                </c:pt>
                <c:pt idx="51">
                  <c:v>46104</c:v>
                </c:pt>
                <c:pt idx="52">
                  <c:v>46105</c:v>
                </c:pt>
                <c:pt idx="53">
                  <c:v>46106</c:v>
                </c:pt>
                <c:pt idx="54">
                  <c:v>46107</c:v>
                </c:pt>
                <c:pt idx="55">
                  <c:v>46108</c:v>
                </c:pt>
                <c:pt idx="56">
                  <c:v>46109</c:v>
                </c:pt>
                <c:pt idx="57">
                  <c:v>46110</c:v>
                </c:pt>
                <c:pt idx="58">
                  <c:v>46111</c:v>
                </c:pt>
                <c:pt idx="59">
                  <c:v>46112</c:v>
                </c:pt>
                <c:pt idx="60">
                  <c:v>46113</c:v>
                </c:pt>
                <c:pt idx="61">
                  <c:v>46114</c:v>
                </c:pt>
                <c:pt idx="62">
                  <c:v>46115</c:v>
                </c:pt>
                <c:pt idx="63">
                  <c:v>46116</c:v>
                </c:pt>
                <c:pt idx="64">
                  <c:v>46117</c:v>
                </c:pt>
                <c:pt idx="65">
                  <c:v>46118</c:v>
                </c:pt>
                <c:pt idx="66">
                  <c:v>46119</c:v>
                </c:pt>
                <c:pt idx="67">
                  <c:v>46120</c:v>
                </c:pt>
                <c:pt idx="68">
                  <c:v>46121</c:v>
                </c:pt>
                <c:pt idx="69">
                  <c:v>46122</c:v>
                </c:pt>
                <c:pt idx="70">
                  <c:v>46123</c:v>
                </c:pt>
                <c:pt idx="71">
                  <c:v>46124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46130</c:v>
                </c:pt>
                <c:pt idx="78">
                  <c:v>46131</c:v>
                </c:pt>
                <c:pt idx="79">
                  <c:v>46132</c:v>
                </c:pt>
                <c:pt idx="80">
                  <c:v>46133</c:v>
                </c:pt>
                <c:pt idx="81">
                  <c:v>46134</c:v>
                </c:pt>
                <c:pt idx="82">
                  <c:v>46135</c:v>
                </c:pt>
                <c:pt idx="83">
                  <c:v>46136</c:v>
                </c:pt>
                <c:pt idx="84">
                  <c:v>46137</c:v>
                </c:pt>
                <c:pt idx="85">
                  <c:v>46138</c:v>
                </c:pt>
                <c:pt idx="86">
                  <c:v>46139</c:v>
                </c:pt>
                <c:pt idx="87">
                  <c:v>46140</c:v>
                </c:pt>
                <c:pt idx="88">
                  <c:v>46141</c:v>
                </c:pt>
                <c:pt idx="89">
                  <c:v>46142</c:v>
                </c:pt>
              </c:numCache>
            </c:numRef>
          </c:cat>
          <c:val>
            <c:numRef>
              <c:f>'Main Performance'!$J$3:$J$301</c:f>
              <c:numCache>
                <c:formatCode>General</c:formatCode>
                <c:ptCount val="299"/>
                <c:pt idx="0">
                  <c:v>68</c:v>
                </c:pt>
                <c:pt idx="1">
                  <c:v>62</c:v>
                </c:pt>
                <c:pt idx="2">
                  <c:v>39</c:v>
                </c:pt>
                <c:pt idx="3">
                  <c:v>30</c:v>
                </c:pt>
                <c:pt idx="4">
                  <c:v>52</c:v>
                </c:pt>
                <c:pt idx="5">
                  <c:v>46</c:v>
                </c:pt>
                <c:pt idx="6">
                  <c:v>48</c:v>
                </c:pt>
                <c:pt idx="7">
                  <c:v>55</c:v>
                </c:pt>
                <c:pt idx="8">
                  <c:v>77</c:v>
                </c:pt>
                <c:pt idx="9">
                  <c:v>37</c:v>
                </c:pt>
                <c:pt idx="10">
                  <c:v>41</c:v>
                </c:pt>
                <c:pt idx="11">
                  <c:v>49</c:v>
                </c:pt>
                <c:pt idx="12">
                  <c:v>38</c:v>
                </c:pt>
                <c:pt idx="13">
                  <c:v>54</c:v>
                </c:pt>
                <c:pt idx="14">
                  <c:v>97</c:v>
                </c:pt>
                <c:pt idx="15">
                  <c:v>106</c:v>
                </c:pt>
                <c:pt idx="16">
                  <c:v>127</c:v>
                </c:pt>
                <c:pt idx="17">
                  <c:v>95</c:v>
                </c:pt>
                <c:pt idx="18">
                  <c:v>140</c:v>
                </c:pt>
                <c:pt idx="19">
                  <c:v>117</c:v>
                </c:pt>
                <c:pt idx="20">
                  <c:v>95</c:v>
                </c:pt>
                <c:pt idx="21">
                  <c:v>39</c:v>
                </c:pt>
                <c:pt idx="22">
                  <c:v>37</c:v>
                </c:pt>
                <c:pt idx="23">
                  <c:v>32</c:v>
                </c:pt>
                <c:pt idx="24">
                  <c:v>41</c:v>
                </c:pt>
                <c:pt idx="25">
                  <c:v>31</c:v>
                </c:pt>
                <c:pt idx="26">
                  <c:v>35</c:v>
                </c:pt>
                <c:pt idx="27">
                  <c:v>29</c:v>
                </c:pt>
                <c:pt idx="28">
                  <c:v>64</c:v>
                </c:pt>
                <c:pt idx="29">
                  <c:v>72</c:v>
                </c:pt>
                <c:pt idx="30">
                  <c:v>46</c:v>
                </c:pt>
                <c:pt idx="31">
                  <c:v>31</c:v>
                </c:pt>
                <c:pt idx="32">
                  <c:v>48</c:v>
                </c:pt>
                <c:pt idx="33">
                  <c:v>46</c:v>
                </c:pt>
                <c:pt idx="34">
                  <c:v>42</c:v>
                </c:pt>
                <c:pt idx="35">
                  <c:v>79</c:v>
                </c:pt>
                <c:pt idx="36">
                  <c:v>73</c:v>
                </c:pt>
                <c:pt idx="37">
                  <c:v>46</c:v>
                </c:pt>
                <c:pt idx="38">
                  <c:v>38</c:v>
                </c:pt>
                <c:pt idx="39">
                  <c:v>30</c:v>
                </c:pt>
                <c:pt idx="40">
                  <c:v>40</c:v>
                </c:pt>
                <c:pt idx="41">
                  <c:v>51</c:v>
                </c:pt>
                <c:pt idx="42">
                  <c:v>65</c:v>
                </c:pt>
                <c:pt idx="43">
                  <c:v>48</c:v>
                </c:pt>
                <c:pt idx="44">
                  <c:v>46</c:v>
                </c:pt>
                <c:pt idx="45">
                  <c:v>40</c:v>
                </c:pt>
                <c:pt idx="46">
                  <c:v>50</c:v>
                </c:pt>
                <c:pt idx="47">
                  <c:v>32</c:v>
                </c:pt>
                <c:pt idx="48">
                  <c:v>49</c:v>
                </c:pt>
                <c:pt idx="49">
                  <c:v>39</c:v>
                </c:pt>
                <c:pt idx="50">
                  <c:v>56</c:v>
                </c:pt>
                <c:pt idx="51">
                  <c:v>53</c:v>
                </c:pt>
                <c:pt idx="52">
                  <c:v>54</c:v>
                </c:pt>
                <c:pt idx="53">
                  <c:v>37</c:v>
                </c:pt>
                <c:pt idx="54">
                  <c:v>34</c:v>
                </c:pt>
                <c:pt idx="55">
                  <c:v>40</c:v>
                </c:pt>
                <c:pt idx="56">
                  <c:v>123</c:v>
                </c:pt>
                <c:pt idx="57">
                  <c:v>29</c:v>
                </c:pt>
                <c:pt idx="58">
                  <c:v>47</c:v>
                </c:pt>
                <c:pt idx="59">
                  <c:v>49</c:v>
                </c:pt>
                <c:pt idx="60">
                  <c:v>31</c:v>
                </c:pt>
                <c:pt idx="61">
                  <c:v>29</c:v>
                </c:pt>
                <c:pt idx="62">
                  <c:v>50</c:v>
                </c:pt>
                <c:pt idx="63">
                  <c:v>70</c:v>
                </c:pt>
                <c:pt idx="64">
                  <c:v>72</c:v>
                </c:pt>
                <c:pt idx="65">
                  <c:v>43</c:v>
                </c:pt>
                <c:pt idx="66">
                  <c:v>35</c:v>
                </c:pt>
                <c:pt idx="67">
                  <c:v>38</c:v>
                </c:pt>
                <c:pt idx="68">
                  <c:v>38</c:v>
                </c:pt>
                <c:pt idx="69">
                  <c:v>46</c:v>
                </c:pt>
                <c:pt idx="70">
                  <c:v>51</c:v>
                </c:pt>
                <c:pt idx="71">
                  <c:v>35</c:v>
                </c:pt>
                <c:pt idx="72">
                  <c:v>58</c:v>
                </c:pt>
                <c:pt idx="73">
                  <c:v>31</c:v>
                </c:pt>
                <c:pt idx="74">
                  <c:v>41</c:v>
                </c:pt>
                <c:pt idx="75">
                  <c:v>47</c:v>
                </c:pt>
                <c:pt idx="76">
                  <c:v>107</c:v>
                </c:pt>
                <c:pt idx="77">
                  <c:v>51</c:v>
                </c:pt>
                <c:pt idx="78">
                  <c:v>56</c:v>
                </c:pt>
                <c:pt idx="79">
                  <c:v>59</c:v>
                </c:pt>
                <c:pt idx="80">
                  <c:v>51</c:v>
                </c:pt>
                <c:pt idx="81">
                  <c:v>31</c:v>
                </c:pt>
                <c:pt idx="82">
                  <c:v>26</c:v>
                </c:pt>
                <c:pt idx="83">
                  <c:v>47</c:v>
                </c:pt>
                <c:pt idx="84">
                  <c:v>48</c:v>
                </c:pt>
                <c:pt idx="85">
                  <c:v>43</c:v>
                </c:pt>
                <c:pt idx="86">
                  <c:v>38</c:v>
                </c:pt>
                <c:pt idx="87">
                  <c:v>33</c:v>
                </c:pt>
                <c:pt idx="88">
                  <c:v>45</c:v>
                </c:pt>
                <c:pt idx="89">
                  <c:v>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BE9-460F-A1AF-8B5F58475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37007"/>
        <c:axId val="855646607"/>
      </c:lineChart>
      <c:dateAx>
        <c:axId val="855637007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6607"/>
        <c:crosses val="autoZero"/>
        <c:auto val="1"/>
        <c:lblOffset val="100"/>
        <c:baseTimeUnit val="days"/>
      </c:dateAx>
      <c:valAx>
        <c:axId val="8556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700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Engagement</a:t>
            </a:r>
            <a:r>
              <a:rPr lang="en-US" altLang="zh-TW" baseline="0"/>
              <a:t> Rate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Performance'!$K$2</c:f>
              <c:strCache>
                <c:ptCount val="1"/>
                <c:pt idx="0">
                  <c:v>Engagement Rate</c:v>
                </c:pt>
              </c:strCache>
            </c:strRef>
          </c:tx>
          <c:spPr>
            <a:ln w="28575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'Main Performance'!$A$3:$A$301</c:f>
              <c:numCache>
                <c:formatCode>yyyy\-mm\-dd</c:formatCode>
                <c:ptCount val="299"/>
                <c:pt idx="0">
                  <c:v>46053</c:v>
                </c:pt>
                <c:pt idx="1">
                  <c:v>46054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46060</c:v>
                </c:pt>
                <c:pt idx="8">
                  <c:v>46061</c:v>
                </c:pt>
                <c:pt idx="9">
                  <c:v>46062</c:v>
                </c:pt>
                <c:pt idx="10">
                  <c:v>46063</c:v>
                </c:pt>
                <c:pt idx="11">
                  <c:v>46064</c:v>
                </c:pt>
                <c:pt idx="12">
                  <c:v>46065</c:v>
                </c:pt>
                <c:pt idx="13">
                  <c:v>46066</c:v>
                </c:pt>
                <c:pt idx="14">
                  <c:v>46067</c:v>
                </c:pt>
                <c:pt idx="15">
                  <c:v>46068</c:v>
                </c:pt>
                <c:pt idx="16">
                  <c:v>46069</c:v>
                </c:pt>
                <c:pt idx="17">
                  <c:v>46070</c:v>
                </c:pt>
                <c:pt idx="18">
                  <c:v>46071</c:v>
                </c:pt>
                <c:pt idx="19">
                  <c:v>46072</c:v>
                </c:pt>
                <c:pt idx="20">
                  <c:v>46073</c:v>
                </c:pt>
                <c:pt idx="21">
                  <c:v>46074</c:v>
                </c:pt>
                <c:pt idx="22">
                  <c:v>46075</c:v>
                </c:pt>
                <c:pt idx="23">
                  <c:v>46076</c:v>
                </c:pt>
                <c:pt idx="24">
                  <c:v>46077</c:v>
                </c:pt>
                <c:pt idx="25">
                  <c:v>46078</c:v>
                </c:pt>
                <c:pt idx="26">
                  <c:v>46079</c:v>
                </c:pt>
                <c:pt idx="27">
                  <c:v>46080</c:v>
                </c:pt>
                <c:pt idx="28">
                  <c:v>46081</c:v>
                </c:pt>
                <c:pt idx="29">
                  <c:v>46082</c:v>
                </c:pt>
                <c:pt idx="30">
                  <c:v>46083</c:v>
                </c:pt>
                <c:pt idx="31">
                  <c:v>46084</c:v>
                </c:pt>
                <c:pt idx="32">
                  <c:v>46085</c:v>
                </c:pt>
                <c:pt idx="33">
                  <c:v>46086</c:v>
                </c:pt>
                <c:pt idx="34">
                  <c:v>46087</c:v>
                </c:pt>
                <c:pt idx="35">
                  <c:v>46088</c:v>
                </c:pt>
                <c:pt idx="36">
                  <c:v>46089</c:v>
                </c:pt>
                <c:pt idx="37">
                  <c:v>46090</c:v>
                </c:pt>
                <c:pt idx="38">
                  <c:v>46091</c:v>
                </c:pt>
                <c:pt idx="39">
                  <c:v>46092</c:v>
                </c:pt>
                <c:pt idx="40">
                  <c:v>46093</c:v>
                </c:pt>
                <c:pt idx="41">
                  <c:v>46094</c:v>
                </c:pt>
                <c:pt idx="42">
                  <c:v>46095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46102</c:v>
                </c:pt>
                <c:pt idx="50">
                  <c:v>46103</c:v>
                </c:pt>
                <c:pt idx="51">
                  <c:v>46104</c:v>
                </c:pt>
                <c:pt idx="52">
                  <c:v>46105</c:v>
                </c:pt>
                <c:pt idx="53">
                  <c:v>46106</c:v>
                </c:pt>
                <c:pt idx="54">
                  <c:v>46107</c:v>
                </c:pt>
                <c:pt idx="55">
                  <c:v>46108</c:v>
                </c:pt>
                <c:pt idx="56">
                  <c:v>46109</c:v>
                </c:pt>
                <c:pt idx="57">
                  <c:v>46110</c:v>
                </c:pt>
                <c:pt idx="58">
                  <c:v>46111</c:v>
                </c:pt>
                <c:pt idx="59">
                  <c:v>46112</c:v>
                </c:pt>
                <c:pt idx="60">
                  <c:v>46113</c:v>
                </c:pt>
                <c:pt idx="61">
                  <c:v>46114</c:v>
                </c:pt>
                <c:pt idx="62">
                  <c:v>46115</c:v>
                </c:pt>
                <c:pt idx="63">
                  <c:v>46116</c:v>
                </c:pt>
                <c:pt idx="64">
                  <c:v>46117</c:v>
                </c:pt>
                <c:pt idx="65">
                  <c:v>46118</c:v>
                </c:pt>
                <c:pt idx="66">
                  <c:v>46119</c:v>
                </c:pt>
                <c:pt idx="67">
                  <c:v>46120</c:v>
                </c:pt>
                <c:pt idx="68">
                  <c:v>46121</c:v>
                </c:pt>
                <c:pt idx="69">
                  <c:v>46122</c:v>
                </c:pt>
                <c:pt idx="70">
                  <c:v>46123</c:v>
                </c:pt>
                <c:pt idx="71">
                  <c:v>46124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46130</c:v>
                </c:pt>
                <c:pt idx="78">
                  <c:v>46131</c:v>
                </c:pt>
                <c:pt idx="79">
                  <c:v>46132</c:v>
                </c:pt>
                <c:pt idx="80">
                  <c:v>46133</c:v>
                </c:pt>
                <c:pt idx="81">
                  <c:v>46134</c:v>
                </c:pt>
                <c:pt idx="82">
                  <c:v>46135</c:v>
                </c:pt>
                <c:pt idx="83">
                  <c:v>46136</c:v>
                </c:pt>
                <c:pt idx="84">
                  <c:v>46137</c:v>
                </c:pt>
                <c:pt idx="85">
                  <c:v>46138</c:v>
                </c:pt>
                <c:pt idx="86">
                  <c:v>46139</c:v>
                </c:pt>
                <c:pt idx="87">
                  <c:v>46140</c:v>
                </c:pt>
                <c:pt idx="88">
                  <c:v>46141</c:v>
                </c:pt>
                <c:pt idx="89">
                  <c:v>46142</c:v>
                </c:pt>
              </c:numCache>
            </c:numRef>
          </c:cat>
          <c:val>
            <c:numRef>
              <c:f>'Main Performance'!$K$3:$K$301</c:f>
              <c:numCache>
                <c:formatCode>0.00%</c:formatCode>
                <c:ptCount val="299"/>
                <c:pt idx="0">
                  <c:v>6.6929133858267723E-2</c:v>
                </c:pt>
                <c:pt idx="1">
                  <c:v>6.8281938325991193E-2</c:v>
                </c:pt>
                <c:pt idx="2">
                  <c:v>4.785276073619632E-2</c:v>
                </c:pt>
                <c:pt idx="3">
                  <c:v>3.7128712871287127E-2</c:v>
                </c:pt>
                <c:pt idx="4">
                  <c:v>7.7265973254086184E-2</c:v>
                </c:pt>
                <c:pt idx="5">
                  <c:v>6.25E-2</c:v>
                </c:pt>
                <c:pt idx="6">
                  <c:v>7.29483282674772E-2</c:v>
                </c:pt>
                <c:pt idx="7">
                  <c:v>5.33462657613967E-2</c:v>
                </c:pt>
                <c:pt idx="8">
                  <c:v>7.3825503355704702E-2</c:v>
                </c:pt>
                <c:pt idx="9">
                  <c:v>6.0358890701468187E-2</c:v>
                </c:pt>
                <c:pt idx="10">
                  <c:v>5.3524804177545689E-2</c:v>
                </c:pt>
                <c:pt idx="11">
                  <c:v>6.1021170610211707E-2</c:v>
                </c:pt>
                <c:pt idx="12">
                  <c:v>5.993690851735016E-2</c:v>
                </c:pt>
                <c:pt idx="13">
                  <c:v>4.2056074766355138E-2</c:v>
                </c:pt>
                <c:pt idx="14">
                  <c:v>4.3264942016057094E-2</c:v>
                </c:pt>
                <c:pt idx="15">
                  <c:v>5.297351324337831E-2</c:v>
                </c:pt>
                <c:pt idx="16">
                  <c:v>5.5701754385964912E-2</c:v>
                </c:pt>
                <c:pt idx="17">
                  <c:v>4.5607297167546808E-2</c:v>
                </c:pt>
                <c:pt idx="18">
                  <c:v>6.0816681146828845E-2</c:v>
                </c:pt>
                <c:pt idx="19">
                  <c:v>5.9390862944162438E-2</c:v>
                </c:pt>
                <c:pt idx="20">
                  <c:v>5.9374999999999997E-2</c:v>
                </c:pt>
                <c:pt idx="21">
                  <c:v>5.2774018944519621E-2</c:v>
                </c:pt>
                <c:pt idx="22">
                  <c:v>4.8051948051948054E-2</c:v>
                </c:pt>
                <c:pt idx="23">
                  <c:v>4.2895442359249331E-2</c:v>
                </c:pt>
                <c:pt idx="24">
                  <c:v>5.3040103492884863E-2</c:v>
                </c:pt>
                <c:pt idx="25">
                  <c:v>4.5454545454545456E-2</c:v>
                </c:pt>
                <c:pt idx="26">
                  <c:v>3.9727582292849034E-2</c:v>
                </c:pt>
                <c:pt idx="27">
                  <c:v>4.3740573152337855E-2</c:v>
                </c:pt>
                <c:pt idx="28">
                  <c:v>6.7015706806282729E-2</c:v>
                </c:pt>
                <c:pt idx="29">
                  <c:v>6.79886685552408E-2</c:v>
                </c:pt>
                <c:pt idx="30">
                  <c:v>6.0052219321148827E-2</c:v>
                </c:pt>
                <c:pt idx="31">
                  <c:v>4.1554959785522788E-2</c:v>
                </c:pt>
                <c:pt idx="32">
                  <c:v>6.0150375939849621E-2</c:v>
                </c:pt>
                <c:pt idx="33">
                  <c:v>6.9069069069069067E-2</c:v>
                </c:pt>
                <c:pt idx="34">
                  <c:v>5.8823529411764705E-2</c:v>
                </c:pt>
                <c:pt idx="35">
                  <c:v>5.926481620405101E-2</c:v>
                </c:pt>
                <c:pt idx="36">
                  <c:v>5.1773049645390069E-2</c:v>
                </c:pt>
                <c:pt idx="37">
                  <c:v>5.3801169590643273E-2</c:v>
                </c:pt>
                <c:pt idx="38">
                  <c:v>4.8223350253807105E-2</c:v>
                </c:pt>
                <c:pt idx="39">
                  <c:v>4.5248868778280542E-2</c:v>
                </c:pt>
                <c:pt idx="40">
                  <c:v>5.2770448548812667E-2</c:v>
                </c:pt>
                <c:pt idx="41">
                  <c:v>7.3913043478260873E-2</c:v>
                </c:pt>
                <c:pt idx="42">
                  <c:v>6.749740394600208E-2</c:v>
                </c:pt>
                <c:pt idx="43">
                  <c:v>4.8387096774193547E-2</c:v>
                </c:pt>
                <c:pt idx="44">
                  <c:v>5.8748403575989781E-2</c:v>
                </c:pt>
                <c:pt idx="45">
                  <c:v>5.4495912806539509E-2</c:v>
                </c:pt>
                <c:pt idx="46">
                  <c:v>6.9060773480662987E-2</c:v>
                </c:pt>
                <c:pt idx="47">
                  <c:v>4.6647230320699708E-2</c:v>
                </c:pt>
                <c:pt idx="48">
                  <c:v>6.0419235511713937E-2</c:v>
                </c:pt>
                <c:pt idx="49">
                  <c:v>4.1009463722397478E-2</c:v>
                </c:pt>
                <c:pt idx="50">
                  <c:v>7.456724367509987E-2</c:v>
                </c:pt>
                <c:pt idx="51">
                  <c:v>6.0227272727272727E-2</c:v>
                </c:pt>
                <c:pt idx="52">
                  <c:v>6.569343065693431E-2</c:v>
                </c:pt>
                <c:pt idx="53">
                  <c:v>4.8239895697522815E-2</c:v>
                </c:pt>
                <c:pt idx="54">
                  <c:v>4.4386422976501305E-2</c:v>
                </c:pt>
                <c:pt idx="55">
                  <c:v>4.8543689320388349E-2</c:v>
                </c:pt>
                <c:pt idx="56">
                  <c:v>4.9878345498783457E-2</c:v>
                </c:pt>
                <c:pt idx="57">
                  <c:v>3.4855769230769232E-2</c:v>
                </c:pt>
                <c:pt idx="58">
                  <c:v>6.3002680965147453E-2</c:v>
                </c:pt>
                <c:pt idx="59">
                  <c:v>5.568181818181818E-2</c:v>
                </c:pt>
                <c:pt idx="60">
                  <c:v>3.6686390532544376E-2</c:v>
                </c:pt>
                <c:pt idx="61">
                  <c:v>3.5279805352798052E-2</c:v>
                </c:pt>
                <c:pt idx="62">
                  <c:v>4.4843049327354258E-2</c:v>
                </c:pt>
                <c:pt idx="63">
                  <c:v>5.3970701619121049E-2</c:v>
                </c:pt>
                <c:pt idx="64">
                  <c:v>5.9602649006622516E-2</c:v>
                </c:pt>
                <c:pt idx="65">
                  <c:v>4.971098265895954E-2</c:v>
                </c:pt>
                <c:pt idx="66">
                  <c:v>4.4929396662387676E-2</c:v>
                </c:pt>
                <c:pt idx="67">
                  <c:v>5.0734312416555405E-2</c:v>
                </c:pt>
                <c:pt idx="68">
                  <c:v>4.2841037204058623E-2</c:v>
                </c:pt>
                <c:pt idx="69">
                  <c:v>6.8554396423248884E-2</c:v>
                </c:pt>
                <c:pt idx="70">
                  <c:v>4.8571428571428571E-2</c:v>
                </c:pt>
                <c:pt idx="71">
                  <c:v>4.5395590142671853E-2</c:v>
                </c:pt>
                <c:pt idx="72">
                  <c:v>7.090464547677261E-2</c:v>
                </c:pt>
                <c:pt idx="73">
                  <c:v>4.7400611620795105E-2</c:v>
                </c:pt>
                <c:pt idx="74">
                  <c:v>4.6750285062713795E-2</c:v>
                </c:pt>
                <c:pt idx="75">
                  <c:v>6.0959792477302203E-2</c:v>
                </c:pt>
                <c:pt idx="76">
                  <c:v>4.8570131638674532E-2</c:v>
                </c:pt>
                <c:pt idx="77">
                  <c:v>5.889145496535797E-2</c:v>
                </c:pt>
                <c:pt idx="78">
                  <c:v>6.4965197215777259E-2</c:v>
                </c:pt>
                <c:pt idx="79">
                  <c:v>6.5701559020044542E-2</c:v>
                </c:pt>
                <c:pt idx="80">
                  <c:v>7.4127906976744193E-2</c:v>
                </c:pt>
                <c:pt idx="81">
                  <c:v>4.3909348441926344E-2</c:v>
                </c:pt>
                <c:pt idx="82">
                  <c:v>3.5374149659863949E-2</c:v>
                </c:pt>
                <c:pt idx="83">
                  <c:v>5.4906542056074766E-2</c:v>
                </c:pt>
                <c:pt idx="84">
                  <c:v>5.5878928987194411E-2</c:v>
                </c:pt>
                <c:pt idx="85">
                  <c:v>3.948576675849403E-2</c:v>
                </c:pt>
                <c:pt idx="86">
                  <c:v>5.7401812688821753E-2</c:v>
                </c:pt>
                <c:pt idx="87">
                  <c:v>4.2746113989637305E-2</c:v>
                </c:pt>
                <c:pt idx="88">
                  <c:v>6.637168141592921E-2</c:v>
                </c:pt>
                <c:pt idx="89">
                  <c:v>3.687315634218289E-2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A-4BAC-BA4C-E306E2C4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31247"/>
        <c:axId val="855636047"/>
      </c:lineChart>
      <c:dateAx>
        <c:axId val="855631247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6047"/>
        <c:crosses val="autoZero"/>
        <c:auto val="1"/>
        <c:lblOffset val="100"/>
        <c:baseTimeUnit val="days"/>
      </c:dateAx>
      <c:valAx>
        <c:axId val="855636047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3124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altLang="zh-TW" sz="11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100" b="1" i="0" u="none" strike="noStrike" kern="1200" spc="0" baseline="0">
                <a:solidFill>
                  <a:srgbClr val="1A2B4C"/>
                </a:solidFill>
              </a:rPr>
              <a:t>Brand Awareness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altLang="zh-TW" sz="11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'Main Performance'!$L$2</c:f>
              <c:strCache>
                <c:ptCount val="1"/>
                <c:pt idx="0">
                  <c:v>Brand Awareness</c:v>
                </c:pt>
              </c:strCache>
            </c:strRef>
          </c:tx>
          <c:spPr>
            <a:ln w="28575" cap="rnd">
              <a:solidFill>
                <a:srgbClr val="8B5CF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'Main Performance'!$A$3:$A$301</c:f>
              <c:numCache>
                <c:formatCode>yyyy\-mm\-dd</c:formatCode>
                <c:ptCount val="299"/>
                <c:pt idx="0">
                  <c:v>46053</c:v>
                </c:pt>
                <c:pt idx="1">
                  <c:v>46054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46060</c:v>
                </c:pt>
                <c:pt idx="8">
                  <c:v>46061</c:v>
                </c:pt>
                <c:pt idx="9">
                  <c:v>46062</c:v>
                </c:pt>
                <c:pt idx="10">
                  <c:v>46063</c:v>
                </c:pt>
                <c:pt idx="11">
                  <c:v>46064</c:v>
                </c:pt>
                <c:pt idx="12">
                  <c:v>46065</c:v>
                </c:pt>
                <c:pt idx="13">
                  <c:v>46066</c:v>
                </c:pt>
                <c:pt idx="14">
                  <c:v>46067</c:v>
                </c:pt>
                <c:pt idx="15">
                  <c:v>46068</c:v>
                </c:pt>
                <c:pt idx="16">
                  <c:v>46069</c:v>
                </c:pt>
                <c:pt idx="17">
                  <c:v>46070</c:v>
                </c:pt>
                <c:pt idx="18">
                  <c:v>46071</c:v>
                </c:pt>
                <c:pt idx="19">
                  <c:v>46072</c:v>
                </c:pt>
                <c:pt idx="20">
                  <c:v>46073</c:v>
                </c:pt>
                <c:pt idx="21">
                  <c:v>46074</c:v>
                </c:pt>
                <c:pt idx="22">
                  <c:v>46075</c:v>
                </c:pt>
                <c:pt idx="23">
                  <c:v>46076</c:v>
                </c:pt>
                <c:pt idx="24">
                  <c:v>46077</c:v>
                </c:pt>
                <c:pt idx="25">
                  <c:v>46078</c:v>
                </c:pt>
                <c:pt idx="26">
                  <c:v>46079</c:v>
                </c:pt>
                <c:pt idx="27">
                  <c:v>46080</c:v>
                </c:pt>
                <c:pt idx="28">
                  <c:v>46081</c:v>
                </c:pt>
                <c:pt idx="29">
                  <c:v>46082</c:v>
                </c:pt>
                <c:pt idx="30">
                  <c:v>46083</c:v>
                </c:pt>
                <c:pt idx="31">
                  <c:v>46084</c:v>
                </c:pt>
                <c:pt idx="32">
                  <c:v>46085</c:v>
                </c:pt>
                <c:pt idx="33">
                  <c:v>46086</c:v>
                </c:pt>
                <c:pt idx="34">
                  <c:v>46087</c:v>
                </c:pt>
                <c:pt idx="35">
                  <c:v>46088</c:v>
                </c:pt>
                <c:pt idx="36">
                  <c:v>46089</c:v>
                </c:pt>
                <c:pt idx="37">
                  <c:v>46090</c:v>
                </c:pt>
                <c:pt idx="38">
                  <c:v>46091</c:v>
                </c:pt>
                <c:pt idx="39">
                  <c:v>46092</c:v>
                </c:pt>
                <c:pt idx="40">
                  <c:v>46093</c:v>
                </c:pt>
                <c:pt idx="41">
                  <c:v>46094</c:v>
                </c:pt>
                <c:pt idx="42">
                  <c:v>46095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46102</c:v>
                </c:pt>
                <c:pt idx="50">
                  <c:v>46103</c:v>
                </c:pt>
                <c:pt idx="51">
                  <c:v>46104</c:v>
                </c:pt>
                <c:pt idx="52">
                  <c:v>46105</c:v>
                </c:pt>
                <c:pt idx="53">
                  <c:v>46106</c:v>
                </c:pt>
                <c:pt idx="54">
                  <c:v>46107</c:v>
                </c:pt>
                <c:pt idx="55">
                  <c:v>46108</c:v>
                </c:pt>
                <c:pt idx="56">
                  <c:v>46109</c:v>
                </c:pt>
                <c:pt idx="57">
                  <c:v>46110</c:v>
                </c:pt>
                <c:pt idx="58">
                  <c:v>46111</c:v>
                </c:pt>
                <c:pt idx="59">
                  <c:v>46112</c:v>
                </c:pt>
                <c:pt idx="60">
                  <c:v>46113</c:v>
                </c:pt>
                <c:pt idx="61">
                  <c:v>46114</c:v>
                </c:pt>
                <c:pt idx="62">
                  <c:v>46115</c:v>
                </c:pt>
                <c:pt idx="63">
                  <c:v>46116</c:v>
                </c:pt>
                <c:pt idx="64">
                  <c:v>46117</c:v>
                </c:pt>
                <c:pt idx="65">
                  <c:v>46118</c:v>
                </c:pt>
                <c:pt idx="66">
                  <c:v>46119</c:v>
                </c:pt>
                <c:pt idx="67">
                  <c:v>46120</c:v>
                </c:pt>
                <c:pt idx="68">
                  <c:v>46121</c:v>
                </c:pt>
                <c:pt idx="69">
                  <c:v>46122</c:v>
                </c:pt>
                <c:pt idx="70">
                  <c:v>46123</c:v>
                </c:pt>
                <c:pt idx="71">
                  <c:v>46124</c:v>
                </c:pt>
                <c:pt idx="72">
                  <c:v>46125</c:v>
                </c:pt>
                <c:pt idx="73">
                  <c:v>46126</c:v>
                </c:pt>
                <c:pt idx="74">
                  <c:v>46127</c:v>
                </c:pt>
                <c:pt idx="75">
                  <c:v>46128</c:v>
                </c:pt>
                <c:pt idx="76">
                  <c:v>46129</c:v>
                </c:pt>
                <c:pt idx="77">
                  <c:v>46130</c:v>
                </c:pt>
                <c:pt idx="78">
                  <c:v>46131</c:v>
                </c:pt>
                <c:pt idx="79">
                  <c:v>46132</c:v>
                </c:pt>
                <c:pt idx="80">
                  <c:v>46133</c:v>
                </c:pt>
                <c:pt idx="81">
                  <c:v>46134</c:v>
                </c:pt>
                <c:pt idx="82">
                  <c:v>46135</c:v>
                </c:pt>
                <c:pt idx="83">
                  <c:v>46136</c:v>
                </c:pt>
                <c:pt idx="84">
                  <c:v>46137</c:v>
                </c:pt>
                <c:pt idx="85">
                  <c:v>46138</c:v>
                </c:pt>
                <c:pt idx="86">
                  <c:v>46139</c:v>
                </c:pt>
                <c:pt idx="87">
                  <c:v>46140</c:v>
                </c:pt>
                <c:pt idx="88">
                  <c:v>46141</c:v>
                </c:pt>
                <c:pt idx="89">
                  <c:v>46142</c:v>
                </c:pt>
              </c:numCache>
            </c:numRef>
          </c:cat>
          <c:val>
            <c:numRef>
              <c:f>'Main Performance'!$L$3:$L$310</c:f>
              <c:numCache>
                <c:formatCode>General</c:formatCode>
                <c:ptCount val="308"/>
                <c:pt idx="0">
                  <c:v>49</c:v>
                </c:pt>
                <c:pt idx="1">
                  <c:v>64</c:v>
                </c:pt>
                <c:pt idx="2">
                  <c:v>54</c:v>
                </c:pt>
                <c:pt idx="3">
                  <c:v>71</c:v>
                </c:pt>
                <c:pt idx="4">
                  <c:v>31</c:v>
                </c:pt>
                <c:pt idx="5">
                  <c:v>63</c:v>
                </c:pt>
                <c:pt idx="6">
                  <c:v>34</c:v>
                </c:pt>
                <c:pt idx="7">
                  <c:v>62</c:v>
                </c:pt>
                <c:pt idx="8">
                  <c:v>74</c:v>
                </c:pt>
                <c:pt idx="9">
                  <c:v>51</c:v>
                </c:pt>
                <c:pt idx="10">
                  <c:v>38</c:v>
                </c:pt>
                <c:pt idx="11">
                  <c:v>62</c:v>
                </c:pt>
                <c:pt idx="12">
                  <c:v>32</c:v>
                </c:pt>
                <c:pt idx="13">
                  <c:v>123</c:v>
                </c:pt>
                <c:pt idx="14">
                  <c:v>197</c:v>
                </c:pt>
                <c:pt idx="15">
                  <c:v>121</c:v>
                </c:pt>
                <c:pt idx="16">
                  <c:v>190</c:v>
                </c:pt>
                <c:pt idx="17">
                  <c:v>175</c:v>
                </c:pt>
                <c:pt idx="18">
                  <c:v>167</c:v>
                </c:pt>
                <c:pt idx="19">
                  <c:v>103</c:v>
                </c:pt>
                <c:pt idx="20">
                  <c:v>86</c:v>
                </c:pt>
                <c:pt idx="21">
                  <c:v>65</c:v>
                </c:pt>
                <c:pt idx="22">
                  <c:v>48</c:v>
                </c:pt>
                <c:pt idx="23">
                  <c:v>63</c:v>
                </c:pt>
                <c:pt idx="24">
                  <c:v>62</c:v>
                </c:pt>
                <c:pt idx="25">
                  <c:v>61</c:v>
                </c:pt>
                <c:pt idx="26">
                  <c:v>69</c:v>
                </c:pt>
                <c:pt idx="27">
                  <c:v>45</c:v>
                </c:pt>
                <c:pt idx="28">
                  <c:v>68</c:v>
                </c:pt>
                <c:pt idx="29">
                  <c:v>98</c:v>
                </c:pt>
                <c:pt idx="30">
                  <c:v>66</c:v>
                </c:pt>
                <c:pt idx="31">
                  <c:v>69</c:v>
                </c:pt>
                <c:pt idx="32">
                  <c:v>71</c:v>
                </c:pt>
                <c:pt idx="33">
                  <c:v>30</c:v>
                </c:pt>
                <c:pt idx="34">
                  <c:v>53</c:v>
                </c:pt>
                <c:pt idx="35">
                  <c:v>85</c:v>
                </c:pt>
                <c:pt idx="36">
                  <c:v>123</c:v>
                </c:pt>
                <c:pt idx="37">
                  <c:v>77</c:v>
                </c:pt>
                <c:pt idx="38">
                  <c:v>63</c:v>
                </c:pt>
                <c:pt idx="39">
                  <c:v>56</c:v>
                </c:pt>
                <c:pt idx="40">
                  <c:v>70</c:v>
                </c:pt>
                <c:pt idx="41">
                  <c:v>63</c:v>
                </c:pt>
                <c:pt idx="42">
                  <c:v>59</c:v>
                </c:pt>
                <c:pt idx="43">
                  <c:v>56</c:v>
                </c:pt>
                <c:pt idx="44">
                  <c:v>48</c:v>
                </c:pt>
                <c:pt idx="45">
                  <c:v>44</c:v>
                </c:pt>
                <c:pt idx="46">
                  <c:v>48</c:v>
                </c:pt>
                <c:pt idx="47">
                  <c:v>33</c:v>
                </c:pt>
                <c:pt idx="48">
                  <c:v>54</c:v>
                </c:pt>
                <c:pt idx="49">
                  <c:v>55</c:v>
                </c:pt>
                <c:pt idx="50">
                  <c:v>38</c:v>
                </c:pt>
                <c:pt idx="51">
                  <c:v>58</c:v>
                </c:pt>
                <c:pt idx="52">
                  <c:v>50</c:v>
                </c:pt>
                <c:pt idx="53">
                  <c:v>63</c:v>
                </c:pt>
                <c:pt idx="54">
                  <c:v>37</c:v>
                </c:pt>
                <c:pt idx="55">
                  <c:v>41</c:v>
                </c:pt>
                <c:pt idx="56">
                  <c:v>209</c:v>
                </c:pt>
                <c:pt idx="57">
                  <c:v>44</c:v>
                </c:pt>
                <c:pt idx="58">
                  <c:v>36</c:v>
                </c:pt>
                <c:pt idx="59">
                  <c:v>68</c:v>
                </c:pt>
                <c:pt idx="60">
                  <c:v>71</c:v>
                </c:pt>
                <c:pt idx="61">
                  <c:v>66</c:v>
                </c:pt>
                <c:pt idx="62">
                  <c:v>85</c:v>
                </c:pt>
                <c:pt idx="63">
                  <c:v>67</c:v>
                </c:pt>
                <c:pt idx="64">
                  <c:v>87</c:v>
                </c:pt>
                <c:pt idx="65">
                  <c:v>73</c:v>
                </c:pt>
                <c:pt idx="66">
                  <c:v>38</c:v>
                </c:pt>
                <c:pt idx="67">
                  <c:v>52</c:v>
                </c:pt>
                <c:pt idx="68">
                  <c:v>59</c:v>
                </c:pt>
                <c:pt idx="69">
                  <c:v>39</c:v>
                </c:pt>
                <c:pt idx="70">
                  <c:v>65</c:v>
                </c:pt>
                <c:pt idx="71">
                  <c:v>40</c:v>
                </c:pt>
                <c:pt idx="72">
                  <c:v>66</c:v>
                </c:pt>
                <c:pt idx="73">
                  <c:v>57</c:v>
                </c:pt>
                <c:pt idx="74">
                  <c:v>61</c:v>
                </c:pt>
                <c:pt idx="75">
                  <c:v>39</c:v>
                </c:pt>
                <c:pt idx="76">
                  <c:v>162</c:v>
                </c:pt>
                <c:pt idx="77">
                  <c:v>41</c:v>
                </c:pt>
                <c:pt idx="78">
                  <c:v>43</c:v>
                </c:pt>
                <c:pt idx="79">
                  <c:v>61</c:v>
                </c:pt>
                <c:pt idx="80">
                  <c:v>64</c:v>
                </c:pt>
                <c:pt idx="81">
                  <c:v>34</c:v>
                </c:pt>
                <c:pt idx="82">
                  <c:v>62</c:v>
                </c:pt>
                <c:pt idx="83">
                  <c:v>50</c:v>
                </c:pt>
                <c:pt idx="84">
                  <c:v>39</c:v>
                </c:pt>
                <c:pt idx="85">
                  <c:v>79</c:v>
                </c:pt>
                <c:pt idx="86">
                  <c:v>53</c:v>
                </c:pt>
                <c:pt idx="87">
                  <c:v>57</c:v>
                </c:pt>
                <c:pt idx="88">
                  <c:v>49</c:v>
                </c:pt>
                <c:pt idx="89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7-46E4-A92C-C70524BE7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646127"/>
        <c:axId val="855649967"/>
      </c:lineChart>
      <c:dateAx>
        <c:axId val="855646127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9967"/>
        <c:crosses val="autoZero"/>
        <c:auto val="1"/>
        <c:lblOffset val="100"/>
        <c:baseTimeUnit val="days"/>
      </c:dateAx>
      <c:valAx>
        <c:axId val="8556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5564612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altLang="zh-TW" sz="1200" b="1" i="0" u="none" strike="noStrike" kern="1200" spc="0" baseline="0">
                <a:solidFill>
                  <a:srgbClr val="1A2B4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Period A vs Period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altLang="zh-TW" sz="1200" b="1" i="0" u="none" strike="noStrike" kern="1200" spc="0" baseline="0">
              <a:solidFill>
                <a:srgbClr val="1A2B4C"/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2"/>
          <c:order val="0"/>
          <c:tx>
            <c:strRef>
              <c:f>Comparison!$B$2</c:f>
              <c:strCache>
                <c:ptCount val="1"/>
                <c:pt idx="0">
                  <c:v>Period A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Comparison!$A$3:$A$30</c:f>
              <c:numCache>
                <c:formatCode>ddd\ d\-mmm</c:formatCode>
                <c:ptCount val="28"/>
                <c:pt idx="0">
                  <c:v>46053</c:v>
                </c:pt>
                <c:pt idx="1">
                  <c:v>46054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46060</c:v>
                </c:pt>
                <c:pt idx="8">
                  <c:v>46061</c:v>
                </c:pt>
                <c:pt idx="9">
                  <c:v>46062</c:v>
                </c:pt>
                <c:pt idx="10">
                  <c:v>46063</c:v>
                </c:pt>
                <c:pt idx="11">
                  <c:v>46064</c:v>
                </c:pt>
                <c:pt idx="12">
                  <c:v>46065</c:v>
                </c:pt>
                <c:pt idx="13">
                  <c:v>46066</c:v>
                </c:pt>
                <c:pt idx="14">
                  <c:v>46067</c:v>
                </c:pt>
                <c:pt idx="15">
                  <c:v>46068</c:v>
                </c:pt>
                <c:pt idx="16">
                  <c:v>46069</c:v>
                </c:pt>
                <c:pt idx="17">
                  <c:v>46070</c:v>
                </c:pt>
                <c:pt idx="18">
                  <c:v>46071</c:v>
                </c:pt>
                <c:pt idx="19">
                  <c:v>46072</c:v>
                </c:pt>
                <c:pt idx="20">
                  <c:v>46073</c:v>
                </c:pt>
                <c:pt idx="21">
                  <c:v>46074</c:v>
                </c:pt>
                <c:pt idx="22">
                  <c:v>46075</c:v>
                </c:pt>
                <c:pt idx="23">
                  <c:v>46076</c:v>
                </c:pt>
                <c:pt idx="24">
                  <c:v>46077</c:v>
                </c:pt>
                <c:pt idx="25">
                  <c:v>46078</c:v>
                </c:pt>
                <c:pt idx="26">
                  <c:v>46079</c:v>
                </c:pt>
                <c:pt idx="27">
                  <c:v>46080</c:v>
                </c:pt>
              </c:numCache>
            </c:numRef>
          </c:cat>
          <c:val>
            <c:numRef>
              <c:f>Comparison!$B$3:$B$30</c:f>
              <c:numCache>
                <c:formatCode>General</c:formatCode>
                <c:ptCount val="2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11</c:v>
                </c:pt>
                <c:pt idx="4">
                  <c:v>3</c:v>
                </c:pt>
                <c:pt idx="5">
                  <c:v>9</c:v>
                </c:pt>
                <c:pt idx="6">
                  <c:v>5</c:v>
                </c:pt>
                <c:pt idx="7">
                  <c:v>7</c:v>
                </c:pt>
                <c:pt idx="8">
                  <c:v>9</c:v>
                </c:pt>
                <c:pt idx="9">
                  <c:v>7</c:v>
                </c:pt>
                <c:pt idx="10">
                  <c:v>4</c:v>
                </c:pt>
                <c:pt idx="11">
                  <c:v>9</c:v>
                </c:pt>
                <c:pt idx="12">
                  <c:v>5</c:v>
                </c:pt>
                <c:pt idx="13">
                  <c:v>22</c:v>
                </c:pt>
                <c:pt idx="14">
                  <c:v>21</c:v>
                </c:pt>
                <c:pt idx="15">
                  <c:v>22</c:v>
                </c:pt>
                <c:pt idx="16">
                  <c:v>21</c:v>
                </c:pt>
                <c:pt idx="17">
                  <c:v>28</c:v>
                </c:pt>
                <c:pt idx="18">
                  <c:v>25</c:v>
                </c:pt>
                <c:pt idx="19">
                  <c:v>22</c:v>
                </c:pt>
                <c:pt idx="20">
                  <c:v>15</c:v>
                </c:pt>
                <c:pt idx="21">
                  <c:v>9</c:v>
                </c:pt>
                <c:pt idx="22">
                  <c:v>8</c:v>
                </c:pt>
                <c:pt idx="23">
                  <c:v>6</c:v>
                </c:pt>
                <c:pt idx="24">
                  <c:v>10</c:v>
                </c:pt>
                <c:pt idx="25">
                  <c:v>8</c:v>
                </c:pt>
                <c:pt idx="26">
                  <c:v>10</c:v>
                </c:pt>
                <c:pt idx="2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76-4B71-852A-E8522283C5B6}"/>
            </c:ext>
          </c:extLst>
        </c:ser>
        <c:ser>
          <c:idx val="0"/>
          <c:order val="1"/>
          <c:tx>
            <c:strRef>
              <c:f>Comparison!$C$2</c:f>
              <c:strCache>
                <c:ptCount val="1"/>
                <c:pt idx="0">
                  <c:v>Period B</c:v>
                </c:pt>
              </c:strCache>
            </c:strRef>
          </c:tx>
          <c:spPr>
            <a:ln w="28575" cap="rnd">
              <a:solidFill>
                <a:srgbClr val="A5A5A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Comparison!$A$3:$A$30</c:f>
              <c:numCache>
                <c:formatCode>ddd\ d\-mmm</c:formatCode>
                <c:ptCount val="28"/>
                <c:pt idx="0">
                  <c:v>46053</c:v>
                </c:pt>
                <c:pt idx="1">
                  <c:v>46054</c:v>
                </c:pt>
                <c:pt idx="2">
                  <c:v>46055</c:v>
                </c:pt>
                <c:pt idx="3">
                  <c:v>46056</c:v>
                </c:pt>
                <c:pt idx="4">
                  <c:v>46057</c:v>
                </c:pt>
                <c:pt idx="5">
                  <c:v>46058</c:v>
                </c:pt>
                <c:pt idx="6">
                  <c:v>46059</c:v>
                </c:pt>
                <c:pt idx="7">
                  <c:v>46060</c:v>
                </c:pt>
                <c:pt idx="8">
                  <c:v>46061</c:v>
                </c:pt>
                <c:pt idx="9">
                  <c:v>46062</c:v>
                </c:pt>
                <c:pt idx="10">
                  <c:v>46063</c:v>
                </c:pt>
                <c:pt idx="11">
                  <c:v>46064</c:v>
                </c:pt>
                <c:pt idx="12">
                  <c:v>46065</c:v>
                </c:pt>
                <c:pt idx="13">
                  <c:v>46066</c:v>
                </c:pt>
                <c:pt idx="14">
                  <c:v>46067</c:v>
                </c:pt>
                <c:pt idx="15">
                  <c:v>46068</c:v>
                </c:pt>
                <c:pt idx="16">
                  <c:v>46069</c:v>
                </c:pt>
                <c:pt idx="17">
                  <c:v>46070</c:v>
                </c:pt>
                <c:pt idx="18">
                  <c:v>46071</c:v>
                </c:pt>
                <c:pt idx="19">
                  <c:v>46072</c:v>
                </c:pt>
                <c:pt idx="20">
                  <c:v>46073</c:v>
                </c:pt>
                <c:pt idx="21">
                  <c:v>46074</c:v>
                </c:pt>
                <c:pt idx="22">
                  <c:v>46075</c:v>
                </c:pt>
                <c:pt idx="23">
                  <c:v>46076</c:v>
                </c:pt>
                <c:pt idx="24">
                  <c:v>46077</c:v>
                </c:pt>
                <c:pt idx="25">
                  <c:v>46078</c:v>
                </c:pt>
                <c:pt idx="26">
                  <c:v>46079</c:v>
                </c:pt>
                <c:pt idx="27">
                  <c:v>46080</c:v>
                </c:pt>
              </c:numCache>
            </c:numRef>
          </c:cat>
          <c:val>
            <c:numRef>
              <c:f>Comparison!$C$3:$C$30</c:f>
              <c:numCache>
                <c:formatCode>General</c:formatCode>
                <c:ptCount val="2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10</c:v>
                </c:pt>
                <c:pt idx="8">
                  <c:v>30</c:v>
                </c:pt>
                <c:pt idx="9">
                  <c:v>15</c:v>
                </c:pt>
                <c:pt idx="10">
                  <c:v>22</c:v>
                </c:pt>
                <c:pt idx="11">
                  <c:v>18</c:v>
                </c:pt>
                <c:pt idx="12">
                  <c:v>6</c:v>
                </c:pt>
                <c:pt idx="13">
                  <c:v>5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3</c:v>
                </c:pt>
                <c:pt idx="18">
                  <c:v>6</c:v>
                </c:pt>
                <c:pt idx="19">
                  <c:v>5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9</c:v>
                </c:pt>
                <c:pt idx="24">
                  <c:v>17</c:v>
                </c:pt>
                <c:pt idx="25">
                  <c:v>5</c:v>
                </c:pt>
                <c:pt idx="26">
                  <c:v>6</c:v>
                </c:pt>
                <c:pt idx="27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76-4B71-852A-E8522283C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0757568"/>
        <c:axId val="240758048"/>
      </c:lineChart>
      <c:catAx>
        <c:axId val="240757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Date (Period 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ddd\ d\-mm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0758048"/>
        <c:crosses val="autoZero"/>
        <c:auto val="0"/>
        <c:lblAlgn val="ctr"/>
        <c:lblOffset val="100"/>
        <c:noMultiLvlLbl val="0"/>
      </c:catAx>
      <c:valAx>
        <c:axId val="24075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075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15</xdr:row>
      <xdr:rowOff>38582</xdr:rowOff>
    </xdr:from>
    <xdr:to>
      <xdr:col>7</xdr:col>
      <xdr:colOff>0</xdr:colOff>
      <xdr:row>41</xdr:row>
      <xdr:rowOff>0</xdr:rowOff>
    </xdr:to>
    <xdr:graphicFrame macro="">
      <xdr:nvGraphicFramePr>
        <xdr:cNvPr id="7" name="MainTrendPivot">
          <a:extLst>
            <a:ext uri="{FF2B5EF4-FFF2-40B4-BE49-F238E27FC236}">
              <a16:creationId xmlns:a16="http://schemas.microsoft.com/office/drawing/2014/main" id="{F5851FA9-AD8B-BB13-8017-DB1A35938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43</xdr:row>
      <xdr:rowOff>55156</xdr:rowOff>
    </xdr:from>
    <xdr:to>
      <xdr:col>2</xdr:col>
      <xdr:colOff>389949</xdr:colOff>
      <xdr:row>56</xdr:row>
      <xdr:rowOff>168623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5CF65B82-AE55-DCE9-542E-1DD96E80C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368439</xdr:colOff>
      <xdr:row>43</xdr:row>
      <xdr:rowOff>55156</xdr:rowOff>
    </xdr:from>
    <xdr:to>
      <xdr:col>3</xdr:col>
      <xdr:colOff>733163</xdr:colOff>
      <xdr:row>56</xdr:row>
      <xdr:rowOff>168623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519266E7-EDD9-3B7E-CD36-B856DEB6B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736877</xdr:colOff>
      <xdr:row>43</xdr:row>
      <xdr:rowOff>55156</xdr:rowOff>
    </xdr:from>
    <xdr:to>
      <xdr:col>4</xdr:col>
      <xdr:colOff>1101601</xdr:colOff>
      <xdr:row>56</xdr:row>
      <xdr:rowOff>168623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9CF1D211-32E1-5EF4-690B-AB6373698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1105315</xdr:colOff>
      <xdr:row>43</xdr:row>
      <xdr:rowOff>55156</xdr:rowOff>
    </xdr:from>
    <xdr:to>
      <xdr:col>5</xdr:col>
      <xdr:colOff>1470039</xdr:colOff>
      <xdr:row>56</xdr:row>
      <xdr:rowOff>168623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DA305613-A374-CC02-078B-6F3409D9C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1473753</xdr:colOff>
      <xdr:row>43</xdr:row>
      <xdr:rowOff>55156</xdr:rowOff>
    </xdr:from>
    <xdr:to>
      <xdr:col>7</xdr:col>
      <xdr:colOff>0</xdr:colOff>
      <xdr:row>56</xdr:row>
      <xdr:rowOff>168623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C50DEA3D-CA40-9678-8DF9-73D2662BF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12096</xdr:colOff>
      <xdr:row>15</xdr:row>
      <xdr:rowOff>56261</xdr:rowOff>
    </xdr:from>
    <xdr:to>
      <xdr:col>7</xdr:col>
      <xdr:colOff>1</xdr:colOff>
      <xdr:row>18</xdr:row>
      <xdr:rowOff>158351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ultiMetricSlicer">
              <a:extLst>
                <a:ext uri="{FF2B5EF4-FFF2-40B4-BE49-F238E27FC236}">
                  <a16:creationId xmlns:a16="http://schemas.microsoft.com/office/drawing/2014/main" id="{C2102465-020D-2696-7C88-3FE892F7F2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ultiMetric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9171" y="4184709"/>
              <a:ext cx="10291964" cy="6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 fLocksWithSheet="0"/>
  </xdr:twoCellAnchor>
  <xdr:twoCellAnchor>
    <xdr:from>
      <xdr:col>9</xdr:col>
      <xdr:colOff>0</xdr:colOff>
      <xdr:row>15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2" name="CompareOverlay">
          <a:extLst>
            <a:ext uri="{FF2B5EF4-FFF2-40B4-BE49-F238E27FC236}">
              <a16:creationId xmlns:a16="http://schemas.microsoft.com/office/drawing/2014/main" id="{0DBC4B00-E001-4EE8-B0B6-99934B059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nita" refreshedDate="46165.911729629632" createdVersion="8" refreshedVersion="8" minRefreshableVersion="3" recordCount="991" xr:uid="{68836216-65DA-4C1E-BC00-5D272F747357}">
  <cacheSource type="worksheet">
    <worksheetSource ref="A2:C2000" sheet="PivotStage"/>
  </cacheSource>
  <cacheFields count="3">
    <cacheField name="Date" numFmtId="14">
      <sharedItems containsNonDate="0" containsDate="1" containsString="0" containsBlank="1" minDate="2026-01-31T00:00:00" maxDate="2026-05-01T00:00:00" count="91"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m/>
      </sharedItems>
    </cacheField>
    <cacheField name="Metric" numFmtId="0">
      <sharedItems containsBlank="1" count="12">
        <s v="Views"/>
        <s v="Total Watch Time (s)"/>
        <s v="Likes"/>
        <s v="Saves"/>
        <s v="Comments"/>
        <s v="Shares"/>
        <s v="Profile Visits"/>
        <s v="New Followers"/>
        <s v="Engagement"/>
        <s v="Engagement Rate"/>
        <s v="Brand Awareness"/>
        <m/>
      </sharedItems>
    </cacheField>
    <cacheField name="Value" numFmtId="0">
      <sharedItems containsString="0" containsBlank="1" containsNumber="1" minValue="3.4855769230769232E-2" maxValue="75240"/>
    </cacheField>
  </cacheFields>
  <extLst>
    <ext xmlns:x14="http://schemas.microsoft.com/office/spreadsheetml/2009/9/main" uri="{725AE2AE-9491-48be-B2B4-4EB974FC3084}">
      <x14:pivotCacheDefinition pivotCacheId="594370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x v="0"/>
    <x v="0"/>
    <n v="1016"/>
  </r>
  <r>
    <x v="0"/>
    <x v="1"/>
    <n v="25400"/>
  </r>
  <r>
    <x v="0"/>
    <x v="2"/>
    <n v="44"/>
  </r>
  <r>
    <x v="0"/>
    <x v="3"/>
    <n v="15"/>
  </r>
  <r>
    <x v="0"/>
    <x v="4"/>
    <n v="5"/>
  </r>
  <r>
    <x v="0"/>
    <x v="5"/>
    <n v="4"/>
  </r>
  <r>
    <x v="0"/>
    <x v="6"/>
    <n v="43"/>
  </r>
  <r>
    <x v="0"/>
    <x v="7"/>
    <n v="6"/>
  </r>
  <r>
    <x v="0"/>
    <x v="8"/>
    <n v="68"/>
  </r>
  <r>
    <x v="0"/>
    <x v="9"/>
    <n v="6.6929133858267723E-2"/>
  </r>
  <r>
    <x v="0"/>
    <x v="10"/>
    <n v="49"/>
  </r>
  <r>
    <x v="1"/>
    <x v="0"/>
    <n v="908"/>
  </r>
  <r>
    <x v="1"/>
    <x v="1"/>
    <n v="19068"/>
  </r>
  <r>
    <x v="1"/>
    <x v="2"/>
    <n v="35"/>
  </r>
  <r>
    <x v="1"/>
    <x v="3"/>
    <n v="17"/>
  </r>
  <r>
    <x v="1"/>
    <x v="4"/>
    <n v="6"/>
  </r>
  <r>
    <x v="1"/>
    <x v="5"/>
    <n v="4"/>
  </r>
  <r>
    <x v="1"/>
    <x v="6"/>
    <n v="57"/>
  </r>
  <r>
    <x v="1"/>
    <x v="7"/>
    <n v="7"/>
  </r>
  <r>
    <x v="1"/>
    <x v="8"/>
    <n v="62"/>
  </r>
  <r>
    <x v="1"/>
    <x v="9"/>
    <n v="6.8281938325991193E-2"/>
  </r>
  <r>
    <x v="1"/>
    <x v="10"/>
    <n v="64"/>
  </r>
  <r>
    <x v="2"/>
    <x v="0"/>
    <n v="815"/>
  </r>
  <r>
    <x v="2"/>
    <x v="1"/>
    <n v="17115"/>
  </r>
  <r>
    <x v="2"/>
    <x v="2"/>
    <n v="26"/>
  </r>
  <r>
    <x v="2"/>
    <x v="3"/>
    <n v="9"/>
  </r>
  <r>
    <x v="2"/>
    <x v="4"/>
    <n v="2"/>
  </r>
  <r>
    <x v="2"/>
    <x v="5"/>
    <n v="2"/>
  </r>
  <r>
    <x v="2"/>
    <x v="6"/>
    <n v="46"/>
  </r>
  <r>
    <x v="2"/>
    <x v="7"/>
    <n v="8"/>
  </r>
  <r>
    <x v="2"/>
    <x v="8"/>
    <n v="39"/>
  </r>
  <r>
    <x v="2"/>
    <x v="9"/>
    <n v="4.785276073619632E-2"/>
  </r>
  <r>
    <x v="2"/>
    <x v="10"/>
    <n v="54"/>
  </r>
  <r>
    <x v="3"/>
    <x v="0"/>
    <n v="808"/>
  </r>
  <r>
    <x v="3"/>
    <x v="1"/>
    <n v="15352"/>
  </r>
  <r>
    <x v="3"/>
    <x v="2"/>
    <n v="17"/>
  </r>
  <r>
    <x v="3"/>
    <x v="3"/>
    <n v="9"/>
  </r>
  <r>
    <x v="3"/>
    <x v="4"/>
    <n v="2"/>
  </r>
  <r>
    <x v="3"/>
    <x v="5"/>
    <n v="2"/>
  </r>
  <r>
    <x v="3"/>
    <x v="6"/>
    <n v="60"/>
  </r>
  <r>
    <x v="3"/>
    <x v="7"/>
    <n v="11"/>
  </r>
  <r>
    <x v="3"/>
    <x v="8"/>
    <n v="30"/>
  </r>
  <r>
    <x v="3"/>
    <x v="9"/>
    <n v="3.7128712871287127E-2"/>
  </r>
  <r>
    <x v="3"/>
    <x v="10"/>
    <n v="71"/>
  </r>
  <r>
    <x v="4"/>
    <x v="0"/>
    <n v="673"/>
  </r>
  <r>
    <x v="4"/>
    <x v="1"/>
    <n v="14806"/>
  </r>
  <r>
    <x v="4"/>
    <x v="2"/>
    <n v="30"/>
  </r>
  <r>
    <x v="4"/>
    <x v="3"/>
    <n v="13"/>
  </r>
  <r>
    <x v="4"/>
    <x v="4"/>
    <n v="4"/>
  </r>
  <r>
    <x v="4"/>
    <x v="5"/>
    <n v="5"/>
  </r>
  <r>
    <x v="4"/>
    <x v="6"/>
    <n v="28"/>
  </r>
  <r>
    <x v="4"/>
    <x v="7"/>
    <n v="3"/>
  </r>
  <r>
    <x v="4"/>
    <x v="8"/>
    <n v="52"/>
  </r>
  <r>
    <x v="4"/>
    <x v="9"/>
    <n v="7.7265973254086184E-2"/>
  </r>
  <r>
    <x v="4"/>
    <x v="10"/>
    <n v="31"/>
  </r>
  <r>
    <x v="5"/>
    <x v="0"/>
    <n v="736"/>
  </r>
  <r>
    <x v="5"/>
    <x v="1"/>
    <n v="22080"/>
  </r>
  <r>
    <x v="5"/>
    <x v="2"/>
    <n v="29"/>
  </r>
  <r>
    <x v="5"/>
    <x v="3"/>
    <n v="11"/>
  </r>
  <r>
    <x v="5"/>
    <x v="4"/>
    <n v="3"/>
  </r>
  <r>
    <x v="5"/>
    <x v="5"/>
    <n v="3"/>
  </r>
  <r>
    <x v="5"/>
    <x v="6"/>
    <n v="54"/>
  </r>
  <r>
    <x v="5"/>
    <x v="7"/>
    <n v="9"/>
  </r>
  <r>
    <x v="5"/>
    <x v="8"/>
    <n v="46"/>
  </r>
  <r>
    <x v="5"/>
    <x v="9"/>
    <n v="6.25E-2"/>
  </r>
  <r>
    <x v="5"/>
    <x v="10"/>
    <n v="63"/>
  </r>
  <r>
    <x v="6"/>
    <x v="0"/>
    <n v="658"/>
  </r>
  <r>
    <x v="6"/>
    <x v="1"/>
    <n v="13818"/>
  </r>
  <r>
    <x v="6"/>
    <x v="2"/>
    <n v="30"/>
  </r>
  <r>
    <x v="6"/>
    <x v="3"/>
    <n v="10"/>
  </r>
  <r>
    <x v="6"/>
    <x v="4"/>
    <n v="3"/>
  </r>
  <r>
    <x v="6"/>
    <x v="5"/>
    <n v="5"/>
  </r>
  <r>
    <x v="6"/>
    <x v="6"/>
    <n v="29"/>
  </r>
  <r>
    <x v="6"/>
    <x v="7"/>
    <n v="5"/>
  </r>
  <r>
    <x v="6"/>
    <x v="8"/>
    <n v="48"/>
  </r>
  <r>
    <x v="6"/>
    <x v="9"/>
    <n v="7.29483282674772E-2"/>
  </r>
  <r>
    <x v="6"/>
    <x v="10"/>
    <n v="34"/>
  </r>
  <r>
    <x v="7"/>
    <x v="0"/>
    <n v="1031"/>
  </r>
  <r>
    <x v="7"/>
    <x v="1"/>
    <n v="28868"/>
  </r>
  <r>
    <x v="7"/>
    <x v="2"/>
    <n v="32"/>
  </r>
  <r>
    <x v="7"/>
    <x v="3"/>
    <n v="14"/>
  </r>
  <r>
    <x v="7"/>
    <x v="4"/>
    <n v="4"/>
  </r>
  <r>
    <x v="7"/>
    <x v="5"/>
    <n v="5"/>
  </r>
  <r>
    <x v="7"/>
    <x v="6"/>
    <n v="55"/>
  </r>
  <r>
    <x v="7"/>
    <x v="7"/>
    <n v="7"/>
  </r>
  <r>
    <x v="7"/>
    <x v="8"/>
    <n v="55"/>
  </r>
  <r>
    <x v="7"/>
    <x v="9"/>
    <n v="5.33462657613967E-2"/>
  </r>
  <r>
    <x v="7"/>
    <x v="10"/>
    <n v="62"/>
  </r>
  <r>
    <x v="8"/>
    <x v="0"/>
    <n v="1043"/>
  </r>
  <r>
    <x v="8"/>
    <x v="1"/>
    <n v="26075"/>
  </r>
  <r>
    <x v="8"/>
    <x v="2"/>
    <n v="48"/>
  </r>
  <r>
    <x v="8"/>
    <x v="3"/>
    <n v="16"/>
  </r>
  <r>
    <x v="8"/>
    <x v="4"/>
    <n v="7"/>
  </r>
  <r>
    <x v="8"/>
    <x v="5"/>
    <n v="6"/>
  </r>
  <r>
    <x v="8"/>
    <x v="6"/>
    <n v="65"/>
  </r>
  <r>
    <x v="8"/>
    <x v="7"/>
    <n v="9"/>
  </r>
  <r>
    <x v="8"/>
    <x v="8"/>
    <n v="77"/>
  </r>
  <r>
    <x v="8"/>
    <x v="9"/>
    <n v="7.3825503355704702E-2"/>
  </r>
  <r>
    <x v="8"/>
    <x v="10"/>
    <n v="74"/>
  </r>
  <r>
    <x v="9"/>
    <x v="0"/>
    <n v="613"/>
  </r>
  <r>
    <x v="9"/>
    <x v="1"/>
    <n v="12873"/>
  </r>
  <r>
    <x v="9"/>
    <x v="2"/>
    <n v="22"/>
  </r>
  <r>
    <x v="9"/>
    <x v="3"/>
    <n v="8"/>
  </r>
  <r>
    <x v="9"/>
    <x v="4"/>
    <n v="3"/>
  </r>
  <r>
    <x v="9"/>
    <x v="5"/>
    <n v="4"/>
  </r>
  <r>
    <x v="9"/>
    <x v="6"/>
    <n v="44"/>
  </r>
  <r>
    <x v="9"/>
    <x v="7"/>
    <n v="7"/>
  </r>
  <r>
    <x v="9"/>
    <x v="8"/>
    <n v="37"/>
  </r>
  <r>
    <x v="9"/>
    <x v="9"/>
    <n v="6.0358890701468187E-2"/>
  </r>
  <r>
    <x v="9"/>
    <x v="10"/>
    <n v="51"/>
  </r>
  <r>
    <x v="10"/>
    <x v="0"/>
    <n v="766"/>
  </r>
  <r>
    <x v="10"/>
    <x v="1"/>
    <n v="23746"/>
  </r>
  <r>
    <x v="10"/>
    <x v="2"/>
    <n v="23"/>
  </r>
  <r>
    <x v="10"/>
    <x v="3"/>
    <n v="12"/>
  </r>
  <r>
    <x v="10"/>
    <x v="4"/>
    <n v="4"/>
  </r>
  <r>
    <x v="10"/>
    <x v="5"/>
    <n v="2"/>
  </r>
  <r>
    <x v="10"/>
    <x v="6"/>
    <n v="34"/>
  </r>
  <r>
    <x v="10"/>
    <x v="7"/>
    <n v="4"/>
  </r>
  <r>
    <x v="10"/>
    <x v="8"/>
    <n v="41"/>
  </r>
  <r>
    <x v="10"/>
    <x v="9"/>
    <n v="5.3524804177545689E-2"/>
  </r>
  <r>
    <x v="10"/>
    <x v="10"/>
    <n v="38"/>
  </r>
  <r>
    <x v="11"/>
    <x v="0"/>
    <n v="803"/>
  </r>
  <r>
    <x v="11"/>
    <x v="1"/>
    <n v="22484"/>
  </r>
  <r>
    <x v="11"/>
    <x v="2"/>
    <n v="30"/>
  </r>
  <r>
    <x v="11"/>
    <x v="3"/>
    <n v="12"/>
  </r>
  <r>
    <x v="11"/>
    <x v="4"/>
    <n v="3"/>
  </r>
  <r>
    <x v="11"/>
    <x v="5"/>
    <n v="4"/>
  </r>
  <r>
    <x v="11"/>
    <x v="6"/>
    <n v="53"/>
  </r>
  <r>
    <x v="11"/>
    <x v="7"/>
    <n v="9"/>
  </r>
  <r>
    <x v="11"/>
    <x v="8"/>
    <n v="49"/>
  </r>
  <r>
    <x v="11"/>
    <x v="9"/>
    <n v="6.1021170610211707E-2"/>
  </r>
  <r>
    <x v="11"/>
    <x v="10"/>
    <n v="62"/>
  </r>
  <r>
    <x v="12"/>
    <x v="0"/>
    <n v="634"/>
  </r>
  <r>
    <x v="12"/>
    <x v="1"/>
    <n v="15216"/>
  </r>
  <r>
    <x v="12"/>
    <x v="2"/>
    <n v="23"/>
  </r>
  <r>
    <x v="12"/>
    <x v="3"/>
    <n v="10"/>
  </r>
  <r>
    <x v="12"/>
    <x v="4"/>
    <n v="3"/>
  </r>
  <r>
    <x v="12"/>
    <x v="5"/>
    <n v="2"/>
  </r>
  <r>
    <x v="12"/>
    <x v="6"/>
    <n v="27"/>
  </r>
  <r>
    <x v="12"/>
    <x v="7"/>
    <n v="5"/>
  </r>
  <r>
    <x v="12"/>
    <x v="8"/>
    <n v="38"/>
  </r>
  <r>
    <x v="12"/>
    <x v="9"/>
    <n v="5.993690851735016E-2"/>
  </r>
  <r>
    <x v="12"/>
    <x v="10"/>
    <n v="32"/>
  </r>
  <r>
    <x v="13"/>
    <x v="0"/>
    <n v="1284"/>
  </r>
  <r>
    <x v="13"/>
    <x v="1"/>
    <n v="33384"/>
  </r>
  <r>
    <x v="13"/>
    <x v="2"/>
    <n v="33"/>
  </r>
  <r>
    <x v="13"/>
    <x v="3"/>
    <n v="14"/>
  </r>
  <r>
    <x v="13"/>
    <x v="4"/>
    <n v="3"/>
  </r>
  <r>
    <x v="13"/>
    <x v="5"/>
    <n v="4"/>
  </r>
  <r>
    <x v="13"/>
    <x v="6"/>
    <n v="101"/>
  </r>
  <r>
    <x v="13"/>
    <x v="7"/>
    <n v="22"/>
  </r>
  <r>
    <x v="13"/>
    <x v="8"/>
    <n v="54"/>
  </r>
  <r>
    <x v="13"/>
    <x v="9"/>
    <n v="4.2056074766355138E-2"/>
  </r>
  <r>
    <x v="13"/>
    <x v="10"/>
    <n v="123"/>
  </r>
  <r>
    <x v="14"/>
    <x v="0"/>
    <n v="2242"/>
  </r>
  <r>
    <x v="14"/>
    <x v="1"/>
    <n v="67260"/>
  </r>
  <r>
    <x v="14"/>
    <x v="2"/>
    <n v="59"/>
  </r>
  <r>
    <x v="14"/>
    <x v="3"/>
    <n v="23"/>
  </r>
  <r>
    <x v="14"/>
    <x v="4"/>
    <n v="7"/>
  </r>
  <r>
    <x v="14"/>
    <x v="5"/>
    <n v="8"/>
  </r>
  <r>
    <x v="14"/>
    <x v="6"/>
    <n v="176"/>
  </r>
  <r>
    <x v="14"/>
    <x v="7"/>
    <n v="21"/>
  </r>
  <r>
    <x v="14"/>
    <x v="8"/>
    <n v="97"/>
  </r>
  <r>
    <x v="14"/>
    <x v="9"/>
    <n v="4.3264942016057094E-2"/>
  </r>
  <r>
    <x v="14"/>
    <x v="10"/>
    <n v="197"/>
  </r>
  <r>
    <x v="15"/>
    <x v="0"/>
    <n v="2001"/>
  </r>
  <r>
    <x v="15"/>
    <x v="1"/>
    <n v="54027"/>
  </r>
  <r>
    <x v="15"/>
    <x v="2"/>
    <n v="65"/>
  </r>
  <r>
    <x v="15"/>
    <x v="3"/>
    <n v="27"/>
  </r>
  <r>
    <x v="15"/>
    <x v="4"/>
    <n v="6"/>
  </r>
  <r>
    <x v="15"/>
    <x v="5"/>
    <n v="8"/>
  </r>
  <r>
    <x v="15"/>
    <x v="6"/>
    <n v="99"/>
  </r>
  <r>
    <x v="15"/>
    <x v="7"/>
    <n v="22"/>
  </r>
  <r>
    <x v="15"/>
    <x v="8"/>
    <n v="106"/>
  </r>
  <r>
    <x v="15"/>
    <x v="9"/>
    <n v="5.297351324337831E-2"/>
  </r>
  <r>
    <x v="15"/>
    <x v="10"/>
    <n v="121"/>
  </r>
  <r>
    <x v="16"/>
    <x v="0"/>
    <n v="2280"/>
  </r>
  <r>
    <x v="16"/>
    <x v="1"/>
    <n v="75240"/>
  </r>
  <r>
    <x v="16"/>
    <x v="2"/>
    <n v="76"/>
  </r>
  <r>
    <x v="16"/>
    <x v="3"/>
    <n v="35"/>
  </r>
  <r>
    <x v="16"/>
    <x v="4"/>
    <n v="7"/>
  </r>
  <r>
    <x v="16"/>
    <x v="5"/>
    <n v="9"/>
  </r>
  <r>
    <x v="16"/>
    <x v="6"/>
    <n v="169"/>
  </r>
  <r>
    <x v="16"/>
    <x v="7"/>
    <n v="21"/>
  </r>
  <r>
    <x v="16"/>
    <x v="8"/>
    <n v="127"/>
  </r>
  <r>
    <x v="16"/>
    <x v="9"/>
    <n v="5.5701754385964912E-2"/>
  </r>
  <r>
    <x v="16"/>
    <x v="10"/>
    <n v="190"/>
  </r>
  <r>
    <x v="17"/>
    <x v="0"/>
    <n v="2083"/>
  </r>
  <r>
    <x v="17"/>
    <x v="1"/>
    <n v="70822"/>
  </r>
  <r>
    <x v="17"/>
    <x v="2"/>
    <n v="55"/>
  </r>
  <r>
    <x v="17"/>
    <x v="3"/>
    <n v="25"/>
  </r>
  <r>
    <x v="17"/>
    <x v="4"/>
    <n v="9"/>
  </r>
  <r>
    <x v="17"/>
    <x v="5"/>
    <n v="6"/>
  </r>
  <r>
    <x v="17"/>
    <x v="6"/>
    <n v="147"/>
  </r>
  <r>
    <x v="17"/>
    <x v="7"/>
    <n v="28"/>
  </r>
  <r>
    <x v="17"/>
    <x v="8"/>
    <n v="95"/>
  </r>
  <r>
    <x v="17"/>
    <x v="9"/>
    <n v="4.5607297167546808E-2"/>
  </r>
  <r>
    <x v="17"/>
    <x v="10"/>
    <n v="175"/>
  </r>
  <r>
    <x v="18"/>
    <x v="0"/>
    <n v="2302"/>
  </r>
  <r>
    <x v="18"/>
    <x v="1"/>
    <n v="71362"/>
  </r>
  <r>
    <x v="18"/>
    <x v="2"/>
    <n v="90"/>
  </r>
  <r>
    <x v="18"/>
    <x v="3"/>
    <n v="30"/>
  </r>
  <r>
    <x v="18"/>
    <x v="4"/>
    <n v="7"/>
  </r>
  <r>
    <x v="18"/>
    <x v="5"/>
    <n v="13"/>
  </r>
  <r>
    <x v="18"/>
    <x v="6"/>
    <n v="142"/>
  </r>
  <r>
    <x v="18"/>
    <x v="7"/>
    <n v="25"/>
  </r>
  <r>
    <x v="18"/>
    <x v="8"/>
    <n v="140"/>
  </r>
  <r>
    <x v="18"/>
    <x v="9"/>
    <n v="6.0816681146828845E-2"/>
  </r>
  <r>
    <x v="18"/>
    <x v="10"/>
    <n v="167"/>
  </r>
  <r>
    <x v="19"/>
    <x v="0"/>
    <n v="1970"/>
  </r>
  <r>
    <x v="19"/>
    <x v="1"/>
    <n v="43340"/>
  </r>
  <r>
    <x v="19"/>
    <x v="2"/>
    <n v="68"/>
  </r>
  <r>
    <x v="19"/>
    <x v="3"/>
    <n v="29"/>
  </r>
  <r>
    <x v="19"/>
    <x v="4"/>
    <n v="9"/>
  </r>
  <r>
    <x v="19"/>
    <x v="5"/>
    <n v="11"/>
  </r>
  <r>
    <x v="19"/>
    <x v="6"/>
    <n v="81"/>
  </r>
  <r>
    <x v="19"/>
    <x v="7"/>
    <n v="22"/>
  </r>
  <r>
    <x v="19"/>
    <x v="8"/>
    <n v="117"/>
  </r>
  <r>
    <x v="19"/>
    <x v="9"/>
    <n v="5.9390862944162438E-2"/>
  </r>
  <r>
    <x v="19"/>
    <x v="10"/>
    <n v="103"/>
  </r>
  <r>
    <x v="20"/>
    <x v="0"/>
    <n v="1600"/>
  </r>
  <r>
    <x v="20"/>
    <x v="1"/>
    <n v="41600"/>
  </r>
  <r>
    <x v="20"/>
    <x v="2"/>
    <n v="58"/>
  </r>
  <r>
    <x v="20"/>
    <x v="3"/>
    <n v="25"/>
  </r>
  <r>
    <x v="20"/>
    <x v="4"/>
    <n v="6"/>
  </r>
  <r>
    <x v="20"/>
    <x v="5"/>
    <n v="6"/>
  </r>
  <r>
    <x v="20"/>
    <x v="6"/>
    <n v="71"/>
  </r>
  <r>
    <x v="20"/>
    <x v="7"/>
    <n v="15"/>
  </r>
  <r>
    <x v="20"/>
    <x v="8"/>
    <n v="95"/>
  </r>
  <r>
    <x v="20"/>
    <x v="9"/>
    <n v="5.9374999999999997E-2"/>
  </r>
  <r>
    <x v="20"/>
    <x v="10"/>
    <n v="86"/>
  </r>
  <r>
    <x v="21"/>
    <x v="0"/>
    <n v="739"/>
  </r>
  <r>
    <x v="21"/>
    <x v="1"/>
    <n v="19953"/>
  </r>
  <r>
    <x v="21"/>
    <x v="2"/>
    <n v="24"/>
  </r>
  <r>
    <x v="21"/>
    <x v="3"/>
    <n v="9"/>
  </r>
  <r>
    <x v="21"/>
    <x v="4"/>
    <n v="2"/>
  </r>
  <r>
    <x v="21"/>
    <x v="5"/>
    <n v="4"/>
  </r>
  <r>
    <x v="21"/>
    <x v="6"/>
    <n v="56"/>
  </r>
  <r>
    <x v="21"/>
    <x v="7"/>
    <n v="9"/>
  </r>
  <r>
    <x v="21"/>
    <x v="8"/>
    <n v="39"/>
  </r>
  <r>
    <x v="21"/>
    <x v="9"/>
    <n v="5.2774018944519621E-2"/>
  </r>
  <r>
    <x v="21"/>
    <x v="10"/>
    <n v="65"/>
  </r>
  <r>
    <x v="22"/>
    <x v="0"/>
    <n v="770"/>
  </r>
  <r>
    <x v="22"/>
    <x v="1"/>
    <n v="13860"/>
  </r>
  <r>
    <x v="22"/>
    <x v="2"/>
    <n v="20"/>
  </r>
  <r>
    <x v="22"/>
    <x v="3"/>
    <n v="11"/>
  </r>
  <r>
    <x v="22"/>
    <x v="4"/>
    <n v="3"/>
  </r>
  <r>
    <x v="22"/>
    <x v="5"/>
    <n v="3"/>
  </r>
  <r>
    <x v="22"/>
    <x v="6"/>
    <n v="40"/>
  </r>
  <r>
    <x v="22"/>
    <x v="7"/>
    <n v="8"/>
  </r>
  <r>
    <x v="22"/>
    <x v="8"/>
    <n v="37"/>
  </r>
  <r>
    <x v="22"/>
    <x v="9"/>
    <n v="4.8051948051948054E-2"/>
  </r>
  <r>
    <x v="22"/>
    <x v="10"/>
    <n v="48"/>
  </r>
  <r>
    <x v="23"/>
    <x v="0"/>
    <n v="746"/>
  </r>
  <r>
    <x v="23"/>
    <x v="1"/>
    <n v="14174"/>
  </r>
  <r>
    <x v="23"/>
    <x v="2"/>
    <n v="19"/>
  </r>
  <r>
    <x v="23"/>
    <x v="3"/>
    <n v="8"/>
  </r>
  <r>
    <x v="23"/>
    <x v="4"/>
    <n v="3"/>
  </r>
  <r>
    <x v="23"/>
    <x v="5"/>
    <n v="2"/>
  </r>
  <r>
    <x v="23"/>
    <x v="6"/>
    <n v="57"/>
  </r>
  <r>
    <x v="23"/>
    <x v="7"/>
    <n v="6"/>
  </r>
  <r>
    <x v="23"/>
    <x v="8"/>
    <n v="32"/>
  </r>
  <r>
    <x v="23"/>
    <x v="9"/>
    <n v="4.2895442359249331E-2"/>
  </r>
  <r>
    <x v="23"/>
    <x v="10"/>
    <n v="63"/>
  </r>
  <r>
    <x v="24"/>
    <x v="0"/>
    <n v="773"/>
  </r>
  <r>
    <x v="24"/>
    <x v="1"/>
    <n v="16233"/>
  </r>
  <r>
    <x v="24"/>
    <x v="2"/>
    <n v="25"/>
  </r>
  <r>
    <x v="24"/>
    <x v="3"/>
    <n v="9"/>
  </r>
  <r>
    <x v="24"/>
    <x v="4"/>
    <n v="4"/>
  </r>
  <r>
    <x v="24"/>
    <x v="5"/>
    <n v="3"/>
  </r>
  <r>
    <x v="24"/>
    <x v="6"/>
    <n v="52"/>
  </r>
  <r>
    <x v="24"/>
    <x v="7"/>
    <n v="10"/>
  </r>
  <r>
    <x v="24"/>
    <x v="8"/>
    <n v="41"/>
  </r>
  <r>
    <x v="24"/>
    <x v="9"/>
    <n v="5.3040103492884863E-2"/>
  </r>
  <r>
    <x v="24"/>
    <x v="10"/>
    <n v="62"/>
  </r>
  <r>
    <x v="25"/>
    <x v="0"/>
    <n v="682"/>
  </r>
  <r>
    <x v="25"/>
    <x v="1"/>
    <n v="12958"/>
  </r>
  <r>
    <x v="25"/>
    <x v="2"/>
    <n v="18"/>
  </r>
  <r>
    <x v="25"/>
    <x v="3"/>
    <n v="8"/>
  </r>
  <r>
    <x v="25"/>
    <x v="4"/>
    <n v="2"/>
  </r>
  <r>
    <x v="25"/>
    <x v="5"/>
    <n v="3"/>
  </r>
  <r>
    <x v="25"/>
    <x v="6"/>
    <n v="53"/>
  </r>
  <r>
    <x v="25"/>
    <x v="7"/>
    <n v="8"/>
  </r>
  <r>
    <x v="25"/>
    <x v="8"/>
    <n v="31"/>
  </r>
  <r>
    <x v="25"/>
    <x v="9"/>
    <n v="4.5454545454545456E-2"/>
  </r>
  <r>
    <x v="25"/>
    <x v="10"/>
    <n v="61"/>
  </r>
  <r>
    <x v="26"/>
    <x v="0"/>
    <n v="881"/>
  </r>
  <r>
    <x v="26"/>
    <x v="1"/>
    <n v="29954"/>
  </r>
  <r>
    <x v="26"/>
    <x v="2"/>
    <n v="22"/>
  </r>
  <r>
    <x v="26"/>
    <x v="3"/>
    <n v="8"/>
  </r>
  <r>
    <x v="26"/>
    <x v="4"/>
    <n v="2"/>
  </r>
  <r>
    <x v="26"/>
    <x v="5"/>
    <n v="3"/>
  </r>
  <r>
    <x v="26"/>
    <x v="6"/>
    <n v="59"/>
  </r>
  <r>
    <x v="26"/>
    <x v="7"/>
    <n v="10"/>
  </r>
  <r>
    <x v="26"/>
    <x v="8"/>
    <n v="35"/>
  </r>
  <r>
    <x v="26"/>
    <x v="9"/>
    <n v="3.9727582292849034E-2"/>
  </r>
  <r>
    <x v="26"/>
    <x v="10"/>
    <n v="69"/>
  </r>
  <r>
    <x v="27"/>
    <x v="0"/>
    <n v="663"/>
  </r>
  <r>
    <x v="27"/>
    <x v="1"/>
    <n v="16575"/>
  </r>
  <r>
    <x v="27"/>
    <x v="2"/>
    <n v="16"/>
  </r>
  <r>
    <x v="27"/>
    <x v="3"/>
    <n v="8"/>
  </r>
  <r>
    <x v="27"/>
    <x v="4"/>
    <n v="3"/>
  </r>
  <r>
    <x v="27"/>
    <x v="5"/>
    <n v="2"/>
  </r>
  <r>
    <x v="27"/>
    <x v="6"/>
    <n v="41"/>
  </r>
  <r>
    <x v="27"/>
    <x v="7"/>
    <n v="4"/>
  </r>
  <r>
    <x v="27"/>
    <x v="8"/>
    <n v="29"/>
  </r>
  <r>
    <x v="27"/>
    <x v="9"/>
    <n v="4.3740573152337855E-2"/>
  </r>
  <r>
    <x v="27"/>
    <x v="10"/>
    <n v="45"/>
  </r>
  <r>
    <x v="28"/>
    <x v="0"/>
    <n v="955"/>
  </r>
  <r>
    <x v="28"/>
    <x v="1"/>
    <n v="17190"/>
  </r>
  <r>
    <x v="28"/>
    <x v="2"/>
    <n v="40"/>
  </r>
  <r>
    <x v="28"/>
    <x v="3"/>
    <n v="14"/>
  </r>
  <r>
    <x v="28"/>
    <x v="4"/>
    <n v="6"/>
  </r>
  <r>
    <x v="28"/>
    <x v="5"/>
    <n v="4"/>
  </r>
  <r>
    <x v="28"/>
    <x v="6"/>
    <n v="57"/>
  </r>
  <r>
    <x v="28"/>
    <x v="7"/>
    <n v="11"/>
  </r>
  <r>
    <x v="28"/>
    <x v="8"/>
    <n v="64"/>
  </r>
  <r>
    <x v="28"/>
    <x v="9"/>
    <n v="6.7015706806282729E-2"/>
  </r>
  <r>
    <x v="28"/>
    <x v="10"/>
    <n v="68"/>
  </r>
  <r>
    <x v="29"/>
    <x v="0"/>
    <n v="1059"/>
  </r>
  <r>
    <x v="29"/>
    <x v="1"/>
    <n v="26475"/>
  </r>
  <r>
    <x v="29"/>
    <x v="2"/>
    <n v="43"/>
  </r>
  <r>
    <x v="29"/>
    <x v="3"/>
    <n v="18"/>
  </r>
  <r>
    <x v="29"/>
    <x v="4"/>
    <n v="6"/>
  </r>
  <r>
    <x v="29"/>
    <x v="5"/>
    <n v="5"/>
  </r>
  <r>
    <x v="29"/>
    <x v="6"/>
    <n v="84"/>
  </r>
  <r>
    <x v="29"/>
    <x v="7"/>
    <n v="14"/>
  </r>
  <r>
    <x v="29"/>
    <x v="8"/>
    <n v="72"/>
  </r>
  <r>
    <x v="29"/>
    <x v="9"/>
    <n v="6.79886685552408E-2"/>
  </r>
  <r>
    <x v="29"/>
    <x v="10"/>
    <n v="98"/>
  </r>
  <r>
    <x v="30"/>
    <x v="0"/>
    <n v="766"/>
  </r>
  <r>
    <x v="30"/>
    <x v="1"/>
    <n v="21448"/>
  </r>
  <r>
    <x v="30"/>
    <x v="2"/>
    <n v="27"/>
  </r>
  <r>
    <x v="30"/>
    <x v="3"/>
    <n v="12"/>
  </r>
  <r>
    <x v="30"/>
    <x v="4"/>
    <n v="4"/>
  </r>
  <r>
    <x v="30"/>
    <x v="5"/>
    <n v="3"/>
  </r>
  <r>
    <x v="30"/>
    <x v="6"/>
    <n v="56"/>
  </r>
  <r>
    <x v="30"/>
    <x v="7"/>
    <n v="10"/>
  </r>
  <r>
    <x v="30"/>
    <x v="8"/>
    <n v="46"/>
  </r>
  <r>
    <x v="30"/>
    <x v="9"/>
    <n v="6.0052219321148827E-2"/>
  </r>
  <r>
    <x v="30"/>
    <x v="10"/>
    <n v="66"/>
  </r>
  <r>
    <x v="31"/>
    <x v="0"/>
    <n v="746"/>
  </r>
  <r>
    <x v="31"/>
    <x v="1"/>
    <n v="18650"/>
  </r>
  <r>
    <x v="31"/>
    <x v="2"/>
    <n v="18"/>
  </r>
  <r>
    <x v="31"/>
    <x v="3"/>
    <n v="9"/>
  </r>
  <r>
    <x v="31"/>
    <x v="4"/>
    <n v="2"/>
  </r>
  <r>
    <x v="31"/>
    <x v="5"/>
    <n v="2"/>
  </r>
  <r>
    <x v="31"/>
    <x v="6"/>
    <n v="59"/>
  </r>
  <r>
    <x v="31"/>
    <x v="7"/>
    <n v="10"/>
  </r>
  <r>
    <x v="31"/>
    <x v="8"/>
    <n v="31"/>
  </r>
  <r>
    <x v="31"/>
    <x v="9"/>
    <n v="4.1554959785522788E-2"/>
  </r>
  <r>
    <x v="31"/>
    <x v="10"/>
    <n v="69"/>
  </r>
  <r>
    <x v="32"/>
    <x v="0"/>
    <n v="798"/>
  </r>
  <r>
    <x v="32"/>
    <x v="1"/>
    <n v="21546"/>
  </r>
  <r>
    <x v="32"/>
    <x v="2"/>
    <n v="31"/>
  </r>
  <r>
    <x v="32"/>
    <x v="3"/>
    <n v="11"/>
  </r>
  <r>
    <x v="32"/>
    <x v="4"/>
    <n v="3"/>
  </r>
  <r>
    <x v="32"/>
    <x v="5"/>
    <n v="3"/>
  </r>
  <r>
    <x v="32"/>
    <x v="6"/>
    <n v="61"/>
  </r>
  <r>
    <x v="32"/>
    <x v="7"/>
    <n v="10"/>
  </r>
  <r>
    <x v="32"/>
    <x v="8"/>
    <n v="48"/>
  </r>
  <r>
    <x v="32"/>
    <x v="9"/>
    <n v="6.0150375939849621E-2"/>
  </r>
  <r>
    <x v="32"/>
    <x v="10"/>
    <n v="71"/>
  </r>
  <r>
    <x v="33"/>
    <x v="0"/>
    <n v="666"/>
  </r>
  <r>
    <x v="33"/>
    <x v="1"/>
    <n v="20646"/>
  </r>
  <r>
    <x v="33"/>
    <x v="2"/>
    <n v="27"/>
  </r>
  <r>
    <x v="33"/>
    <x v="3"/>
    <n v="13"/>
  </r>
  <r>
    <x v="33"/>
    <x v="4"/>
    <n v="3"/>
  </r>
  <r>
    <x v="33"/>
    <x v="5"/>
    <n v="3"/>
  </r>
  <r>
    <x v="33"/>
    <x v="6"/>
    <n v="27"/>
  </r>
  <r>
    <x v="33"/>
    <x v="7"/>
    <n v="3"/>
  </r>
  <r>
    <x v="33"/>
    <x v="8"/>
    <n v="46"/>
  </r>
  <r>
    <x v="33"/>
    <x v="9"/>
    <n v="6.9069069069069067E-2"/>
  </r>
  <r>
    <x v="33"/>
    <x v="10"/>
    <n v="30"/>
  </r>
  <r>
    <x v="34"/>
    <x v="0"/>
    <n v="714"/>
  </r>
  <r>
    <x v="34"/>
    <x v="1"/>
    <n v="17850"/>
  </r>
  <r>
    <x v="34"/>
    <x v="2"/>
    <n v="26"/>
  </r>
  <r>
    <x v="34"/>
    <x v="3"/>
    <n v="12"/>
  </r>
  <r>
    <x v="34"/>
    <x v="4"/>
    <n v="2"/>
  </r>
  <r>
    <x v="34"/>
    <x v="5"/>
    <n v="2"/>
  </r>
  <r>
    <x v="34"/>
    <x v="6"/>
    <n v="45"/>
  </r>
  <r>
    <x v="34"/>
    <x v="7"/>
    <n v="8"/>
  </r>
  <r>
    <x v="34"/>
    <x v="8"/>
    <n v="42"/>
  </r>
  <r>
    <x v="34"/>
    <x v="9"/>
    <n v="5.8823529411764705E-2"/>
  </r>
  <r>
    <x v="34"/>
    <x v="10"/>
    <n v="53"/>
  </r>
  <r>
    <x v="35"/>
    <x v="0"/>
    <n v="1333"/>
  </r>
  <r>
    <x v="35"/>
    <x v="1"/>
    <n v="38657"/>
  </r>
  <r>
    <x v="35"/>
    <x v="2"/>
    <n v="49"/>
  </r>
  <r>
    <x v="35"/>
    <x v="3"/>
    <n v="17"/>
  </r>
  <r>
    <x v="35"/>
    <x v="4"/>
    <n v="6"/>
  </r>
  <r>
    <x v="35"/>
    <x v="5"/>
    <n v="7"/>
  </r>
  <r>
    <x v="35"/>
    <x v="6"/>
    <n v="72"/>
  </r>
  <r>
    <x v="35"/>
    <x v="7"/>
    <n v="13"/>
  </r>
  <r>
    <x v="35"/>
    <x v="8"/>
    <n v="79"/>
  </r>
  <r>
    <x v="35"/>
    <x v="9"/>
    <n v="5.926481620405101E-2"/>
  </r>
  <r>
    <x v="35"/>
    <x v="10"/>
    <n v="85"/>
  </r>
  <r>
    <x v="36"/>
    <x v="0"/>
    <n v="1410"/>
  </r>
  <r>
    <x v="36"/>
    <x v="1"/>
    <n v="39480"/>
  </r>
  <r>
    <x v="36"/>
    <x v="2"/>
    <n v="44"/>
  </r>
  <r>
    <x v="36"/>
    <x v="3"/>
    <n v="18"/>
  </r>
  <r>
    <x v="36"/>
    <x v="4"/>
    <n v="7"/>
  </r>
  <r>
    <x v="36"/>
    <x v="5"/>
    <n v="4"/>
  </r>
  <r>
    <x v="36"/>
    <x v="6"/>
    <n v="101"/>
  </r>
  <r>
    <x v="36"/>
    <x v="7"/>
    <n v="22"/>
  </r>
  <r>
    <x v="36"/>
    <x v="8"/>
    <n v="73"/>
  </r>
  <r>
    <x v="36"/>
    <x v="9"/>
    <n v="5.1773049645390069E-2"/>
  </r>
  <r>
    <x v="36"/>
    <x v="10"/>
    <n v="123"/>
  </r>
  <r>
    <x v="37"/>
    <x v="0"/>
    <n v="855"/>
  </r>
  <r>
    <x v="37"/>
    <x v="1"/>
    <n v="19665"/>
  </r>
  <r>
    <x v="37"/>
    <x v="2"/>
    <n v="30"/>
  </r>
  <r>
    <x v="37"/>
    <x v="3"/>
    <n v="9"/>
  </r>
  <r>
    <x v="37"/>
    <x v="4"/>
    <n v="4"/>
  </r>
  <r>
    <x v="37"/>
    <x v="5"/>
    <n v="3"/>
  </r>
  <r>
    <x v="37"/>
    <x v="6"/>
    <n v="67"/>
  </r>
  <r>
    <x v="37"/>
    <x v="7"/>
    <n v="10"/>
  </r>
  <r>
    <x v="37"/>
    <x v="8"/>
    <n v="46"/>
  </r>
  <r>
    <x v="37"/>
    <x v="9"/>
    <n v="5.3801169590643273E-2"/>
  </r>
  <r>
    <x v="37"/>
    <x v="10"/>
    <n v="77"/>
  </r>
  <r>
    <x v="38"/>
    <x v="0"/>
    <n v="788"/>
  </r>
  <r>
    <x v="38"/>
    <x v="1"/>
    <n v="14972"/>
  </r>
  <r>
    <x v="38"/>
    <x v="2"/>
    <n v="23"/>
  </r>
  <r>
    <x v="38"/>
    <x v="3"/>
    <n v="8"/>
  </r>
  <r>
    <x v="38"/>
    <x v="4"/>
    <n v="3"/>
  </r>
  <r>
    <x v="38"/>
    <x v="5"/>
    <n v="4"/>
  </r>
  <r>
    <x v="38"/>
    <x v="6"/>
    <n v="56"/>
  </r>
  <r>
    <x v="38"/>
    <x v="7"/>
    <n v="7"/>
  </r>
  <r>
    <x v="38"/>
    <x v="8"/>
    <n v="38"/>
  </r>
  <r>
    <x v="38"/>
    <x v="9"/>
    <n v="4.8223350253807105E-2"/>
  </r>
  <r>
    <x v="38"/>
    <x v="10"/>
    <n v="63"/>
  </r>
  <r>
    <x v="39"/>
    <x v="0"/>
    <n v="663"/>
  </r>
  <r>
    <x v="39"/>
    <x v="1"/>
    <n v="16575"/>
  </r>
  <r>
    <x v="39"/>
    <x v="2"/>
    <n v="19"/>
  </r>
  <r>
    <x v="39"/>
    <x v="3"/>
    <n v="7"/>
  </r>
  <r>
    <x v="39"/>
    <x v="4"/>
    <n v="2"/>
  </r>
  <r>
    <x v="39"/>
    <x v="5"/>
    <n v="2"/>
  </r>
  <r>
    <x v="39"/>
    <x v="6"/>
    <n v="50"/>
  </r>
  <r>
    <x v="39"/>
    <x v="7"/>
    <n v="6"/>
  </r>
  <r>
    <x v="39"/>
    <x v="8"/>
    <n v="30"/>
  </r>
  <r>
    <x v="39"/>
    <x v="9"/>
    <n v="4.5248868778280542E-2"/>
  </r>
  <r>
    <x v="39"/>
    <x v="10"/>
    <n v="56"/>
  </r>
  <r>
    <x v="40"/>
    <x v="0"/>
    <n v="758"/>
  </r>
  <r>
    <x v="40"/>
    <x v="1"/>
    <n v="18192"/>
  </r>
  <r>
    <x v="40"/>
    <x v="2"/>
    <n v="25"/>
  </r>
  <r>
    <x v="40"/>
    <x v="3"/>
    <n v="9"/>
  </r>
  <r>
    <x v="40"/>
    <x v="4"/>
    <n v="3"/>
  </r>
  <r>
    <x v="40"/>
    <x v="5"/>
    <n v="3"/>
  </r>
  <r>
    <x v="40"/>
    <x v="6"/>
    <n v="60"/>
  </r>
  <r>
    <x v="40"/>
    <x v="7"/>
    <n v="10"/>
  </r>
  <r>
    <x v="40"/>
    <x v="8"/>
    <n v="40"/>
  </r>
  <r>
    <x v="40"/>
    <x v="9"/>
    <n v="5.2770448548812667E-2"/>
  </r>
  <r>
    <x v="40"/>
    <x v="10"/>
    <n v="70"/>
  </r>
  <r>
    <x v="41"/>
    <x v="0"/>
    <n v="690"/>
  </r>
  <r>
    <x v="41"/>
    <x v="1"/>
    <n v="17940"/>
  </r>
  <r>
    <x v="41"/>
    <x v="2"/>
    <n v="31"/>
  </r>
  <r>
    <x v="41"/>
    <x v="3"/>
    <n v="13"/>
  </r>
  <r>
    <x v="41"/>
    <x v="4"/>
    <n v="3"/>
  </r>
  <r>
    <x v="41"/>
    <x v="5"/>
    <n v="4"/>
  </r>
  <r>
    <x v="41"/>
    <x v="6"/>
    <n v="54"/>
  </r>
  <r>
    <x v="41"/>
    <x v="7"/>
    <n v="9"/>
  </r>
  <r>
    <x v="41"/>
    <x v="8"/>
    <n v="51"/>
  </r>
  <r>
    <x v="41"/>
    <x v="9"/>
    <n v="7.3913043478260873E-2"/>
  </r>
  <r>
    <x v="41"/>
    <x v="10"/>
    <n v="63"/>
  </r>
  <r>
    <x v="42"/>
    <x v="0"/>
    <n v="963"/>
  </r>
  <r>
    <x v="42"/>
    <x v="1"/>
    <n v="26964"/>
  </r>
  <r>
    <x v="42"/>
    <x v="2"/>
    <n v="37"/>
  </r>
  <r>
    <x v="42"/>
    <x v="3"/>
    <n v="19"/>
  </r>
  <r>
    <x v="42"/>
    <x v="4"/>
    <n v="5"/>
  </r>
  <r>
    <x v="42"/>
    <x v="5"/>
    <n v="4"/>
  </r>
  <r>
    <x v="42"/>
    <x v="6"/>
    <n v="50"/>
  </r>
  <r>
    <x v="42"/>
    <x v="7"/>
    <n v="9"/>
  </r>
  <r>
    <x v="42"/>
    <x v="8"/>
    <n v="65"/>
  </r>
  <r>
    <x v="42"/>
    <x v="9"/>
    <n v="6.749740394600208E-2"/>
  </r>
  <r>
    <x v="42"/>
    <x v="10"/>
    <n v="59"/>
  </r>
  <r>
    <x v="43"/>
    <x v="0"/>
    <n v="992"/>
  </r>
  <r>
    <x v="43"/>
    <x v="1"/>
    <n v="28768"/>
  </r>
  <r>
    <x v="43"/>
    <x v="2"/>
    <n v="28"/>
  </r>
  <r>
    <x v="43"/>
    <x v="3"/>
    <n v="13"/>
  </r>
  <r>
    <x v="43"/>
    <x v="4"/>
    <n v="3"/>
  </r>
  <r>
    <x v="43"/>
    <x v="5"/>
    <n v="4"/>
  </r>
  <r>
    <x v="43"/>
    <x v="6"/>
    <n v="49"/>
  </r>
  <r>
    <x v="43"/>
    <x v="7"/>
    <n v="7"/>
  </r>
  <r>
    <x v="43"/>
    <x v="8"/>
    <n v="48"/>
  </r>
  <r>
    <x v="43"/>
    <x v="9"/>
    <n v="4.8387096774193547E-2"/>
  </r>
  <r>
    <x v="43"/>
    <x v="10"/>
    <n v="56"/>
  </r>
  <r>
    <x v="44"/>
    <x v="0"/>
    <n v="783"/>
  </r>
  <r>
    <x v="44"/>
    <x v="1"/>
    <n v="18792"/>
  </r>
  <r>
    <x v="44"/>
    <x v="2"/>
    <n v="30"/>
  </r>
  <r>
    <x v="44"/>
    <x v="3"/>
    <n v="10"/>
  </r>
  <r>
    <x v="44"/>
    <x v="4"/>
    <n v="3"/>
  </r>
  <r>
    <x v="44"/>
    <x v="5"/>
    <n v="3"/>
  </r>
  <r>
    <x v="44"/>
    <x v="6"/>
    <n v="42"/>
  </r>
  <r>
    <x v="44"/>
    <x v="7"/>
    <n v="6"/>
  </r>
  <r>
    <x v="44"/>
    <x v="8"/>
    <n v="46"/>
  </r>
  <r>
    <x v="44"/>
    <x v="9"/>
    <n v="5.8748403575989781E-2"/>
  </r>
  <r>
    <x v="44"/>
    <x v="10"/>
    <n v="48"/>
  </r>
  <r>
    <x v="45"/>
    <x v="0"/>
    <n v="734"/>
  </r>
  <r>
    <x v="45"/>
    <x v="1"/>
    <n v="17616"/>
  </r>
  <r>
    <x v="45"/>
    <x v="2"/>
    <n v="24"/>
  </r>
  <r>
    <x v="45"/>
    <x v="3"/>
    <n v="9"/>
  </r>
  <r>
    <x v="45"/>
    <x v="4"/>
    <n v="4"/>
  </r>
  <r>
    <x v="45"/>
    <x v="5"/>
    <n v="3"/>
  </r>
  <r>
    <x v="45"/>
    <x v="6"/>
    <n v="37"/>
  </r>
  <r>
    <x v="45"/>
    <x v="7"/>
    <n v="7"/>
  </r>
  <r>
    <x v="45"/>
    <x v="8"/>
    <n v="40"/>
  </r>
  <r>
    <x v="45"/>
    <x v="9"/>
    <n v="5.4495912806539509E-2"/>
  </r>
  <r>
    <x v="45"/>
    <x v="10"/>
    <n v="44"/>
  </r>
  <r>
    <x v="46"/>
    <x v="0"/>
    <n v="724"/>
  </r>
  <r>
    <x v="46"/>
    <x v="1"/>
    <n v="20272"/>
  </r>
  <r>
    <x v="46"/>
    <x v="2"/>
    <n v="30"/>
  </r>
  <r>
    <x v="46"/>
    <x v="3"/>
    <n v="12"/>
  </r>
  <r>
    <x v="46"/>
    <x v="4"/>
    <n v="4"/>
  </r>
  <r>
    <x v="46"/>
    <x v="5"/>
    <n v="4"/>
  </r>
  <r>
    <x v="46"/>
    <x v="6"/>
    <n v="43"/>
  </r>
  <r>
    <x v="46"/>
    <x v="7"/>
    <n v="5"/>
  </r>
  <r>
    <x v="46"/>
    <x v="8"/>
    <n v="50"/>
  </r>
  <r>
    <x v="46"/>
    <x v="9"/>
    <n v="6.9060773480662987E-2"/>
  </r>
  <r>
    <x v="46"/>
    <x v="10"/>
    <n v="48"/>
  </r>
  <r>
    <x v="47"/>
    <x v="0"/>
    <n v="686"/>
  </r>
  <r>
    <x v="47"/>
    <x v="1"/>
    <n v="16464"/>
  </r>
  <r>
    <x v="47"/>
    <x v="2"/>
    <n v="20"/>
  </r>
  <r>
    <x v="47"/>
    <x v="3"/>
    <n v="7"/>
  </r>
  <r>
    <x v="47"/>
    <x v="4"/>
    <n v="3"/>
  </r>
  <r>
    <x v="47"/>
    <x v="5"/>
    <n v="2"/>
  </r>
  <r>
    <x v="47"/>
    <x v="6"/>
    <n v="29"/>
  </r>
  <r>
    <x v="47"/>
    <x v="7"/>
    <n v="4"/>
  </r>
  <r>
    <x v="47"/>
    <x v="8"/>
    <n v="32"/>
  </r>
  <r>
    <x v="47"/>
    <x v="9"/>
    <n v="4.6647230320699708E-2"/>
  </r>
  <r>
    <x v="47"/>
    <x v="10"/>
    <n v="33"/>
  </r>
  <r>
    <x v="48"/>
    <x v="0"/>
    <n v="811"/>
  </r>
  <r>
    <x v="48"/>
    <x v="1"/>
    <n v="24330"/>
  </r>
  <r>
    <x v="48"/>
    <x v="2"/>
    <n v="30"/>
  </r>
  <r>
    <x v="48"/>
    <x v="3"/>
    <n v="11"/>
  </r>
  <r>
    <x v="48"/>
    <x v="4"/>
    <n v="4"/>
  </r>
  <r>
    <x v="48"/>
    <x v="5"/>
    <n v="4"/>
  </r>
  <r>
    <x v="48"/>
    <x v="6"/>
    <n v="46"/>
  </r>
  <r>
    <x v="48"/>
    <x v="7"/>
    <n v="8"/>
  </r>
  <r>
    <x v="48"/>
    <x v="8"/>
    <n v="49"/>
  </r>
  <r>
    <x v="48"/>
    <x v="9"/>
    <n v="6.0419235511713937E-2"/>
  </r>
  <r>
    <x v="48"/>
    <x v="10"/>
    <n v="54"/>
  </r>
  <r>
    <x v="49"/>
    <x v="0"/>
    <n v="951"/>
  </r>
  <r>
    <x v="49"/>
    <x v="1"/>
    <n v="23775"/>
  </r>
  <r>
    <x v="49"/>
    <x v="2"/>
    <n v="25"/>
  </r>
  <r>
    <x v="49"/>
    <x v="3"/>
    <n v="9"/>
  </r>
  <r>
    <x v="49"/>
    <x v="4"/>
    <n v="3"/>
  </r>
  <r>
    <x v="49"/>
    <x v="5"/>
    <n v="2"/>
  </r>
  <r>
    <x v="49"/>
    <x v="6"/>
    <n v="48"/>
  </r>
  <r>
    <x v="49"/>
    <x v="7"/>
    <n v="7"/>
  </r>
  <r>
    <x v="49"/>
    <x v="8"/>
    <n v="39"/>
  </r>
  <r>
    <x v="49"/>
    <x v="9"/>
    <n v="4.1009463722397478E-2"/>
  </r>
  <r>
    <x v="49"/>
    <x v="10"/>
    <n v="55"/>
  </r>
  <r>
    <x v="50"/>
    <x v="0"/>
    <n v="751"/>
  </r>
  <r>
    <x v="50"/>
    <x v="1"/>
    <n v="25534"/>
  </r>
  <r>
    <x v="50"/>
    <x v="2"/>
    <n v="33"/>
  </r>
  <r>
    <x v="50"/>
    <x v="3"/>
    <n v="13"/>
  </r>
  <r>
    <x v="50"/>
    <x v="4"/>
    <n v="5"/>
  </r>
  <r>
    <x v="50"/>
    <x v="5"/>
    <n v="5"/>
  </r>
  <r>
    <x v="50"/>
    <x v="6"/>
    <n v="34"/>
  </r>
  <r>
    <x v="50"/>
    <x v="7"/>
    <n v="4"/>
  </r>
  <r>
    <x v="50"/>
    <x v="8"/>
    <n v="56"/>
  </r>
  <r>
    <x v="50"/>
    <x v="9"/>
    <n v="7.456724367509987E-2"/>
  </r>
  <r>
    <x v="50"/>
    <x v="10"/>
    <n v="38"/>
  </r>
  <r>
    <x v="51"/>
    <x v="0"/>
    <n v="880"/>
  </r>
  <r>
    <x v="51"/>
    <x v="1"/>
    <n v="20240"/>
  </r>
  <r>
    <x v="51"/>
    <x v="2"/>
    <n v="31"/>
  </r>
  <r>
    <x v="51"/>
    <x v="3"/>
    <n v="12"/>
  </r>
  <r>
    <x v="51"/>
    <x v="4"/>
    <n v="5"/>
  </r>
  <r>
    <x v="51"/>
    <x v="5"/>
    <n v="5"/>
  </r>
  <r>
    <x v="51"/>
    <x v="6"/>
    <n v="53"/>
  </r>
  <r>
    <x v="51"/>
    <x v="7"/>
    <n v="5"/>
  </r>
  <r>
    <x v="51"/>
    <x v="8"/>
    <n v="53"/>
  </r>
  <r>
    <x v="51"/>
    <x v="9"/>
    <n v="6.0227272727272727E-2"/>
  </r>
  <r>
    <x v="51"/>
    <x v="10"/>
    <n v="58"/>
  </r>
  <r>
    <x v="52"/>
    <x v="0"/>
    <n v="822"/>
  </r>
  <r>
    <x v="52"/>
    <x v="1"/>
    <n v="20550"/>
  </r>
  <r>
    <x v="52"/>
    <x v="2"/>
    <n v="30"/>
  </r>
  <r>
    <x v="52"/>
    <x v="3"/>
    <n v="15"/>
  </r>
  <r>
    <x v="52"/>
    <x v="4"/>
    <n v="5"/>
  </r>
  <r>
    <x v="52"/>
    <x v="5"/>
    <n v="4"/>
  </r>
  <r>
    <x v="52"/>
    <x v="6"/>
    <n v="45"/>
  </r>
  <r>
    <x v="52"/>
    <x v="7"/>
    <n v="5"/>
  </r>
  <r>
    <x v="52"/>
    <x v="8"/>
    <n v="54"/>
  </r>
  <r>
    <x v="52"/>
    <x v="9"/>
    <n v="6.569343065693431E-2"/>
  </r>
  <r>
    <x v="52"/>
    <x v="10"/>
    <n v="50"/>
  </r>
  <r>
    <x v="53"/>
    <x v="0"/>
    <n v="767"/>
  </r>
  <r>
    <x v="53"/>
    <x v="1"/>
    <n v="23777"/>
  </r>
  <r>
    <x v="53"/>
    <x v="2"/>
    <n v="21"/>
  </r>
  <r>
    <x v="53"/>
    <x v="3"/>
    <n v="10"/>
  </r>
  <r>
    <x v="53"/>
    <x v="4"/>
    <n v="3"/>
  </r>
  <r>
    <x v="53"/>
    <x v="5"/>
    <n v="3"/>
  </r>
  <r>
    <x v="53"/>
    <x v="6"/>
    <n v="57"/>
  </r>
  <r>
    <x v="53"/>
    <x v="7"/>
    <n v="6"/>
  </r>
  <r>
    <x v="53"/>
    <x v="8"/>
    <n v="37"/>
  </r>
  <r>
    <x v="53"/>
    <x v="9"/>
    <n v="4.8239895697522815E-2"/>
  </r>
  <r>
    <x v="53"/>
    <x v="10"/>
    <n v="63"/>
  </r>
  <r>
    <x v="54"/>
    <x v="0"/>
    <n v="766"/>
  </r>
  <r>
    <x v="54"/>
    <x v="1"/>
    <n v="19150"/>
  </r>
  <r>
    <x v="54"/>
    <x v="2"/>
    <n v="21"/>
  </r>
  <r>
    <x v="54"/>
    <x v="3"/>
    <n v="8"/>
  </r>
  <r>
    <x v="54"/>
    <x v="4"/>
    <n v="3"/>
  </r>
  <r>
    <x v="54"/>
    <x v="5"/>
    <n v="2"/>
  </r>
  <r>
    <x v="54"/>
    <x v="6"/>
    <n v="32"/>
  </r>
  <r>
    <x v="54"/>
    <x v="7"/>
    <n v="5"/>
  </r>
  <r>
    <x v="54"/>
    <x v="8"/>
    <n v="34"/>
  </r>
  <r>
    <x v="54"/>
    <x v="9"/>
    <n v="4.4386422976501305E-2"/>
  </r>
  <r>
    <x v="54"/>
    <x v="10"/>
    <n v="37"/>
  </r>
  <r>
    <x v="55"/>
    <x v="0"/>
    <n v="824"/>
  </r>
  <r>
    <x v="55"/>
    <x v="1"/>
    <n v="17304"/>
  </r>
  <r>
    <x v="55"/>
    <x v="2"/>
    <n v="23"/>
  </r>
  <r>
    <x v="55"/>
    <x v="3"/>
    <n v="11"/>
  </r>
  <r>
    <x v="55"/>
    <x v="4"/>
    <n v="2"/>
  </r>
  <r>
    <x v="55"/>
    <x v="5"/>
    <n v="4"/>
  </r>
  <r>
    <x v="55"/>
    <x v="6"/>
    <n v="36"/>
  </r>
  <r>
    <x v="55"/>
    <x v="7"/>
    <n v="5"/>
  </r>
  <r>
    <x v="55"/>
    <x v="8"/>
    <n v="40"/>
  </r>
  <r>
    <x v="55"/>
    <x v="9"/>
    <n v="4.8543689320388349E-2"/>
  </r>
  <r>
    <x v="55"/>
    <x v="10"/>
    <n v="41"/>
  </r>
  <r>
    <x v="56"/>
    <x v="0"/>
    <n v="2466"/>
  </r>
  <r>
    <x v="56"/>
    <x v="1"/>
    <n v="69048"/>
  </r>
  <r>
    <x v="56"/>
    <x v="2"/>
    <n v="77"/>
  </r>
  <r>
    <x v="56"/>
    <x v="3"/>
    <n v="31"/>
  </r>
  <r>
    <x v="56"/>
    <x v="4"/>
    <n v="9"/>
  </r>
  <r>
    <x v="56"/>
    <x v="5"/>
    <n v="6"/>
  </r>
  <r>
    <x v="56"/>
    <x v="6"/>
    <n v="175"/>
  </r>
  <r>
    <x v="56"/>
    <x v="7"/>
    <n v="34"/>
  </r>
  <r>
    <x v="56"/>
    <x v="8"/>
    <n v="123"/>
  </r>
  <r>
    <x v="56"/>
    <x v="9"/>
    <n v="4.9878345498783457E-2"/>
  </r>
  <r>
    <x v="56"/>
    <x v="10"/>
    <n v="209"/>
  </r>
  <r>
    <x v="57"/>
    <x v="0"/>
    <n v="832"/>
  </r>
  <r>
    <x v="57"/>
    <x v="1"/>
    <n v="25792"/>
  </r>
  <r>
    <x v="57"/>
    <x v="2"/>
    <n v="19"/>
  </r>
  <r>
    <x v="57"/>
    <x v="3"/>
    <n v="6"/>
  </r>
  <r>
    <x v="57"/>
    <x v="4"/>
    <n v="2"/>
  </r>
  <r>
    <x v="57"/>
    <x v="5"/>
    <n v="2"/>
  </r>
  <r>
    <x v="57"/>
    <x v="6"/>
    <n v="39"/>
  </r>
  <r>
    <x v="57"/>
    <x v="7"/>
    <n v="5"/>
  </r>
  <r>
    <x v="57"/>
    <x v="8"/>
    <n v="29"/>
  </r>
  <r>
    <x v="57"/>
    <x v="9"/>
    <n v="3.4855769230769232E-2"/>
  </r>
  <r>
    <x v="57"/>
    <x v="10"/>
    <n v="44"/>
  </r>
  <r>
    <x v="58"/>
    <x v="0"/>
    <n v="746"/>
  </r>
  <r>
    <x v="58"/>
    <x v="1"/>
    <n v="23872"/>
  </r>
  <r>
    <x v="58"/>
    <x v="2"/>
    <n v="29"/>
  </r>
  <r>
    <x v="58"/>
    <x v="3"/>
    <n v="10"/>
  </r>
  <r>
    <x v="58"/>
    <x v="4"/>
    <n v="3"/>
  </r>
  <r>
    <x v="58"/>
    <x v="5"/>
    <n v="5"/>
  </r>
  <r>
    <x v="58"/>
    <x v="6"/>
    <n v="31"/>
  </r>
  <r>
    <x v="58"/>
    <x v="7"/>
    <n v="5"/>
  </r>
  <r>
    <x v="58"/>
    <x v="8"/>
    <n v="47"/>
  </r>
  <r>
    <x v="58"/>
    <x v="9"/>
    <n v="6.3002680965147453E-2"/>
  </r>
  <r>
    <x v="58"/>
    <x v="10"/>
    <n v="36"/>
  </r>
  <r>
    <x v="59"/>
    <x v="0"/>
    <n v="880"/>
  </r>
  <r>
    <x v="59"/>
    <x v="1"/>
    <n v="16720"/>
  </r>
  <r>
    <x v="59"/>
    <x v="2"/>
    <n v="29"/>
  </r>
  <r>
    <x v="59"/>
    <x v="3"/>
    <n v="13"/>
  </r>
  <r>
    <x v="59"/>
    <x v="4"/>
    <n v="4"/>
  </r>
  <r>
    <x v="59"/>
    <x v="5"/>
    <n v="3"/>
  </r>
  <r>
    <x v="59"/>
    <x v="6"/>
    <n v="57"/>
  </r>
  <r>
    <x v="59"/>
    <x v="7"/>
    <n v="11"/>
  </r>
  <r>
    <x v="59"/>
    <x v="8"/>
    <n v="49"/>
  </r>
  <r>
    <x v="59"/>
    <x v="9"/>
    <n v="5.568181818181818E-2"/>
  </r>
  <r>
    <x v="59"/>
    <x v="10"/>
    <n v="68"/>
  </r>
  <r>
    <x v="60"/>
    <x v="0"/>
    <n v="845"/>
  </r>
  <r>
    <x v="60"/>
    <x v="1"/>
    <n v="27040"/>
  </r>
  <r>
    <x v="60"/>
    <x v="2"/>
    <n v="19"/>
  </r>
  <r>
    <x v="60"/>
    <x v="3"/>
    <n v="7"/>
  </r>
  <r>
    <x v="60"/>
    <x v="4"/>
    <n v="2"/>
  </r>
  <r>
    <x v="60"/>
    <x v="5"/>
    <n v="3"/>
  </r>
  <r>
    <x v="60"/>
    <x v="6"/>
    <n v="61"/>
  </r>
  <r>
    <x v="60"/>
    <x v="7"/>
    <n v="10"/>
  </r>
  <r>
    <x v="60"/>
    <x v="8"/>
    <n v="31"/>
  </r>
  <r>
    <x v="60"/>
    <x v="9"/>
    <n v="3.6686390532544376E-2"/>
  </r>
  <r>
    <x v="60"/>
    <x v="10"/>
    <n v="71"/>
  </r>
  <r>
    <x v="61"/>
    <x v="0"/>
    <n v="822"/>
  </r>
  <r>
    <x v="61"/>
    <x v="1"/>
    <n v="16440"/>
  </r>
  <r>
    <x v="61"/>
    <x v="2"/>
    <n v="16"/>
  </r>
  <r>
    <x v="61"/>
    <x v="3"/>
    <n v="8"/>
  </r>
  <r>
    <x v="61"/>
    <x v="4"/>
    <n v="2"/>
  </r>
  <r>
    <x v="61"/>
    <x v="5"/>
    <n v="3"/>
  </r>
  <r>
    <x v="61"/>
    <x v="6"/>
    <n v="57"/>
  </r>
  <r>
    <x v="61"/>
    <x v="7"/>
    <n v="9"/>
  </r>
  <r>
    <x v="61"/>
    <x v="8"/>
    <n v="29"/>
  </r>
  <r>
    <x v="61"/>
    <x v="9"/>
    <n v="3.5279805352798052E-2"/>
  </r>
  <r>
    <x v="61"/>
    <x v="10"/>
    <n v="66"/>
  </r>
  <r>
    <x v="62"/>
    <x v="0"/>
    <n v="1115"/>
  </r>
  <r>
    <x v="62"/>
    <x v="1"/>
    <n v="32335"/>
  </r>
  <r>
    <x v="62"/>
    <x v="2"/>
    <n v="30"/>
  </r>
  <r>
    <x v="62"/>
    <x v="3"/>
    <n v="11"/>
  </r>
  <r>
    <x v="62"/>
    <x v="4"/>
    <n v="4"/>
  </r>
  <r>
    <x v="62"/>
    <x v="5"/>
    <n v="5"/>
  </r>
  <r>
    <x v="62"/>
    <x v="6"/>
    <n v="77"/>
  </r>
  <r>
    <x v="62"/>
    <x v="7"/>
    <n v="8"/>
  </r>
  <r>
    <x v="62"/>
    <x v="8"/>
    <n v="50"/>
  </r>
  <r>
    <x v="62"/>
    <x v="9"/>
    <n v="4.4843049327354258E-2"/>
  </r>
  <r>
    <x v="62"/>
    <x v="10"/>
    <n v="85"/>
  </r>
  <r>
    <x v="63"/>
    <x v="0"/>
    <n v="1297"/>
  </r>
  <r>
    <x v="63"/>
    <x v="1"/>
    <n v="42801"/>
  </r>
  <r>
    <x v="63"/>
    <x v="2"/>
    <n v="41"/>
  </r>
  <r>
    <x v="63"/>
    <x v="3"/>
    <n v="19"/>
  </r>
  <r>
    <x v="63"/>
    <x v="4"/>
    <n v="5"/>
  </r>
  <r>
    <x v="63"/>
    <x v="5"/>
    <n v="5"/>
  </r>
  <r>
    <x v="63"/>
    <x v="6"/>
    <n v="59"/>
  </r>
  <r>
    <x v="63"/>
    <x v="7"/>
    <n v="8"/>
  </r>
  <r>
    <x v="63"/>
    <x v="8"/>
    <n v="70"/>
  </r>
  <r>
    <x v="63"/>
    <x v="9"/>
    <n v="5.3970701619121049E-2"/>
  </r>
  <r>
    <x v="63"/>
    <x v="10"/>
    <n v="67"/>
  </r>
  <r>
    <x v="64"/>
    <x v="0"/>
    <n v="1208"/>
  </r>
  <r>
    <x v="64"/>
    <x v="1"/>
    <n v="33824"/>
  </r>
  <r>
    <x v="64"/>
    <x v="2"/>
    <n v="41"/>
  </r>
  <r>
    <x v="64"/>
    <x v="3"/>
    <n v="20"/>
  </r>
  <r>
    <x v="64"/>
    <x v="4"/>
    <n v="4"/>
  </r>
  <r>
    <x v="64"/>
    <x v="5"/>
    <n v="7"/>
  </r>
  <r>
    <x v="64"/>
    <x v="6"/>
    <n v="75"/>
  </r>
  <r>
    <x v="64"/>
    <x v="7"/>
    <n v="12"/>
  </r>
  <r>
    <x v="64"/>
    <x v="8"/>
    <n v="72"/>
  </r>
  <r>
    <x v="64"/>
    <x v="9"/>
    <n v="5.9602649006622516E-2"/>
  </r>
  <r>
    <x v="64"/>
    <x v="10"/>
    <n v="87"/>
  </r>
  <r>
    <x v="65"/>
    <x v="0"/>
    <n v="865"/>
  </r>
  <r>
    <x v="65"/>
    <x v="1"/>
    <n v="25950"/>
  </r>
  <r>
    <x v="65"/>
    <x v="2"/>
    <n v="26"/>
  </r>
  <r>
    <x v="65"/>
    <x v="3"/>
    <n v="10"/>
  </r>
  <r>
    <x v="65"/>
    <x v="4"/>
    <n v="4"/>
  </r>
  <r>
    <x v="65"/>
    <x v="5"/>
    <n v="3"/>
  </r>
  <r>
    <x v="65"/>
    <x v="6"/>
    <n v="61"/>
  </r>
  <r>
    <x v="65"/>
    <x v="7"/>
    <n v="12"/>
  </r>
  <r>
    <x v="65"/>
    <x v="8"/>
    <n v="43"/>
  </r>
  <r>
    <x v="65"/>
    <x v="9"/>
    <n v="4.971098265895954E-2"/>
  </r>
  <r>
    <x v="65"/>
    <x v="10"/>
    <n v="73"/>
  </r>
  <r>
    <x v="66"/>
    <x v="0"/>
    <n v="779"/>
  </r>
  <r>
    <x v="66"/>
    <x v="1"/>
    <n v="14022"/>
  </r>
  <r>
    <x v="66"/>
    <x v="2"/>
    <n v="22"/>
  </r>
  <r>
    <x v="66"/>
    <x v="3"/>
    <n v="8"/>
  </r>
  <r>
    <x v="66"/>
    <x v="4"/>
    <n v="3"/>
  </r>
  <r>
    <x v="66"/>
    <x v="5"/>
    <n v="2"/>
  </r>
  <r>
    <x v="66"/>
    <x v="6"/>
    <n v="34"/>
  </r>
  <r>
    <x v="66"/>
    <x v="7"/>
    <n v="4"/>
  </r>
  <r>
    <x v="66"/>
    <x v="8"/>
    <n v="35"/>
  </r>
  <r>
    <x v="66"/>
    <x v="9"/>
    <n v="4.4929396662387676E-2"/>
  </r>
  <r>
    <x v="66"/>
    <x v="10"/>
    <n v="38"/>
  </r>
  <r>
    <x v="67"/>
    <x v="0"/>
    <n v="749"/>
  </r>
  <r>
    <x v="67"/>
    <x v="1"/>
    <n v="23968"/>
  </r>
  <r>
    <x v="67"/>
    <x v="2"/>
    <n v="21"/>
  </r>
  <r>
    <x v="67"/>
    <x v="3"/>
    <n v="10"/>
  </r>
  <r>
    <x v="67"/>
    <x v="4"/>
    <n v="3"/>
  </r>
  <r>
    <x v="67"/>
    <x v="5"/>
    <n v="4"/>
  </r>
  <r>
    <x v="67"/>
    <x v="6"/>
    <n v="45"/>
  </r>
  <r>
    <x v="67"/>
    <x v="7"/>
    <n v="7"/>
  </r>
  <r>
    <x v="67"/>
    <x v="8"/>
    <n v="38"/>
  </r>
  <r>
    <x v="67"/>
    <x v="9"/>
    <n v="5.0734312416555405E-2"/>
  </r>
  <r>
    <x v="67"/>
    <x v="10"/>
    <n v="52"/>
  </r>
  <r>
    <x v="68"/>
    <x v="0"/>
    <n v="887"/>
  </r>
  <r>
    <x v="68"/>
    <x v="1"/>
    <n v="27497"/>
  </r>
  <r>
    <x v="68"/>
    <x v="2"/>
    <n v="23"/>
  </r>
  <r>
    <x v="68"/>
    <x v="3"/>
    <n v="10"/>
  </r>
  <r>
    <x v="68"/>
    <x v="4"/>
    <n v="3"/>
  </r>
  <r>
    <x v="68"/>
    <x v="5"/>
    <n v="2"/>
  </r>
  <r>
    <x v="68"/>
    <x v="6"/>
    <n v="50"/>
  </r>
  <r>
    <x v="68"/>
    <x v="7"/>
    <n v="9"/>
  </r>
  <r>
    <x v="68"/>
    <x v="8"/>
    <n v="38"/>
  </r>
  <r>
    <x v="68"/>
    <x v="9"/>
    <n v="4.2841037204058623E-2"/>
  </r>
  <r>
    <x v="68"/>
    <x v="10"/>
    <n v="59"/>
  </r>
  <r>
    <x v="69"/>
    <x v="0"/>
    <n v="671"/>
  </r>
  <r>
    <x v="69"/>
    <x v="1"/>
    <n v="21472"/>
  </r>
  <r>
    <x v="69"/>
    <x v="2"/>
    <n v="26"/>
  </r>
  <r>
    <x v="69"/>
    <x v="3"/>
    <n v="13"/>
  </r>
  <r>
    <x v="69"/>
    <x v="4"/>
    <n v="4"/>
  </r>
  <r>
    <x v="69"/>
    <x v="5"/>
    <n v="3"/>
  </r>
  <r>
    <x v="69"/>
    <x v="6"/>
    <n v="33"/>
  </r>
  <r>
    <x v="69"/>
    <x v="7"/>
    <n v="6"/>
  </r>
  <r>
    <x v="69"/>
    <x v="8"/>
    <n v="46"/>
  </r>
  <r>
    <x v="69"/>
    <x v="9"/>
    <n v="6.8554396423248884E-2"/>
  </r>
  <r>
    <x v="69"/>
    <x v="10"/>
    <n v="39"/>
  </r>
  <r>
    <x v="70"/>
    <x v="0"/>
    <n v="1050"/>
  </r>
  <r>
    <x v="70"/>
    <x v="1"/>
    <n v="30450"/>
  </r>
  <r>
    <x v="70"/>
    <x v="2"/>
    <n v="30"/>
  </r>
  <r>
    <x v="70"/>
    <x v="3"/>
    <n v="14"/>
  </r>
  <r>
    <x v="70"/>
    <x v="4"/>
    <n v="3"/>
  </r>
  <r>
    <x v="70"/>
    <x v="5"/>
    <n v="4"/>
  </r>
  <r>
    <x v="70"/>
    <x v="6"/>
    <n v="55"/>
  </r>
  <r>
    <x v="70"/>
    <x v="7"/>
    <n v="10"/>
  </r>
  <r>
    <x v="70"/>
    <x v="8"/>
    <n v="51"/>
  </r>
  <r>
    <x v="70"/>
    <x v="9"/>
    <n v="4.8571428571428571E-2"/>
  </r>
  <r>
    <x v="70"/>
    <x v="10"/>
    <n v="65"/>
  </r>
  <r>
    <x v="71"/>
    <x v="0"/>
    <n v="771"/>
  </r>
  <r>
    <x v="71"/>
    <x v="1"/>
    <n v="18504"/>
  </r>
  <r>
    <x v="71"/>
    <x v="2"/>
    <n v="21"/>
  </r>
  <r>
    <x v="71"/>
    <x v="3"/>
    <n v="9"/>
  </r>
  <r>
    <x v="71"/>
    <x v="4"/>
    <n v="2"/>
  </r>
  <r>
    <x v="71"/>
    <x v="5"/>
    <n v="3"/>
  </r>
  <r>
    <x v="71"/>
    <x v="6"/>
    <n v="36"/>
  </r>
  <r>
    <x v="71"/>
    <x v="7"/>
    <n v="4"/>
  </r>
  <r>
    <x v="71"/>
    <x v="8"/>
    <n v="35"/>
  </r>
  <r>
    <x v="71"/>
    <x v="9"/>
    <n v="4.5395590142671853E-2"/>
  </r>
  <r>
    <x v="71"/>
    <x v="10"/>
    <n v="40"/>
  </r>
  <r>
    <x v="72"/>
    <x v="0"/>
    <n v="818"/>
  </r>
  <r>
    <x v="72"/>
    <x v="1"/>
    <n v="26176"/>
  </r>
  <r>
    <x v="72"/>
    <x v="2"/>
    <n v="34"/>
  </r>
  <r>
    <x v="72"/>
    <x v="3"/>
    <n v="17"/>
  </r>
  <r>
    <x v="72"/>
    <x v="4"/>
    <n v="3"/>
  </r>
  <r>
    <x v="72"/>
    <x v="5"/>
    <n v="4"/>
  </r>
  <r>
    <x v="72"/>
    <x v="6"/>
    <n v="56"/>
  </r>
  <r>
    <x v="72"/>
    <x v="7"/>
    <n v="10"/>
  </r>
  <r>
    <x v="72"/>
    <x v="8"/>
    <n v="58"/>
  </r>
  <r>
    <x v="72"/>
    <x v="9"/>
    <n v="7.090464547677261E-2"/>
  </r>
  <r>
    <x v="72"/>
    <x v="10"/>
    <n v="66"/>
  </r>
  <r>
    <x v="73"/>
    <x v="0"/>
    <n v="654"/>
  </r>
  <r>
    <x v="73"/>
    <x v="1"/>
    <n v="19620"/>
  </r>
  <r>
    <x v="73"/>
    <x v="2"/>
    <n v="19"/>
  </r>
  <r>
    <x v="73"/>
    <x v="3"/>
    <n v="7"/>
  </r>
  <r>
    <x v="73"/>
    <x v="4"/>
    <n v="3"/>
  </r>
  <r>
    <x v="73"/>
    <x v="5"/>
    <n v="2"/>
  </r>
  <r>
    <x v="73"/>
    <x v="6"/>
    <n v="50"/>
  </r>
  <r>
    <x v="73"/>
    <x v="7"/>
    <n v="7"/>
  </r>
  <r>
    <x v="73"/>
    <x v="8"/>
    <n v="31"/>
  </r>
  <r>
    <x v="73"/>
    <x v="9"/>
    <n v="4.7400611620795105E-2"/>
  </r>
  <r>
    <x v="73"/>
    <x v="10"/>
    <n v="57"/>
  </r>
  <r>
    <x v="74"/>
    <x v="0"/>
    <n v="877"/>
  </r>
  <r>
    <x v="74"/>
    <x v="1"/>
    <n v="25433"/>
  </r>
  <r>
    <x v="74"/>
    <x v="2"/>
    <n v="25"/>
  </r>
  <r>
    <x v="74"/>
    <x v="3"/>
    <n v="9"/>
  </r>
  <r>
    <x v="74"/>
    <x v="4"/>
    <n v="3"/>
  </r>
  <r>
    <x v="74"/>
    <x v="5"/>
    <n v="4"/>
  </r>
  <r>
    <x v="74"/>
    <x v="6"/>
    <n v="51"/>
  </r>
  <r>
    <x v="74"/>
    <x v="7"/>
    <n v="10"/>
  </r>
  <r>
    <x v="74"/>
    <x v="8"/>
    <n v="41"/>
  </r>
  <r>
    <x v="74"/>
    <x v="9"/>
    <n v="4.6750285062713795E-2"/>
  </r>
  <r>
    <x v="74"/>
    <x v="10"/>
    <n v="61"/>
  </r>
  <r>
    <x v="75"/>
    <x v="0"/>
    <n v="771"/>
  </r>
  <r>
    <x v="75"/>
    <x v="1"/>
    <n v="25443"/>
  </r>
  <r>
    <x v="75"/>
    <x v="2"/>
    <n v="28"/>
  </r>
  <r>
    <x v="75"/>
    <x v="3"/>
    <n v="13"/>
  </r>
  <r>
    <x v="75"/>
    <x v="4"/>
    <n v="3"/>
  </r>
  <r>
    <x v="75"/>
    <x v="5"/>
    <n v="3"/>
  </r>
  <r>
    <x v="75"/>
    <x v="6"/>
    <n v="33"/>
  </r>
  <r>
    <x v="75"/>
    <x v="7"/>
    <n v="6"/>
  </r>
  <r>
    <x v="75"/>
    <x v="8"/>
    <n v="47"/>
  </r>
  <r>
    <x v="75"/>
    <x v="9"/>
    <n v="6.0959792477302203E-2"/>
  </r>
  <r>
    <x v="75"/>
    <x v="10"/>
    <n v="39"/>
  </r>
  <r>
    <x v="76"/>
    <x v="0"/>
    <n v="2203"/>
  </r>
  <r>
    <x v="76"/>
    <x v="1"/>
    <n v="39654"/>
  </r>
  <r>
    <x v="76"/>
    <x v="2"/>
    <n v="66"/>
  </r>
  <r>
    <x v="76"/>
    <x v="3"/>
    <n v="26"/>
  </r>
  <r>
    <x v="76"/>
    <x v="4"/>
    <n v="7"/>
  </r>
  <r>
    <x v="76"/>
    <x v="5"/>
    <n v="8"/>
  </r>
  <r>
    <x v="76"/>
    <x v="6"/>
    <n v="136"/>
  </r>
  <r>
    <x v="76"/>
    <x v="7"/>
    <n v="26"/>
  </r>
  <r>
    <x v="76"/>
    <x v="8"/>
    <n v="107"/>
  </r>
  <r>
    <x v="76"/>
    <x v="9"/>
    <n v="4.8570131638674532E-2"/>
  </r>
  <r>
    <x v="76"/>
    <x v="10"/>
    <n v="162"/>
  </r>
  <r>
    <x v="77"/>
    <x v="0"/>
    <n v="866"/>
  </r>
  <r>
    <x v="77"/>
    <x v="1"/>
    <n v="19052"/>
  </r>
  <r>
    <x v="77"/>
    <x v="2"/>
    <n v="32"/>
  </r>
  <r>
    <x v="77"/>
    <x v="3"/>
    <n v="12"/>
  </r>
  <r>
    <x v="77"/>
    <x v="4"/>
    <n v="4"/>
  </r>
  <r>
    <x v="77"/>
    <x v="5"/>
    <n v="3"/>
  </r>
  <r>
    <x v="77"/>
    <x v="6"/>
    <n v="36"/>
  </r>
  <r>
    <x v="77"/>
    <x v="7"/>
    <n v="5"/>
  </r>
  <r>
    <x v="77"/>
    <x v="8"/>
    <n v="51"/>
  </r>
  <r>
    <x v="77"/>
    <x v="9"/>
    <n v="5.889145496535797E-2"/>
  </r>
  <r>
    <x v="77"/>
    <x v="10"/>
    <n v="41"/>
  </r>
  <r>
    <x v="78"/>
    <x v="0"/>
    <n v="862"/>
  </r>
  <r>
    <x v="78"/>
    <x v="1"/>
    <n v="24136"/>
  </r>
  <r>
    <x v="78"/>
    <x v="2"/>
    <n v="34"/>
  </r>
  <r>
    <x v="78"/>
    <x v="3"/>
    <n v="14"/>
  </r>
  <r>
    <x v="78"/>
    <x v="4"/>
    <n v="5"/>
  </r>
  <r>
    <x v="78"/>
    <x v="5"/>
    <n v="3"/>
  </r>
  <r>
    <x v="78"/>
    <x v="6"/>
    <n v="38"/>
  </r>
  <r>
    <x v="78"/>
    <x v="7"/>
    <n v="5"/>
  </r>
  <r>
    <x v="78"/>
    <x v="8"/>
    <n v="56"/>
  </r>
  <r>
    <x v="78"/>
    <x v="9"/>
    <n v="6.4965197215777259E-2"/>
  </r>
  <r>
    <x v="78"/>
    <x v="10"/>
    <n v="43"/>
  </r>
  <r>
    <x v="79"/>
    <x v="0"/>
    <n v="898"/>
  </r>
  <r>
    <x v="79"/>
    <x v="1"/>
    <n v="21552"/>
  </r>
  <r>
    <x v="79"/>
    <x v="2"/>
    <n v="37"/>
  </r>
  <r>
    <x v="79"/>
    <x v="3"/>
    <n v="14"/>
  </r>
  <r>
    <x v="79"/>
    <x v="4"/>
    <n v="4"/>
  </r>
  <r>
    <x v="79"/>
    <x v="5"/>
    <n v="4"/>
  </r>
  <r>
    <x v="79"/>
    <x v="6"/>
    <n v="54"/>
  </r>
  <r>
    <x v="79"/>
    <x v="7"/>
    <n v="7"/>
  </r>
  <r>
    <x v="79"/>
    <x v="8"/>
    <n v="59"/>
  </r>
  <r>
    <x v="79"/>
    <x v="9"/>
    <n v="6.5701559020044542E-2"/>
  </r>
  <r>
    <x v="79"/>
    <x v="10"/>
    <n v="61"/>
  </r>
  <r>
    <x v="80"/>
    <x v="0"/>
    <n v="688"/>
  </r>
  <r>
    <x v="80"/>
    <x v="1"/>
    <n v="22016"/>
  </r>
  <r>
    <x v="80"/>
    <x v="2"/>
    <n v="31"/>
  </r>
  <r>
    <x v="80"/>
    <x v="3"/>
    <n v="13"/>
  </r>
  <r>
    <x v="80"/>
    <x v="4"/>
    <n v="3"/>
  </r>
  <r>
    <x v="80"/>
    <x v="5"/>
    <n v="4"/>
  </r>
  <r>
    <x v="80"/>
    <x v="6"/>
    <n v="54"/>
  </r>
  <r>
    <x v="80"/>
    <x v="7"/>
    <n v="10"/>
  </r>
  <r>
    <x v="80"/>
    <x v="8"/>
    <n v="51"/>
  </r>
  <r>
    <x v="80"/>
    <x v="9"/>
    <n v="7.4127906976744193E-2"/>
  </r>
  <r>
    <x v="80"/>
    <x v="10"/>
    <n v="64"/>
  </r>
  <r>
    <x v="81"/>
    <x v="0"/>
    <n v="706"/>
  </r>
  <r>
    <x v="81"/>
    <x v="1"/>
    <n v="22592"/>
  </r>
  <r>
    <x v="81"/>
    <x v="2"/>
    <n v="17"/>
  </r>
  <r>
    <x v="81"/>
    <x v="3"/>
    <n v="9"/>
  </r>
  <r>
    <x v="81"/>
    <x v="4"/>
    <n v="3"/>
  </r>
  <r>
    <x v="81"/>
    <x v="5"/>
    <n v="2"/>
  </r>
  <r>
    <x v="81"/>
    <x v="6"/>
    <n v="30"/>
  </r>
  <r>
    <x v="81"/>
    <x v="7"/>
    <n v="4"/>
  </r>
  <r>
    <x v="81"/>
    <x v="8"/>
    <n v="31"/>
  </r>
  <r>
    <x v="81"/>
    <x v="9"/>
    <n v="4.3909348441926344E-2"/>
  </r>
  <r>
    <x v="81"/>
    <x v="10"/>
    <n v="34"/>
  </r>
  <r>
    <x v="82"/>
    <x v="0"/>
    <n v="735"/>
  </r>
  <r>
    <x v="82"/>
    <x v="1"/>
    <n v="21315"/>
  </r>
  <r>
    <x v="82"/>
    <x v="2"/>
    <n v="15"/>
  </r>
  <r>
    <x v="82"/>
    <x v="3"/>
    <n v="7"/>
  </r>
  <r>
    <x v="82"/>
    <x v="4"/>
    <n v="2"/>
  </r>
  <r>
    <x v="82"/>
    <x v="5"/>
    <n v="2"/>
  </r>
  <r>
    <x v="82"/>
    <x v="6"/>
    <n v="55"/>
  </r>
  <r>
    <x v="82"/>
    <x v="7"/>
    <n v="7"/>
  </r>
  <r>
    <x v="82"/>
    <x v="8"/>
    <n v="26"/>
  </r>
  <r>
    <x v="82"/>
    <x v="9"/>
    <n v="3.5374149659863949E-2"/>
  </r>
  <r>
    <x v="82"/>
    <x v="10"/>
    <n v="62"/>
  </r>
  <r>
    <x v="83"/>
    <x v="0"/>
    <n v="856"/>
  </r>
  <r>
    <x v="83"/>
    <x v="1"/>
    <n v="29960"/>
  </r>
  <r>
    <x v="83"/>
    <x v="2"/>
    <n v="27"/>
  </r>
  <r>
    <x v="83"/>
    <x v="3"/>
    <n v="13"/>
  </r>
  <r>
    <x v="83"/>
    <x v="4"/>
    <n v="3"/>
  </r>
  <r>
    <x v="83"/>
    <x v="5"/>
    <n v="4"/>
  </r>
  <r>
    <x v="83"/>
    <x v="6"/>
    <n v="45"/>
  </r>
  <r>
    <x v="83"/>
    <x v="7"/>
    <n v="5"/>
  </r>
  <r>
    <x v="83"/>
    <x v="8"/>
    <n v="47"/>
  </r>
  <r>
    <x v="83"/>
    <x v="9"/>
    <n v="5.4906542056074766E-2"/>
  </r>
  <r>
    <x v="83"/>
    <x v="10"/>
    <n v="50"/>
  </r>
  <r>
    <x v="84"/>
    <x v="0"/>
    <n v="859"/>
  </r>
  <r>
    <x v="84"/>
    <x v="1"/>
    <n v="16321"/>
  </r>
  <r>
    <x v="84"/>
    <x v="2"/>
    <n v="28"/>
  </r>
  <r>
    <x v="84"/>
    <x v="3"/>
    <n v="14"/>
  </r>
  <r>
    <x v="84"/>
    <x v="4"/>
    <n v="3"/>
  </r>
  <r>
    <x v="84"/>
    <x v="5"/>
    <n v="3"/>
  </r>
  <r>
    <x v="84"/>
    <x v="6"/>
    <n v="35"/>
  </r>
  <r>
    <x v="84"/>
    <x v="7"/>
    <n v="4"/>
  </r>
  <r>
    <x v="84"/>
    <x v="8"/>
    <n v="48"/>
  </r>
  <r>
    <x v="84"/>
    <x v="9"/>
    <n v="5.5878928987194411E-2"/>
  </r>
  <r>
    <x v="84"/>
    <x v="10"/>
    <n v="39"/>
  </r>
  <r>
    <x v="85"/>
    <x v="0"/>
    <n v="1089"/>
  </r>
  <r>
    <x v="85"/>
    <x v="1"/>
    <n v="25047"/>
  </r>
  <r>
    <x v="85"/>
    <x v="2"/>
    <n v="26"/>
  </r>
  <r>
    <x v="85"/>
    <x v="3"/>
    <n v="10"/>
  </r>
  <r>
    <x v="85"/>
    <x v="4"/>
    <n v="3"/>
  </r>
  <r>
    <x v="85"/>
    <x v="5"/>
    <n v="4"/>
  </r>
  <r>
    <x v="85"/>
    <x v="6"/>
    <n v="68"/>
  </r>
  <r>
    <x v="85"/>
    <x v="7"/>
    <n v="11"/>
  </r>
  <r>
    <x v="85"/>
    <x v="8"/>
    <n v="43"/>
  </r>
  <r>
    <x v="85"/>
    <x v="9"/>
    <n v="3.948576675849403E-2"/>
  </r>
  <r>
    <x v="85"/>
    <x v="10"/>
    <n v="79"/>
  </r>
  <r>
    <x v="86"/>
    <x v="0"/>
    <n v="662"/>
  </r>
  <r>
    <x v="86"/>
    <x v="1"/>
    <n v="13902"/>
  </r>
  <r>
    <x v="86"/>
    <x v="2"/>
    <n v="23"/>
  </r>
  <r>
    <x v="86"/>
    <x v="3"/>
    <n v="8"/>
  </r>
  <r>
    <x v="86"/>
    <x v="4"/>
    <n v="4"/>
  </r>
  <r>
    <x v="86"/>
    <x v="5"/>
    <n v="3"/>
  </r>
  <r>
    <x v="86"/>
    <x v="6"/>
    <n v="46"/>
  </r>
  <r>
    <x v="86"/>
    <x v="7"/>
    <n v="7"/>
  </r>
  <r>
    <x v="86"/>
    <x v="8"/>
    <n v="38"/>
  </r>
  <r>
    <x v="86"/>
    <x v="9"/>
    <n v="5.7401812688821753E-2"/>
  </r>
  <r>
    <x v="86"/>
    <x v="10"/>
    <n v="53"/>
  </r>
  <r>
    <x v="87"/>
    <x v="0"/>
    <n v="772"/>
  </r>
  <r>
    <x v="87"/>
    <x v="1"/>
    <n v="20844"/>
  </r>
  <r>
    <x v="87"/>
    <x v="2"/>
    <n v="19"/>
  </r>
  <r>
    <x v="87"/>
    <x v="3"/>
    <n v="9"/>
  </r>
  <r>
    <x v="87"/>
    <x v="4"/>
    <n v="2"/>
  </r>
  <r>
    <x v="87"/>
    <x v="5"/>
    <n v="3"/>
  </r>
  <r>
    <x v="87"/>
    <x v="6"/>
    <n v="49"/>
  </r>
  <r>
    <x v="87"/>
    <x v="7"/>
    <n v="8"/>
  </r>
  <r>
    <x v="87"/>
    <x v="8"/>
    <n v="33"/>
  </r>
  <r>
    <x v="87"/>
    <x v="9"/>
    <n v="4.2746113989637305E-2"/>
  </r>
  <r>
    <x v="87"/>
    <x v="10"/>
    <n v="57"/>
  </r>
  <r>
    <x v="88"/>
    <x v="0"/>
    <n v="678"/>
  </r>
  <r>
    <x v="88"/>
    <x v="1"/>
    <n v="23052"/>
  </r>
  <r>
    <x v="88"/>
    <x v="2"/>
    <n v="26"/>
  </r>
  <r>
    <x v="88"/>
    <x v="3"/>
    <n v="12"/>
  </r>
  <r>
    <x v="88"/>
    <x v="4"/>
    <n v="3"/>
  </r>
  <r>
    <x v="88"/>
    <x v="5"/>
    <n v="4"/>
  </r>
  <r>
    <x v="88"/>
    <x v="6"/>
    <n v="42"/>
  </r>
  <r>
    <x v="88"/>
    <x v="7"/>
    <n v="7"/>
  </r>
  <r>
    <x v="88"/>
    <x v="8"/>
    <n v="45"/>
  </r>
  <r>
    <x v="88"/>
    <x v="9"/>
    <n v="6.637168141592921E-2"/>
  </r>
  <r>
    <x v="88"/>
    <x v="10"/>
    <n v="49"/>
  </r>
  <r>
    <x v="89"/>
    <x v="0"/>
    <n v="678"/>
  </r>
  <r>
    <x v="89"/>
    <x v="1"/>
    <n v="15594"/>
  </r>
  <r>
    <x v="89"/>
    <x v="2"/>
    <n v="15"/>
  </r>
  <r>
    <x v="89"/>
    <x v="3"/>
    <n v="6"/>
  </r>
  <r>
    <x v="89"/>
    <x v="4"/>
    <n v="2"/>
  </r>
  <r>
    <x v="89"/>
    <x v="5"/>
    <n v="2"/>
  </r>
  <r>
    <x v="89"/>
    <x v="6"/>
    <n v="39"/>
  </r>
  <r>
    <x v="89"/>
    <x v="7"/>
    <n v="5"/>
  </r>
  <r>
    <x v="89"/>
    <x v="8"/>
    <n v="25"/>
  </r>
  <r>
    <x v="89"/>
    <x v="9"/>
    <n v="3.687315634218289E-2"/>
  </r>
  <r>
    <x v="89"/>
    <x v="10"/>
    <n v="44"/>
  </r>
  <r>
    <x v="90"/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A6151-DD8A-46E1-8899-72D52344B477}" name="MultiMetricPivot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 chartFormat="3">
  <location ref="E2:I94" firstHeaderRow="1" firstDataRow="2" firstDataCol="1"/>
  <pivotFields count="3">
    <pivotField axis="axisRow" compact="0" outline="0" showAll="0">
      <items count="92">
        <item x="83"/>
        <item x="84"/>
        <item x="85"/>
        <item x="86"/>
        <item x="87"/>
        <item x="88"/>
        <item x="89"/>
        <item x="90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axis="axisCol" compact="0" outline="0" showAll="0">
      <items count="13">
        <item x="10"/>
        <item h="1" x="4"/>
        <item h="1" x="8"/>
        <item h="1" x="9"/>
        <item x="2"/>
        <item h="1" x="7"/>
        <item h="1" x="6"/>
        <item h="1" x="3"/>
        <item x="5"/>
        <item h="1" x="1"/>
        <item h="1" x="0"/>
        <item h="1" x="11"/>
        <item t="default"/>
      </items>
    </pivotField>
    <pivotField dataField="1" compact="0" outline="0" showAll="0"/>
  </pivotFields>
  <rowFields count="1">
    <field x="0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1"/>
  </colFields>
  <colItems count="4">
    <i>
      <x/>
    </i>
    <i>
      <x v="4"/>
    </i>
    <i>
      <x v="8"/>
    </i>
    <i t="grand">
      <x/>
    </i>
  </colItems>
  <dataFields count="1">
    <dataField name="Somme de Value" fld="2" baseField="0" baseItem="0"/>
  </dataFields>
  <formats count="1">
    <format dxfId="12">
      <pivotArea dataOnly="0" labelOnly="1" grandRow="1" outline="0" fieldPosition="0"/>
    </format>
  </formats>
  <chartFormats count="12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etric" xr10:uid="{2375F815-9D39-4CE4-B62E-69A68C54D85F}" sourceName="Metric">
  <pivotTables>
    <pivotTable tabId="8" name="MultiMetricPivot"/>
  </pivotTables>
  <data>
    <tabular pivotCacheId="594370395">
      <items count="12">
        <i x="10" s="1"/>
        <i x="4"/>
        <i x="8"/>
        <i x="9"/>
        <i x="2" s="1"/>
        <i x="7"/>
        <i x="6"/>
        <i x="3"/>
        <i x="5" s="1"/>
        <i x="1"/>
        <i x="0"/>
        <i x="1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ultiMetricSlicer" xr10:uid="{3710651E-2F20-46BD-9EAB-298054A48258}" cache="Segment_Metric" caption="Metric" columnCount="11" rowHeight="25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7CD62A-427D-4791-B6AA-3CBD88EAFAAE}" name="DataTbl" displayName="DataTbl" ref="A2:L581" totalsRowShown="0" headerRowDxfId="26" dataDxfId="25">
  <autoFilter ref="A2:L581" xr:uid="{0B7CD62A-427D-4791-B6AA-3CBD88EAFAAE}"/>
  <tableColumns count="12">
    <tableColumn id="1" xr3:uid="{37ABF570-10C1-4188-85D5-CCBD4242CD7F}" name="Date" dataDxfId="24"/>
    <tableColumn id="2" xr3:uid="{4BFA5245-ECBE-49D6-BDAD-F12D13DDE42F}" name="Views" dataDxfId="23"/>
    <tableColumn id="3" xr3:uid="{DC8D18C5-0FDF-4B3E-A16B-6EB9E94A78C1}" name="Total Watch Time (s)" dataDxfId="22"/>
    <tableColumn id="4" xr3:uid="{812D4728-F731-4760-878E-15F54B66AA4D}" name="Likes" dataDxfId="21"/>
    <tableColumn id="5" xr3:uid="{98261116-BB3D-437A-A9FB-6B2CB85D9E2E}" name="Saves" dataDxfId="20"/>
    <tableColumn id="6" xr3:uid="{A3189A57-B0AF-48A6-9EE9-37F2BE7A715E}" name="Comments" dataDxfId="19"/>
    <tableColumn id="7" xr3:uid="{861C9197-4FFA-40F5-945C-B3F14A16ADF5}" name="Shares" dataDxfId="18"/>
    <tableColumn id="8" xr3:uid="{49123F6A-2121-4AB4-A962-E2D0BADE0F4B}" name="Profile Visits" dataDxfId="17"/>
    <tableColumn id="9" xr3:uid="{B23227C1-4EB2-43D8-AC74-5217ECE5D2B5}" name="New Followers" dataDxfId="16"/>
    <tableColumn id="10" xr3:uid="{51D6F536-756F-4513-A4A7-B66BDF8AED01}" name="Engagement" dataDxfId="15">
      <calculatedColumnFormula>SUM(DataTbl[[#This Row],[Likes]:[Shares]])</calculatedColumnFormula>
    </tableColumn>
    <tableColumn id="12" xr3:uid="{905D5602-DF09-4F2A-8EE9-A185A6EDCA67}" name="Engagement Rate" dataDxfId="14">
      <calculatedColumnFormula>DataTbl[[#This Row],[Engagement]]/DataTbl[[#This Row],[Views]]</calculatedColumnFormula>
    </tableColumn>
    <tableColumn id="11" xr3:uid="{BCDB4F10-63B4-4839-A95F-3A254E4B2D85}" name="Brand Awareness" dataDxfId="13">
      <calculatedColumnFormula>SUM(DataTbl[[#This Row],[Profile Visits]:[New Followers]])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438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E8210EE9-E90B-49C5-AE72-ED64719D602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ce349d9-5b4b-4b47-ab98-a24adadc476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DBCF107-EB35-40A4-97EA-D1959EF84FA0}">
  <we:reference id="026e7b2b-fa4d-4fe0-bf3b-b965f6f25bee" version="1.0.0.80" store="EXCatalog" storeType="EXCatalog"/>
  <we:alternateReferences>
    <we:reference id="WA200000565" version="1.0.0.8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66FF3423-63AE-4462-AA5B-6D37C9F9F1F9}">
  <we:reference id="7c3929fd-ffc8-4fa9-a64b-25dff355e46d" version="1.0.0.8" store="EXCatalog" storeType="EXCatalog"/>
  <we:alternateReferences>
    <we:reference id="WA200006575" version="1.0.0.8" store="fr-FR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7528-684F-4BCA-ADFC-F75C993B990D}">
  <sheetPr>
    <tabColor rgb="FF2E86AB"/>
  </sheetPr>
  <dimension ref="A1:AI296"/>
  <sheetViews>
    <sheetView tabSelected="1" topLeftCell="A3" zoomScale="67" zoomScaleNormal="70" workbookViewId="0">
      <selection activeCell="A20" sqref="A20"/>
    </sheetView>
  </sheetViews>
  <sheetFormatPr baseColWidth="10" defaultRowHeight="14.4" x14ac:dyDescent="0.3"/>
  <cols>
    <col min="1" max="1" width="4.5546875" customWidth="1"/>
    <col min="2" max="7" width="25.109375" customWidth="1"/>
    <col min="8" max="8" width="1.44140625" customWidth="1"/>
    <col min="9" max="9" width="3.33203125" customWidth="1"/>
    <col min="10" max="15" width="22.77734375" customWidth="1"/>
    <col min="28" max="47" width="11.5546875" customWidth="1"/>
  </cols>
  <sheetData>
    <row r="1" spans="1:2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42" customHeight="1" x14ac:dyDescent="0.3">
      <c r="A2" s="1"/>
      <c r="B2" s="85" t="s">
        <v>35</v>
      </c>
      <c r="C2" s="85"/>
      <c r="D2" s="85"/>
      <c r="E2" s="85"/>
      <c r="F2" s="85"/>
      <c r="G2" s="85"/>
      <c r="H2" s="59"/>
      <c r="I2" s="59"/>
      <c r="J2" s="59"/>
      <c r="K2" s="59"/>
      <c r="L2" s="59"/>
      <c r="M2" s="59"/>
      <c r="N2" s="59"/>
      <c r="O2" s="59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2" customHeight="1" x14ac:dyDescent="0.3">
      <c r="A3" s="1"/>
      <c r="B3" s="86" t="s">
        <v>36</v>
      </c>
      <c r="C3" s="86"/>
      <c r="D3" s="86"/>
      <c r="E3" s="86"/>
      <c r="F3" s="86"/>
      <c r="G3" s="86"/>
      <c r="H3" s="58"/>
      <c r="I3" s="58"/>
      <c r="J3" s="58"/>
      <c r="K3" s="58"/>
      <c r="L3" s="58"/>
      <c r="M3" s="58"/>
      <c r="N3" s="58"/>
      <c r="O3" s="58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3.95" customHeight="1" x14ac:dyDescent="0.3">
      <c r="A4" s="1"/>
      <c r="B4" s="3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 thickBot="1" x14ac:dyDescent="0.35">
      <c r="A5" s="1"/>
      <c r="B5" s="13" t="s">
        <v>37</v>
      </c>
      <c r="C5" s="1"/>
      <c r="D5" s="1"/>
      <c r="E5" s="1"/>
      <c r="F5" s="1"/>
      <c r="G5" s="1"/>
      <c r="H5" s="1"/>
      <c r="I5" s="1"/>
      <c r="J5" s="13" t="s">
        <v>21</v>
      </c>
      <c r="K5" s="1"/>
      <c r="L5" s="1"/>
      <c r="M5" s="1"/>
      <c r="N5" s="1"/>
      <c r="O5" s="80" t="s">
        <v>66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.600000000000001" thickBot="1" x14ac:dyDescent="0.35">
      <c r="A6" s="1"/>
      <c r="B6" s="2" t="s">
        <v>38</v>
      </c>
      <c r="C6" s="10" t="s">
        <v>19</v>
      </c>
      <c r="D6" s="10" t="s">
        <v>20</v>
      </c>
      <c r="E6" s="2" t="s">
        <v>39</v>
      </c>
      <c r="F6" s="10" t="s">
        <v>19</v>
      </c>
      <c r="G6" s="10" t="s">
        <v>20</v>
      </c>
      <c r="H6" s="1"/>
      <c r="I6" s="1"/>
      <c r="J6" s="2" t="s">
        <v>58</v>
      </c>
      <c r="K6" s="10" t="s">
        <v>22</v>
      </c>
      <c r="L6" s="10" t="s">
        <v>23</v>
      </c>
      <c r="M6" s="2" t="s">
        <v>57</v>
      </c>
      <c r="N6" s="10" t="s">
        <v>24</v>
      </c>
      <c r="O6" s="36" t="s">
        <v>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6.4" customHeight="1" thickBot="1" x14ac:dyDescent="0.35">
      <c r="A7" s="1"/>
      <c r="B7" s="36" t="s">
        <v>59</v>
      </c>
      <c r="C7" s="43" cm="1">
        <f t="array" ref="C7">_xlfn.IFS($B$7="All time",MIN(DataTbl[Date]),$B$7="Last 7 days",MAX(DataTbl[Date])-6,$B$7="Last 30 days",MAX(DataTbl[Date])-29,$B$7="Last 90 days",MAX(DataTbl[Date])-89,$B$7="Custom",$F$7,TRUE,MAX(DataTbl[Date])-29)</f>
        <v>46053</v>
      </c>
      <c r="D7" s="44" cm="1">
        <f t="array" ref="D7">_xlfn.IFS($B$7="All time",MAX(DataTbl[Date]),$B$7="Custom",$G$7,TRUE,MAX(DataTbl[Date]))</f>
        <v>46142</v>
      </c>
      <c r="E7" s="45" t="s">
        <v>52</v>
      </c>
      <c r="F7" s="46">
        <v>46011</v>
      </c>
      <c r="G7" s="47">
        <v>46021</v>
      </c>
      <c r="H7" s="1"/>
      <c r="I7" s="1"/>
      <c r="J7" s="36" t="s">
        <v>69</v>
      </c>
      <c r="K7" s="38" cm="1">
        <f t="array" ref="K7">_xlfn.IFS($J$7="Last 7 vs prior 7",MAX(DataTbl[Date])-6,$J$7="Last 30 vs prior 30",MAX(DataTbl[Date])-29,$J$7="Last 90 vs prior 90",MAX(DataTbl[Date])-89,$J$7="Custom A vs B",$K$8,TRUE,MAX(DataTbl[Date])-6)</f>
        <v>46053</v>
      </c>
      <c r="L7" s="40">
        <f>IF($J$7="Custom A vs B",$L$8,MAX(DataTbl[Date]))</f>
        <v>46142</v>
      </c>
      <c r="M7" s="41" cm="1">
        <f t="array" ref="M7">_xlfn.IFS($J$7="Last 7 vs prior 7",MAX(DataTbl[Date])-13,$J$7="Last 30 vs prior 30",MAX(DataTbl[Date])-59,$J$7="Last 90 vs prior 90",MAX(DataTbl[Date])-179,$J$7="Custom A vs B",$M$8,TRUE,MAX(DataTbl[Date])-13)</f>
        <v>45963</v>
      </c>
      <c r="N7" s="35" cm="1">
        <f t="array" ref="N7">_xlfn.IFS($J$7="Last 7 vs prior 7",MAX(DataTbl[Date])-7,$J$7="Last 30 vs prior 30",MAX(DataTbl[Date])-30,$J$7="Last 90 vs prior 90",MAX(DataTbl[Date])-90,$J$7="Custom A vs B",$N$8,TRUE,MAX(DataTbl[Date])-7)</f>
        <v>46052</v>
      </c>
      <c r="O7" s="81">
        <f>$L$7-$K$7-1</f>
        <v>88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6.4" customHeight="1" x14ac:dyDescent="0.3">
      <c r="A8" s="1"/>
      <c r="B8" s="13"/>
      <c r="C8" s="34"/>
      <c r="D8" s="34"/>
      <c r="E8" s="1"/>
      <c r="F8" s="1"/>
      <c r="G8" s="1"/>
      <c r="H8" s="1"/>
      <c r="I8" s="1"/>
      <c r="J8" s="55" t="s">
        <v>52</v>
      </c>
      <c r="K8" s="46">
        <v>45992</v>
      </c>
      <c r="L8" s="47">
        <v>46021</v>
      </c>
      <c r="M8" s="48">
        <v>45658</v>
      </c>
      <c r="N8" s="49" t="str">
        <f>IF($J$7="Custom A vs B",M8+O8, "")</f>
        <v/>
      </c>
      <c r="O8" s="50">
        <f>$L$8-$K$8+1</f>
        <v>30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 x14ac:dyDescent="0.3">
      <c r="A9" s="1"/>
      <c r="B9" s="13" t="s">
        <v>55</v>
      </c>
      <c r="C9" s="34"/>
      <c r="D9" s="34"/>
      <c r="E9" s="1"/>
      <c r="F9" s="1"/>
      <c r="G9" s="1"/>
      <c r="H9" s="1"/>
      <c r="I9" s="1"/>
      <c r="J9" s="13" t="s">
        <v>55</v>
      </c>
      <c r="K9" s="56"/>
      <c r="L9" s="56"/>
      <c r="M9" s="56"/>
      <c r="N9" s="56"/>
      <c r="O9" s="5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22.05" customHeight="1" x14ac:dyDescent="0.3">
      <c r="A10" s="1"/>
      <c r="B10" s="8" t="s">
        <v>1</v>
      </c>
      <c r="C10" s="11" t="s">
        <v>63</v>
      </c>
      <c r="D10" s="4" t="s">
        <v>3</v>
      </c>
      <c r="E10" s="4" t="s">
        <v>62</v>
      </c>
      <c r="F10" s="4" t="s">
        <v>64</v>
      </c>
      <c r="G10" s="5" t="s">
        <v>4</v>
      </c>
      <c r="H10" s="1"/>
      <c r="I10" s="1"/>
      <c r="J10" s="14" t="s">
        <v>25</v>
      </c>
      <c r="K10" s="17" t="s">
        <v>2</v>
      </c>
      <c r="L10" s="17" t="s">
        <v>26</v>
      </c>
      <c r="M10" s="17" t="s">
        <v>27</v>
      </c>
      <c r="N10" s="17" t="s">
        <v>28</v>
      </c>
      <c r="O10" s="18" t="s">
        <v>29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49.8" customHeight="1" x14ac:dyDescent="0.3">
      <c r="A11" s="1"/>
      <c r="B11" s="60">
        <f>SUMIFS(DataTbl[Views],DataTbl[Date],"&gt;="&amp;$C$7,DataTbl[Date],"&lt;="&amp;$D$7)</f>
        <v>86830</v>
      </c>
      <c r="C11" s="61">
        <f>SUMIFS(DataTbl[New Followers],DataTbl[Date],"&gt;="&amp;$C$7,DataTbl[Date],"&lt;="&amp;$D$7)</f>
        <v>845</v>
      </c>
      <c r="D11" s="60">
        <f>SUMIFS(DataTbl[Engagement],DataTbl[Date],"&gt;="&amp;$C$7,DataTbl[Date],"&lt;="&amp;$D$7)</f>
        <v>4689</v>
      </c>
      <c r="E11" s="74">
        <f>IFERROR(D11/B11,0)</f>
        <v>5.4002073016238626E-2</v>
      </c>
      <c r="F11" s="60">
        <f>SUMIFS(DataTbl[Likes],DataTbl[Date],"&gt;="&amp;$C$7,DataTbl[Date],"&lt;="&amp;$D$7)</f>
        <v>2825</v>
      </c>
      <c r="G11" s="62">
        <f>COUNTIFS(DataTbl[Date],"&gt;="&amp;$C$7,DataTbl[Date],"&lt;="&amp;$D$7)</f>
        <v>90</v>
      </c>
      <c r="H11" s="65"/>
      <c r="I11" s="19" t="s">
        <v>30</v>
      </c>
      <c r="J11" s="15">
        <f>SUMIFS(DataTbl[Views],DataTbl[Date],"&gt;="&amp;$K$7,DataTbl[Date],"&lt;="&amp;$L$7)</f>
        <v>86830</v>
      </c>
      <c r="K11" s="15">
        <f>SUMIFS(DataTbl[New Followers],DataTbl[Date],"&gt;="&amp;$K$7,DataTbl[Date],"&lt;="&amp;$L$7)</f>
        <v>845</v>
      </c>
      <c r="L11" s="15">
        <f>SUMIFS(DataTbl[Engagement],DataTbl[Date],"&gt;="&amp;$K$7,DataTbl[Date],"&lt;="&amp;$L$7)</f>
        <v>4689</v>
      </c>
      <c r="M11" s="54">
        <f>AVERAGEIFS(DataTbl[Engagement Rate],DataTbl[Date],"&gt;="&amp;$K$7,DataTbl[Date],"&lt;="&amp;$L$7)</f>
        <v>5.4368010211380303E-2</v>
      </c>
      <c r="N11" s="15">
        <f>SUMIFS(DataTbl[Likes],DataTbl[Date],"&gt;="&amp;$K$7,DataTbl[Date],"&lt;="&amp;$L$7)</f>
        <v>2825</v>
      </c>
      <c r="O11" s="16">
        <f>SUMIFS(DataTbl[Profile Visits],DataTbl[Date],"&gt;="&amp;$K$8,DataTbl[Date],"&lt;="&amp;$L$8)</f>
        <v>1798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9.2" customHeight="1" x14ac:dyDescent="0.3">
      <c r="A12" s="69" t="s">
        <v>65</v>
      </c>
      <c r="B12" s="67">
        <f>B11/$G$11</f>
        <v>964.77777777777783</v>
      </c>
      <c r="C12" s="67">
        <f t="shared" ref="C12:F12" si="0">C11/$G$11</f>
        <v>9.3888888888888893</v>
      </c>
      <c r="D12" s="67">
        <f t="shared" si="0"/>
        <v>52.1</v>
      </c>
      <c r="E12" s="70"/>
      <c r="F12" s="67">
        <f t="shared" si="0"/>
        <v>31.388888888888889</v>
      </c>
      <c r="G12" s="71"/>
      <c r="H12" s="19"/>
      <c r="I12" s="19" t="s">
        <v>31</v>
      </c>
      <c r="J12" s="67">
        <f>SUMIFS(DataTbl[Views],DataTbl[Date],"&gt;="&amp;$M$7,DataTbl[Date],"&lt;="&amp;$N$7)</f>
        <v>79778</v>
      </c>
      <c r="K12" s="67">
        <f>SUMIFS(DataTbl[New Followers],DataTbl[Date],"&gt;="&amp;$M$7,DataTbl[Date],"&lt;="&amp;$N$7)</f>
        <v>753</v>
      </c>
      <c r="L12" s="67">
        <f>SUMIFS(DataTbl[Engagement],DataTbl[Date],"&gt;="&amp;$M$7,DataTbl[Date],"&lt;="&amp;$N$7)</f>
        <v>4375</v>
      </c>
      <c r="M12" s="76">
        <f>AVERAGEIFS(DataTbl[Engagement Rate],DataTbl[Date],"&gt;="&amp;$M$7,DataTbl[Date],"&lt;="&amp;$N$7)</f>
        <v>5.5373463116800622E-2</v>
      </c>
      <c r="N12" s="67">
        <f>SUMIFS(DataTbl[Likes],DataTbl[Date],"&gt;="&amp;$M$7,DataTbl[Date],"&lt;="&amp;$N$7)</f>
        <v>2633</v>
      </c>
      <c r="O12" s="77">
        <f>SUMIFS(DataTbl[Profile Visits],DataTbl[Date],"&gt;="&amp;$M$7,DataTbl[Date],"&lt;="&amp;$N$7)</f>
        <v>4622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05" customHeight="1" x14ac:dyDescent="0.3">
      <c r="A13" s="69" t="s">
        <v>60</v>
      </c>
      <c r="B13" s="67">
        <f>_xlfn.MAXIFS(DataTbl[Views],DataTbl[Date],"&gt;="&amp;$C$7,DataTbl[Date],"&lt;="&amp;$D$7)</f>
        <v>2466</v>
      </c>
      <c r="C13" s="67">
        <f>_xlfn.MAXIFS(DataTbl[New Followers],DataTbl[Date],"&gt;="&amp;$C$7,DataTbl[Date],"&lt;="&amp;$D$7)</f>
        <v>34</v>
      </c>
      <c r="D13" s="75">
        <f>_xlfn.MAXIFS(DataTbl[Engagement],DataTbl[Date],"&gt;="&amp;$C$7,DataTbl[Date],"&lt;="&amp;$D$7)</f>
        <v>140</v>
      </c>
      <c r="E13" s="76">
        <f>_xlfn.MAXIFS(DataTbl[Engagement Rate],DataTbl[Date],"&gt;="&amp;$C$7,DataTbl[Date],"&lt;="&amp;$D$7)</f>
        <v>7.7265973254086184E-2</v>
      </c>
      <c r="F13" s="67">
        <f>_xlfn.MAXIFS(DataTbl[Likes],DataTbl[Date],"&gt;="&amp;$C$7,DataTbl[Date],"&lt;="&amp;$D$7)</f>
        <v>90</v>
      </c>
      <c r="G13" s="72"/>
      <c r="H13" s="19"/>
      <c r="I13" s="19" t="s">
        <v>32</v>
      </c>
      <c r="J13" s="63">
        <f t="shared" ref="J13:O13" si="1">IFERROR((J11-J12)/J12,0)</f>
        <v>8.8395296949033572E-2</v>
      </c>
      <c r="K13" s="63">
        <f t="shared" si="1"/>
        <v>0.12217795484727756</v>
      </c>
      <c r="L13" s="63">
        <f t="shared" si="1"/>
        <v>7.1771428571428569E-2</v>
      </c>
      <c r="M13" s="63">
        <f t="shared" si="1"/>
        <v>-1.8157667027245382E-2</v>
      </c>
      <c r="N13" s="63">
        <f t="shared" si="1"/>
        <v>7.2920622863653625E-2</v>
      </c>
      <c r="O13" s="64">
        <f t="shared" si="1"/>
        <v>-0.61099091302466468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6" x14ac:dyDescent="0.3">
      <c r="A14" s="69" t="s">
        <v>61</v>
      </c>
      <c r="B14" s="66">
        <f>_xlfn.MINIFS(DataTbl[Views],DataTbl[Date],"&gt;="&amp;$C$7,DataTbl[Date],"&lt;="&amp;$D$7)</f>
        <v>613</v>
      </c>
      <c r="C14" s="66">
        <f>_xlfn.MINIFS(DataTbl[New Followers],DataTbl[Date],"&gt;="&amp;$C$7,DataTbl[Date],"&lt;="&amp;$D$7)</f>
        <v>3</v>
      </c>
      <c r="D14" s="66">
        <f>_xlfn.MINIFS(DataTbl[Engagement],DataTbl[Date],"&gt;="&amp;$C$7,DataTbl[Date],"&lt;="&amp;$D$7)</f>
        <v>25</v>
      </c>
      <c r="E14" s="68">
        <f>_xlfn.MINIFS(DataTbl[Engagement Rate],DataTbl[Date],"&gt;="&amp;$C$7,DataTbl[Date],"&lt;="&amp;$D$7)</f>
        <v>3.4855769230769232E-2</v>
      </c>
      <c r="F14" s="66">
        <f>_xlfn.MINIFS(DataTbl[Engagement],DataTbl[Date],"&gt;="&amp;$C$7,DataTbl[Date],"&lt;="&amp;$D$7)</f>
        <v>25</v>
      </c>
      <c r="G14" s="73"/>
      <c r="H14" s="19"/>
      <c r="I14" s="1"/>
      <c r="J14" s="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1"/>
      <c r="B15" s="78" t="s">
        <v>56</v>
      </c>
      <c r="C15" s="79" t="s">
        <v>51</v>
      </c>
      <c r="D15" s="1"/>
      <c r="E15" s="33"/>
      <c r="F15" s="1"/>
      <c r="G15" s="6"/>
      <c r="H15" s="1"/>
      <c r="I15" s="1"/>
      <c r="J15" s="13" t="s">
        <v>56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1"/>
      <c r="B16" s="3"/>
      <c r="C16" s="1"/>
      <c r="D16" s="1"/>
      <c r="E16" s="2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1"/>
      <c r="B17" s="12"/>
      <c r="C17" s="1"/>
      <c r="D17" s="1"/>
      <c r="E17" s="29"/>
      <c r="F17" s="3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1"/>
      <c r="B18" s="1"/>
      <c r="C18" s="1"/>
      <c r="D18" s="1"/>
      <c r="E18" s="29"/>
      <c r="F18" s="3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1"/>
      <c r="B19" s="1"/>
      <c r="C19" s="1"/>
      <c r="D19" s="1"/>
      <c r="E19" s="29"/>
      <c r="F19" s="30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1"/>
      <c r="B20" s="1"/>
      <c r="C20" s="1"/>
      <c r="D20" s="1"/>
      <c r="E20" s="29"/>
      <c r="F20" s="30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1"/>
      <c r="B21" s="1"/>
      <c r="C21" s="1"/>
      <c r="D21" s="1"/>
      <c r="E21" s="29"/>
      <c r="F21" s="30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1"/>
      <c r="B22" s="1"/>
      <c r="C22" s="1"/>
      <c r="D22" s="1"/>
      <c r="E22" s="29"/>
      <c r="F22" s="30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1"/>
      <c r="B23" s="1"/>
      <c r="C23" s="1"/>
      <c r="D23" s="1"/>
      <c r="E23" s="29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05" customHeight="1" x14ac:dyDescent="0.3">
      <c r="A24" s="1"/>
      <c r="B24" s="1"/>
      <c r="C24" s="1"/>
      <c r="D24" s="1"/>
      <c r="E24" s="29"/>
      <c r="F24" s="3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05" customHeight="1" x14ac:dyDescent="0.3">
      <c r="A25" s="1"/>
      <c r="B25" s="1"/>
      <c r="C25" s="1"/>
      <c r="D25" s="1"/>
      <c r="E25" s="29"/>
      <c r="F25" s="30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05" customHeight="1" x14ac:dyDescent="0.3">
      <c r="A26" s="1"/>
      <c r="B26" s="1"/>
      <c r="C26" s="1"/>
      <c r="D26" s="1"/>
      <c r="E26" s="29"/>
      <c r="F26" s="3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1"/>
      <c r="B27" s="1"/>
      <c r="C27" s="1"/>
      <c r="D27" s="1"/>
      <c r="E27" s="29"/>
      <c r="F27" s="30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3.95" customHeight="1" x14ac:dyDescent="0.3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.9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3.95" customHeight="1" x14ac:dyDescent="0.3">
      <c r="A43" s="1"/>
      <c r="B43" s="13" t="s">
        <v>16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3.9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.9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.9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.9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.9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35" ht="13.9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35" ht="13.9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35" ht="13.9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35" ht="13.9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35" ht="13.9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35" ht="13.9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35" ht="13.9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3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3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I57" s="7"/>
    </row>
    <row r="58" spans="1:3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I58" s="7"/>
    </row>
    <row r="59" spans="1:3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I59" s="7"/>
    </row>
    <row r="60" spans="1:3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I60" s="7"/>
    </row>
    <row r="61" spans="1:3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I61" s="7"/>
    </row>
    <row r="62" spans="1:3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I62" s="7"/>
    </row>
    <row r="63" spans="1:3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I63" s="7"/>
    </row>
    <row r="64" spans="1:3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I64" s="7"/>
    </row>
    <row r="65" spans="1:3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I65" s="7"/>
    </row>
    <row r="66" spans="1:3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I66" s="7"/>
    </row>
    <row r="67" spans="1:3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I67" s="7"/>
    </row>
    <row r="68" spans="1:3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I68" s="7"/>
    </row>
    <row r="69" spans="1:3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I69" s="7"/>
    </row>
    <row r="70" spans="1:3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I70" s="7"/>
    </row>
    <row r="71" spans="1:3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I71" s="7"/>
    </row>
    <row r="72" spans="1:3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I72" s="7"/>
    </row>
    <row r="73" spans="1:3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I73" s="7"/>
    </row>
    <row r="74" spans="1:3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I74" s="7"/>
    </row>
    <row r="75" spans="1:3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I75" s="7"/>
    </row>
    <row r="76" spans="1:3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I76" s="7"/>
    </row>
    <row r="77" spans="1:3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I77" s="7"/>
    </row>
    <row r="78" spans="1:3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I78" s="7"/>
    </row>
    <row r="79" spans="1:3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I79" s="7"/>
    </row>
    <row r="80" spans="1:3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I80" s="7"/>
    </row>
    <row r="81" spans="1:3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I81" s="7"/>
    </row>
    <row r="82" spans="1:3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I82" s="7"/>
    </row>
    <row r="83" spans="1:3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I83" s="7"/>
    </row>
    <row r="84" spans="1:3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I84" s="7"/>
    </row>
    <row r="85" spans="1:3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I85" s="7"/>
    </row>
    <row r="86" spans="1:3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I86" s="7"/>
    </row>
    <row r="87" spans="1:3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I87" s="7"/>
    </row>
    <row r="88" spans="1:3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I88" s="7"/>
    </row>
    <row r="89" spans="1:3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I89" s="7"/>
    </row>
    <row r="90" spans="1:3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I90" s="7"/>
    </row>
    <row r="91" spans="1:3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I91" s="7"/>
    </row>
    <row r="92" spans="1:3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I92" s="7"/>
    </row>
    <row r="93" spans="1:3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I93" s="7"/>
    </row>
    <row r="94" spans="1:3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I94" s="7"/>
    </row>
    <row r="95" spans="1:3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I95" s="7"/>
    </row>
    <row r="96" spans="1:3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I96" s="7"/>
    </row>
    <row r="97" spans="1:3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I97" s="7"/>
    </row>
    <row r="98" spans="1:3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I98" s="7"/>
    </row>
    <row r="99" spans="1:3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I99" s="7"/>
    </row>
    <row r="100" spans="1:3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I100" s="7"/>
    </row>
    <row r="101" spans="1:3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I101" s="7"/>
    </row>
    <row r="102" spans="1:3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I102" s="7"/>
    </row>
    <row r="103" spans="1:3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I103" s="7"/>
    </row>
    <row r="104" spans="1:3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I104" s="7"/>
    </row>
    <row r="105" spans="1:3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I105" s="7"/>
    </row>
    <row r="106" spans="1:3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I106" s="7"/>
    </row>
    <row r="107" spans="1:3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I107" s="7"/>
    </row>
    <row r="108" spans="1:3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I108" s="7"/>
    </row>
    <row r="109" spans="1:3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I109" s="7"/>
    </row>
    <row r="110" spans="1:3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I110" s="7"/>
    </row>
    <row r="111" spans="1:3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I111" s="7"/>
    </row>
    <row r="112" spans="1:3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I112" s="7"/>
    </row>
    <row r="113" spans="1:3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I113" s="7"/>
    </row>
    <row r="114" spans="1:3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I114" s="7"/>
    </row>
    <row r="115" spans="1:3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I115" s="7"/>
    </row>
    <row r="116" spans="1:3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I116" s="7"/>
    </row>
    <row r="117" spans="1:3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I117" s="7"/>
    </row>
    <row r="118" spans="1:3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I118" s="7"/>
    </row>
    <row r="119" spans="1:3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I119" s="7"/>
    </row>
    <row r="120" spans="1:3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I120" s="7"/>
    </row>
    <row r="121" spans="1:3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I121" s="7"/>
    </row>
    <row r="122" spans="1:3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I122" s="7"/>
    </row>
    <row r="123" spans="1:3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I123" s="7"/>
    </row>
    <row r="124" spans="1:3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I124" s="7"/>
    </row>
    <row r="125" spans="1:3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I125" s="7"/>
    </row>
    <row r="126" spans="1:3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I126" s="7"/>
    </row>
    <row r="127" spans="1:3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I127" s="7"/>
    </row>
    <row r="128" spans="1:3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I128" s="7"/>
    </row>
    <row r="129" spans="1:3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I129" s="7"/>
    </row>
    <row r="130" spans="1:3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I130" s="7"/>
    </row>
    <row r="131" spans="1:3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I131" s="7"/>
    </row>
    <row r="132" spans="1:3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I132" s="7"/>
    </row>
    <row r="133" spans="1:3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I133" s="7"/>
    </row>
    <row r="134" spans="1:3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I134" s="7"/>
    </row>
    <row r="135" spans="1:3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I135" s="7"/>
    </row>
    <row r="136" spans="1:3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I136" s="7"/>
    </row>
    <row r="137" spans="1:3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I137" s="7"/>
    </row>
    <row r="138" spans="1:3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I138" s="7"/>
    </row>
    <row r="139" spans="1:3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I139" s="7"/>
    </row>
    <row r="140" spans="1:3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I140" s="7"/>
    </row>
    <row r="141" spans="1:3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I141" s="7"/>
    </row>
    <row r="142" spans="1:3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I142" s="7"/>
    </row>
    <row r="143" spans="1:3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I143" s="7"/>
    </row>
    <row r="144" spans="1:3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I144" s="7"/>
    </row>
    <row r="145" spans="1:3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I145" s="7"/>
    </row>
    <row r="146" spans="1:3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I146" s="7"/>
    </row>
    <row r="147" spans="1:3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I147" s="7"/>
    </row>
    <row r="148" spans="1:3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I148" s="7"/>
    </row>
    <row r="149" spans="1:3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I149" s="7"/>
    </row>
    <row r="150" spans="1:3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I150" s="7"/>
    </row>
    <row r="151" spans="1:3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I151" s="7"/>
    </row>
    <row r="152" spans="1:3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I152" s="7"/>
    </row>
    <row r="153" spans="1:3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I153" s="7"/>
    </row>
    <row r="154" spans="1:3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I154" s="7"/>
    </row>
    <row r="155" spans="1:3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I155" s="7"/>
    </row>
    <row r="156" spans="1:3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I156" s="7"/>
    </row>
    <row r="157" spans="1:3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I157" s="7"/>
    </row>
    <row r="158" spans="1:3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I158" s="7"/>
    </row>
    <row r="159" spans="1:3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I159" s="7"/>
    </row>
    <row r="160" spans="1:3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I160" s="7"/>
    </row>
    <row r="161" spans="1:3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I161" s="7"/>
    </row>
    <row r="162" spans="1:3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I162" s="7"/>
    </row>
    <row r="163" spans="1:3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I163" s="7"/>
    </row>
    <row r="164" spans="1:3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I164" s="7"/>
    </row>
    <row r="165" spans="1:3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I165" s="7"/>
    </row>
    <row r="166" spans="1:3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I166" s="7"/>
    </row>
    <row r="167" spans="1:3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I167" s="7"/>
    </row>
    <row r="168" spans="1:3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I168" s="7"/>
    </row>
    <row r="169" spans="1:3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I169" s="7"/>
    </row>
    <row r="170" spans="1:3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I170" s="7"/>
    </row>
    <row r="171" spans="1:3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I171" s="7"/>
    </row>
    <row r="172" spans="1:3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I172" s="7"/>
    </row>
    <row r="173" spans="1:3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I173" s="7"/>
    </row>
    <row r="174" spans="1:3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I174" s="7"/>
    </row>
    <row r="175" spans="1:3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I175" s="7"/>
    </row>
    <row r="176" spans="1:3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I176" s="7"/>
    </row>
    <row r="177" spans="1:3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I177" s="7"/>
    </row>
    <row r="178" spans="1:3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I178" s="7"/>
    </row>
    <row r="179" spans="1:3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I179" s="7"/>
    </row>
    <row r="180" spans="1:3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I180" s="7"/>
    </row>
    <row r="181" spans="1:3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I181" s="7"/>
    </row>
    <row r="182" spans="1:3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I182" s="7"/>
    </row>
    <row r="183" spans="1:3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I183" s="7"/>
    </row>
    <row r="184" spans="1:3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I184" s="7"/>
    </row>
    <row r="185" spans="1:3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I185" s="7"/>
    </row>
    <row r="186" spans="1:3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I186" s="7"/>
    </row>
    <row r="187" spans="1:3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I187" s="7"/>
    </row>
    <row r="188" spans="1:3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I188" s="7"/>
    </row>
    <row r="189" spans="1:3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I189" s="7"/>
    </row>
    <row r="190" spans="1:3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I190" s="7"/>
    </row>
    <row r="191" spans="1:3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I191" s="7"/>
    </row>
    <row r="192" spans="1:3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I192" s="7"/>
    </row>
    <row r="193" spans="1:3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I193" s="7"/>
    </row>
    <row r="194" spans="1:3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I194" s="7"/>
    </row>
    <row r="195" spans="1:3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I195" s="7"/>
    </row>
    <row r="196" spans="1:3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I196" s="7"/>
    </row>
    <row r="197" spans="1:35" x14ac:dyDescent="0.3">
      <c r="B197" s="1"/>
      <c r="C197" s="1"/>
      <c r="D197" s="1"/>
      <c r="E197" s="1"/>
      <c r="F197" s="1"/>
      <c r="G197" s="1"/>
      <c r="AI197" s="7"/>
    </row>
    <row r="198" spans="1:35" x14ac:dyDescent="0.3">
      <c r="B198" s="1"/>
      <c r="C198" s="1"/>
      <c r="D198" s="1"/>
      <c r="E198" s="1"/>
      <c r="F198" s="1"/>
      <c r="G198" s="1"/>
      <c r="AI198" s="7"/>
    </row>
    <row r="199" spans="1:35" x14ac:dyDescent="0.3">
      <c r="AI199" s="7"/>
    </row>
    <row r="200" spans="1:35" x14ac:dyDescent="0.3">
      <c r="AI200" s="7"/>
    </row>
    <row r="201" spans="1:35" x14ac:dyDescent="0.3">
      <c r="AI201" s="7"/>
    </row>
    <row r="202" spans="1:35" x14ac:dyDescent="0.3">
      <c r="AI202" s="7"/>
    </row>
    <row r="203" spans="1:35" x14ac:dyDescent="0.3">
      <c r="AI203" s="7"/>
    </row>
    <row r="204" spans="1:35" x14ac:dyDescent="0.3">
      <c r="AI204" s="7"/>
    </row>
    <row r="205" spans="1:35" x14ac:dyDescent="0.3">
      <c r="AI205" s="7"/>
    </row>
    <row r="206" spans="1:35" x14ac:dyDescent="0.3">
      <c r="AI206" s="7"/>
    </row>
    <row r="207" spans="1:35" x14ac:dyDescent="0.3">
      <c r="AI207" s="7"/>
    </row>
    <row r="208" spans="1:35" x14ac:dyDescent="0.3">
      <c r="AI208" s="7"/>
    </row>
    <row r="209" spans="35:35" x14ac:dyDescent="0.3">
      <c r="AI209" s="7"/>
    </row>
    <row r="210" spans="35:35" x14ac:dyDescent="0.3">
      <c r="AI210" s="7"/>
    </row>
    <row r="211" spans="35:35" x14ac:dyDescent="0.3">
      <c r="AI211" s="7"/>
    </row>
    <row r="212" spans="35:35" x14ac:dyDescent="0.3">
      <c r="AI212" s="7"/>
    </row>
    <row r="213" spans="35:35" x14ac:dyDescent="0.3">
      <c r="AI213" s="7"/>
    </row>
    <row r="214" spans="35:35" x14ac:dyDescent="0.3">
      <c r="AI214" s="7"/>
    </row>
    <row r="215" spans="35:35" x14ac:dyDescent="0.3">
      <c r="AI215" s="7"/>
    </row>
    <row r="216" spans="35:35" x14ac:dyDescent="0.3">
      <c r="AI216" s="7"/>
    </row>
    <row r="217" spans="35:35" x14ac:dyDescent="0.3">
      <c r="AI217" s="7"/>
    </row>
    <row r="218" spans="35:35" x14ac:dyDescent="0.3">
      <c r="AI218" s="7"/>
    </row>
    <row r="219" spans="35:35" x14ac:dyDescent="0.3">
      <c r="AI219" s="7"/>
    </row>
    <row r="220" spans="35:35" x14ac:dyDescent="0.3">
      <c r="AI220" s="7"/>
    </row>
    <row r="221" spans="35:35" x14ac:dyDescent="0.3">
      <c r="AI221" s="7"/>
    </row>
    <row r="222" spans="35:35" x14ac:dyDescent="0.3">
      <c r="AI222" s="7"/>
    </row>
    <row r="223" spans="35:35" x14ac:dyDescent="0.3">
      <c r="AI223" s="7"/>
    </row>
    <row r="224" spans="35:35" x14ac:dyDescent="0.3">
      <c r="AI224" s="7"/>
    </row>
    <row r="225" spans="35:35" x14ac:dyDescent="0.3">
      <c r="AI225" s="7"/>
    </row>
    <row r="226" spans="35:35" x14ac:dyDescent="0.3">
      <c r="AI226" s="7"/>
    </row>
    <row r="227" spans="35:35" x14ac:dyDescent="0.3">
      <c r="AI227" s="7"/>
    </row>
    <row r="228" spans="35:35" x14ac:dyDescent="0.3">
      <c r="AI228" s="7"/>
    </row>
    <row r="229" spans="35:35" x14ac:dyDescent="0.3">
      <c r="AI229" s="7"/>
    </row>
    <row r="230" spans="35:35" x14ac:dyDescent="0.3">
      <c r="AI230" s="7"/>
    </row>
    <row r="231" spans="35:35" x14ac:dyDescent="0.3">
      <c r="AI231" s="7"/>
    </row>
    <row r="232" spans="35:35" x14ac:dyDescent="0.3">
      <c r="AI232" s="7"/>
    </row>
    <row r="233" spans="35:35" x14ac:dyDescent="0.3">
      <c r="AI233" s="7"/>
    </row>
    <row r="234" spans="35:35" x14ac:dyDescent="0.3">
      <c r="AI234" s="7"/>
    </row>
    <row r="235" spans="35:35" x14ac:dyDescent="0.3">
      <c r="AI235" s="7"/>
    </row>
    <row r="236" spans="35:35" x14ac:dyDescent="0.3">
      <c r="AI236" s="7"/>
    </row>
    <row r="237" spans="35:35" x14ac:dyDescent="0.3">
      <c r="AI237" s="7"/>
    </row>
    <row r="238" spans="35:35" x14ac:dyDescent="0.3">
      <c r="AI238" s="7"/>
    </row>
    <row r="239" spans="35:35" x14ac:dyDescent="0.3">
      <c r="AI239" s="7"/>
    </row>
    <row r="240" spans="35:35" x14ac:dyDescent="0.3">
      <c r="AI240" s="7"/>
    </row>
    <row r="241" spans="35:35" x14ac:dyDescent="0.3">
      <c r="AI241" s="7"/>
    </row>
    <row r="242" spans="35:35" x14ac:dyDescent="0.3">
      <c r="AI242" s="7"/>
    </row>
    <row r="243" spans="35:35" x14ac:dyDescent="0.3">
      <c r="AI243" s="7"/>
    </row>
    <row r="244" spans="35:35" x14ac:dyDescent="0.3">
      <c r="AI244" s="7"/>
    </row>
    <row r="245" spans="35:35" x14ac:dyDescent="0.3">
      <c r="AI245" s="7"/>
    </row>
    <row r="246" spans="35:35" x14ac:dyDescent="0.3">
      <c r="AI246" s="7"/>
    </row>
    <row r="247" spans="35:35" x14ac:dyDescent="0.3">
      <c r="AI247" s="7"/>
    </row>
    <row r="248" spans="35:35" x14ac:dyDescent="0.3">
      <c r="AI248" s="7"/>
    </row>
    <row r="249" spans="35:35" x14ac:dyDescent="0.3">
      <c r="AI249" s="7"/>
    </row>
    <row r="250" spans="35:35" x14ac:dyDescent="0.3">
      <c r="AI250" s="7"/>
    </row>
    <row r="251" spans="35:35" x14ac:dyDescent="0.3">
      <c r="AI251" s="7"/>
    </row>
    <row r="252" spans="35:35" x14ac:dyDescent="0.3">
      <c r="AI252" s="7"/>
    </row>
    <row r="253" spans="35:35" x14ac:dyDescent="0.3">
      <c r="AI253" s="7"/>
    </row>
    <row r="254" spans="35:35" x14ac:dyDescent="0.3">
      <c r="AI254" s="7"/>
    </row>
    <row r="255" spans="35:35" x14ac:dyDescent="0.3">
      <c r="AI255" s="7"/>
    </row>
    <row r="256" spans="35:35" x14ac:dyDescent="0.3">
      <c r="AI256" s="7"/>
    </row>
    <row r="257" spans="35:35" x14ac:dyDescent="0.3">
      <c r="AI257" s="7"/>
    </row>
    <row r="258" spans="35:35" x14ac:dyDescent="0.3">
      <c r="AI258" s="7"/>
    </row>
    <row r="259" spans="35:35" x14ac:dyDescent="0.3">
      <c r="AI259" s="7"/>
    </row>
    <row r="260" spans="35:35" x14ac:dyDescent="0.3">
      <c r="AI260" s="7"/>
    </row>
    <row r="261" spans="35:35" x14ac:dyDescent="0.3">
      <c r="AI261" s="7"/>
    </row>
    <row r="262" spans="35:35" x14ac:dyDescent="0.3">
      <c r="AI262" s="7"/>
    </row>
    <row r="263" spans="35:35" x14ac:dyDescent="0.3">
      <c r="AI263" s="7"/>
    </row>
    <row r="264" spans="35:35" x14ac:dyDescent="0.3">
      <c r="AI264" s="7"/>
    </row>
    <row r="265" spans="35:35" x14ac:dyDescent="0.3">
      <c r="AI265" s="7"/>
    </row>
    <row r="266" spans="35:35" x14ac:dyDescent="0.3">
      <c r="AI266" s="7"/>
    </row>
    <row r="267" spans="35:35" x14ac:dyDescent="0.3">
      <c r="AI267" s="7"/>
    </row>
    <row r="268" spans="35:35" x14ac:dyDescent="0.3">
      <c r="AI268" s="7"/>
    </row>
    <row r="269" spans="35:35" x14ac:dyDescent="0.3">
      <c r="AI269" s="7"/>
    </row>
    <row r="270" spans="35:35" x14ac:dyDescent="0.3">
      <c r="AI270" s="7"/>
    </row>
    <row r="271" spans="35:35" x14ac:dyDescent="0.3">
      <c r="AI271" s="7"/>
    </row>
    <row r="272" spans="35:35" x14ac:dyDescent="0.3">
      <c r="AI272" s="7"/>
    </row>
    <row r="273" spans="35:35" x14ac:dyDescent="0.3">
      <c r="AI273" s="7"/>
    </row>
    <row r="274" spans="35:35" x14ac:dyDescent="0.3">
      <c r="AI274" s="7"/>
    </row>
    <row r="275" spans="35:35" x14ac:dyDescent="0.3">
      <c r="AI275" s="7"/>
    </row>
    <row r="276" spans="35:35" x14ac:dyDescent="0.3">
      <c r="AI276" s="7"/>
    </row>
    <row r="277" spans="35:35" x14ac:dyDescent="0.3">
      <c r="AI277" s="7"/>
    </row>
    <row r="278" spans="35:35" x14ac:dyDescent="0.3">
      <c r="AI278" s="7"/>
    </row>
    <row r="279" spans="35:35" x14ac:dyDescent="0.3">
      <c r="AI279" s="7"/>
    </row>
    <row r="280" spans="35:35" x14ac:dyDescent="0.3">
      <c r="AI280" s="7"/>
    </row>
    <row r="281" spans="35:35" x14ac:dyDescent="0.3">
      <c r="AI281" s="7"/>
    </row>
    <row r="282" spans="35:35" x14ac:dyDescent="0.3">
      <c r="AI282" s="7"/>
    </row>
    <row r="283" spans="35:35" x14ac:dyDescent="0.3">
      <c r="AI283" s="7"/>
    </row>
    <row r="284" spans="35:35" x14ac:dyDescent="0.3">
      <c r="AI284" s="7"/>
    </row>
    <row r="285" spans="35:35" x14ac:dyDescent="0.3">
      <c r="AI285" s="7"/>
    </row>
    <row r="286" spans="35:35" x14ac:dyDescent="0.3">
      <c r="AI286" s="7"/>
    </row>
    <row r="287" spans="35:35" x14ac:dyDescent="0.3">
      <c r="AI287" s="7"/>
    </row>
    <row r="288" spans="35:35" x14ac:dyDescent="0.3">
      <c r="AI288" s="7"/>
    </row>
    <row r="289" spans="35:35" x14ac:dyDescent="0.3">
      <c r="AI289" s="7"/>
    </row>
    <row r="290" spans="35:35" x14ac:dyDescent="0.3">
      <c r="AI290" s="7"/>
    </row>
    <row r="291" spans="35:35" x14ac:dyDescent="0.3">
      <c r="AI291" s="7"/>
    </row>
    <row r="292" spans="35:35" x14ac:dyDescent="0.3">
      <c r="AI292" s="7"/>
    </row>
    <row r="293" spans="35:35" x14ac:dyDescent="0.3">
      <c r="AI293" s="7"/>
    </row>
    <row r="294" spans="35:35" x14ac:dyDescent="0.3">
      <c r="AI294" s="7"/>
    </row>
    <row r="295" spans="35:35" x14ac:dyDescent="0.3">
      <c r="AI295" s="7"/>
    </row>
    <row r="296" spans="35:35" x14ac:dyDescent="0.3">
      <c r="AI296" s="7"/>
    </row>
  </sheetData>
  <mergeCells count="2">
    <mergeCell ref="B2:G2"/>
    <mergeCell ref="B3:G3"/>
  </mergeCells>
  <phoneticPr fontId="1" type="noConversion"/>
  <conditionalFormatting sqref="B12:B14">
    <cfRule type="cellIs" dxfId="11" priority="5" operator="lessThan">
      <formula>1000</formula>
    </cfRule>
    <cfRule type="cellIs" dxfId="10" priority="9" operator="greaterThanOrEqual">
      <formula>1000</formula>
    </cfRule>
  </conditionalFormatting>
  <conditionalFormatting sqref="C12:C14">
    <cfRule type="cellIs" dxfId="9" priority="6" operator="lessThan">
      <formula>10</formula>
    </cfRule>
    <cfRule type="cellIs" dxfId="8" priority="10" operator="greaterThanOrEqual">
      <formula>10</formula>
    </cfRule>
  </conditionalFormatting>
  <conditionalFormatting sqref="D12:D14">
    <cfRule type="cellIs" dxfId="7" priority="8" operator="lessThan">
      <formula>60</formula>
    </cfRule>
    <cfRule type="cellIs" dxfId="6" priority="13" operator="greaterThanOrEqual">
      <formula>60</formula>
    </cfRule>
  </conditionalFormatting>
  <conditionalFormatting sqref="E13:E14">
    <cfRule type="cellIs" dxfId="5" priority="7" operator="greaterThanOrEqual">
      <formula>6%</formula>
    </cfRule>
    <cfRule type="cellIs" dxfId="4" priority="14" operator="lessThan">
      <formula>6%</formula>
    </cfRule>
  </conditionalFormatting>
  <conditionalFormatting sqref="F12:F14">
    <cfRule type="cellIs" dxfId="3" priority="3" operator="greaterThanOrEqual">
      <formula>50</formula>
    </cfRule>
    <cfRule type="cellIs" dxfId="2" priority="4" operator="lessThan">
      <formula>50</formula>
    </cfRule>
  </conditionalFormatting>
  <conditionalFormatting sqref="J13:O13">
    <cfRule type="cellIs" dxfId="1" priority="1" operator="greaterThanOrEqual">
      <formula>0%</formula>
    </cfRule>
    <cfRule type="cellIs" dxfId="0" priority="2" operator="lessThan">
      <formula>0%</formula>
    </cfRule>
  </conditionalFormatting>
  <dataValidations count="4">
    <dataValidation type="list" allowBlank="1" showInputMessage="1" showErrorMessage="1" promptTitle="Quick range" prompt="Pick a preset, or 'Custom' to type your own dates in C7/D7." sqref="B7" xr:uid="{2DE5BC62-1BDE-47E3-8930-DE97DE687CB1}">
      <formula1>"Last 7 days,Last 30 days,Last 90 days,All time,Custom"</formula1>
    </dataValidation>
    <dataValidation type="list" allowBlank="1" showInputMessage="1" showErrorMessage="1" errorTitle="Choose a preset" error="Pick one of the listed presets." sqref="J7" xr:uid="{3B30AE2B-0143-49AC-A7A9-2E8285E2BCCC}">
      <formula1>"Last 7 vs prior 7,Last 30 vs prior 30,Last 90 vs prior 90,Custom A vs B"</formula1>
    </dataValidation>
    <dataValidation allowBlank="1" showInputMessage="1" showErrorMessage="1" promptTitle="Quick range" prompt="When you choose 'Custom' for the Quick Data Range cell, type your own dates in F7/G7." sqref="E7 J8" xr:uid="{6C658EFC-B6C3-43EE-A716-9E3829244C3F}"/>
    <dataValidation type="list" allowBlank="1" showInputMessage="1" showErrorMessage="1" promptTitle="Pick a metric" prompt="Choose which metric to compare across the two periods." sqref="O6" xr:uid="{3983CBA7-36B5-491F-B447-DE9A9FC797AE}">
      <formula1>"Views,Total Watch Time (s),Likes,Saves,Comments,Shares,Profile Visits,New Followers,Engagement,Engagement Rate,Brand Awareness"</formula1>
    </dataValidation>
  </dataValidations>
  <pageMargins left="0.7" right="0.7" top="0.75" bottom="0.75" header="0.3" footer="0.3"/>
  <ignoredErrors>
    <ignoredError sqref="E14" formula="1"/>
  </ignoredErrors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CFF1-AB9C-4DB8-A9D2-0492D4D2642E}">
  <dimension ref="A1:AD581"/>
  <sheetViews>
    <sheetView topLeftCell="A517" zoomScaleNormal="100" workbookViewId="0">
      <selection activeCell="J7" sqref="J7"/>
    </sheetView>
  </sheetViews>
  <sheetFormatPr baseColWidth="10" defaultColWidth="16.5546875" defaultRowHeight="14.4" x14ac:dyDescent="0.3"/>
  <cols>
    <col min="1" max="1" width="13" style="21" bestFit="1" customWidth="1"/>
    <col min="2" max="2" width="8.6640625" style="21" bestFit="1" customWidth="1"/>
    <col min="3" max="3" width="21.5546875" style="21" hidden="1" customWidth="1"/>
    <col min="4" max="4" width="7.88671875" style="21" bestFit="1" customWidth="1"/>
    <col min="5" max="5" width="8.5546875" style="21" bestFit="1" customWidth="1"/>
    <col min="6" max="6" width="12.88671875" style="21" bestFit="1" customWidth="1"/>
    <col min="7" max="7" width="9.33203125" style="21" bestFit="1" customWidth="1"/>
    <col min="8" max="8" width="14" style="21" bestFit="1" customWidth="1"/>
    <col min="9" max="9" width="16" style="21" bestFit="1" customWidth="1"/>
    <col min="10" max="10" width="14.33203125" style="21" bestFit="1" customWidth="1"/>
    <col min="11" max="11" width="14.33203125" style="21" customWidth="1"/>
    <col min="12" max="12" width="18.5546875" style="21" bestFit="1" customWidth="1"/>
    <col min="13" max="13" width="16.5546875" style="21"/>
    <col min="27" max="27" width="16.5546875" style="21"/>
    <col min="31" max="16384" width="16.5546875" style="21"/>
  </cols>
  <sheetData>
    <row r="1" spans="1:12" ht="18.600000000000001" thickBot="1" x14ac:dyDescent="0.35">
      <c r="A1" s="20" t="s">
        <v>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x14ac:dyDescent="0.3">
      <c r="A2" s="22" t="s">
        <v>0</v>
      </c>
      <c r="B2" s="22" t="s">
        <v>5</v>
      </c>
      <c r="C2" s="22" t="s">
        <v>9</v>
      </c>
      <c r="D2" s="22" t="s">
        <v>10</v>
      </c>
      <c r="E2" s="22" t="s">
        <v>11</v>
      </c>
      <c r="F2" s="22" t="s">
        <v>12</v>
      </c>
      <c r="G2" s="22" t="s">
        <v>13</v>
      </c>
      <c r="H2" s="22" t="s">
        <v>14</v>
      </c>
      <c r="I2" s="22" t="s">
        <v>7</v>
      </c>
      <c r="J2" s="22" t="s">
        <v>6</v>
      </c>
      <c r="K2" s="22" t="s">
        <v>40</v>
      </c>
      <c r="L2" s="22" t="s">
        <v>15</v>
      </c>
    </row>
    <row r="3" spans="1:12" x14ac:dyDescent="0.3">
      <c r="A3" s="51" t="s">
        <v>60</v>
      </c>
      <c r="B3" s="52">
        <f>MAX(B5:B1048576)</f>
        <v>3571</v>
      </c>
      <c r="C3" s="52">
        <f t="shared" ref="C3:L3" si="0">MAX(C5:C1048576)</f>
        <v>92846</v>
      </c>
      <c r="D3" s="52">
        <f t="shared" si="0"/>
        <v>111</v>
      </c>
      <c r="E3" s="52">
        <f t="shared" si="0"/>
        <v>58</v>
      </c>
      <c r="F3" s="52">
        <f t="shared" si="0"/>
        <v>13</v>
      </c>
      <c r="G3" s="52">
        <f t="shared" si="0"/>
        <v>13</v>
      </c>
      <c r="H3" s="52">
        <f t="shared" si="0"/>
        <v>199</v>
      </c>
      <c r="I3" s="52">
        <f t="shared" si="0"/>
        <v>34</v>
      </c>
      <c r="J3" s="52">
        <f t="shared" si="0"/>
        <v>194</v>
      </c>
      <c r="K3" s="53">
        <f t="shared" si="0"/>
        <v>8.8888888888888892E-2</v>
      </c>
      <c r="L3" s="52">
        <f t="shared" si="0"/>
        <v>228</v>
      </c>
    </row>
    <row r="4" spans="1:12" x14ac:dyDescent="0.3">
      <c r="A4" s="51" t="s">
        <v>61</v>
      </c>
      <c r="B4" s="52">
        <f>MIN(B5:B1048576)</f>
        <v>84</v>
      </c>
      <c r="C4" s="52">
        <f t="shared" ref="C4:L4" si="1">MIN(C5:C1048576)</f>
        <v>1512</v>
      </c>
      <c r="D4" s="52">
        <f t="shared" si="1"/>
        <v>2</v>
      </c>
      <c r="E4" s="52">
        <f t="shared" si="1"/>
        <v>1</v>
      </c>
      <c r="F4" s="52">
        <f t="shared" si="1"/>
        <v>0</v>
      </c>
      <c r="G4" s="52">
        <f t="shared" si="1"/>
        <v>0</v>
      </c>
      <c r="H4" s="52">
        <f t="shared" si="1"/>
        <v>4</v>
      </c>
      <c r="I4" s="52">
        <f t="shared" si="1"/>
        <v>0</v>
      </c>
      <c r="J4" s="52">
        <f t="shared" si="1"/>
        <v>3</v>
      </c>
      <c r="K4" s="53">
        <f t="shared" si="1"/>
        <v>2.6845637583892617E-2</v>
      </c>
      <c r="L4" s="52">
        <f t="shared" si="1"/>
        <v>4</v>
      </c>
    </row>
    <row r="5" spans="1:12" x14ac:dyDescent="0.3">
      <c r="A5" s="42">
        <v>45566</v>
      </c>
      <c r="B5" s="21">
        <v>167</v>
      </c>
      <c r="C5" s="21">
        <v>3173</v>
      </c>
      <c r="D5" s="21">
        <v>8</v>
      </c>
      <c r="E5" s="21">
        <v>3</v>
      </c>
      <c r="F5" s="21">
        <v>1</v>
      </c>
      <c r="G5" s="21">
        <v>1</v>
      </c>
      <c r="H5" s="21">
        <v>8</v>
      </c>
      <c r="I5" s="21">
        <v>7</v>
      </c>
      <c r="J5" s="21">
        <f>SUM(DataTbl[[#This Row],[Likes]:[Shares]])</f>
        <v>13</v>
      </c>
      <c r="K5" s="24">
        <f>DataTbl[[#This Row],[Engagement]]/DataTbl[[#This Row],[Views]]</f>
        <v>7.7844311377245512E-2</v>
      </c>
      <c r="L5" s="21">
        <f>SUM(DataTbl[[#This Row],[Profile Visits]:[New Followers]])</f>
        <v>15</v>
      </c>
    </row>
    <row r="6" spans="1:12" x14ac:dyDescent="0.3">
      <c r="A6" s="42">
        <v>45567</v>
      </c>
      <c r="B6" s="21">
        <v>176</v>
      </c>
      <c r="C6" s="21">
        <v>3696</v>
      </c>
      <c r="D6" s="21">
        <v>7</v>
      </c>
      <c r="E6" s="21">
        <v>3</v>
      </c>
      <c r="F6" s="21">
        <v>1</v>
      </c>
      <c r="G6" s="21">
        <v>1</v>
      </c>
      <c r="H6" s="21">
        <v>11</v>
      </c>
      <c r="I6" s="21">
        <v>9</v>
      </c>
      <c r="J6" s="21">
        <f>SUM(DataTbl[[#This Row],[Likes]:[Shares]])</f>
        <v>12</v>
      </c>
      <c r="K6" s="24">
        <f>DataTbl[[#This Row],[Engagement]]/DataTbl[[#This Row],[Views]]</f>
        <v>6.8181818181818177E-2</v>
      </c>
      <c r="L6" s="21">
        <f>SUM(DataTbl[[#This Row],[Profile Visits]:[New Followers]])</f>
        <v>20</v>
      </c>
    </row>
    <row r="7" spans="1:12" x14ac:dyDescent="0.3">
      <c r="A7" s="42">
        <v>45568</v>
      </c>
      <c r="B7" s="21">
        <v>168</v>
      </c>
      <c r="C7" s="21">
        <v>5544</v>
      </c>
      <c r="D7" s="21">
        <v>4</v>
      </c>
      <c r="E7" s="21">
        <v>2</v>
      </c>
      <c r="F7" s="21">
        <v>0</v>
      </c>
      <c r="G7" s="21">
        <v>1</v>
      </c>
      <c r="H7" s="21">
        <v>12</v>
      </c>
      <c r="I7" s="21">
        <v>8</v>
      </c>
      <c r="J7" s="21">
        <f>SUM(DataTbl[[#This Row],[Likes]:[Shares]])</f>
        <v>7</v>
      </c>
      <c r="K7" s="24">
        <f>DataTbl[[#This Row],[Engagement]]/DataTbl[[#This Row],[Views]]</f>
        <v>4.1666666666666664E-2</v>
      </c>
      <c r="L7" s="21">
        <f>SUM(DataTbl[[#This Row],[Profile Visits]:[New Followers]])</f>
        <v>20</v>
      </c>
    </row>
    <row r="8" spans="1:12" x14ac:dyDescent="0.3">
      <c r="A8" s="42">
        <v>45569</v>
      </c>
      <c r="B8" s="21">
        <v>179</v>
      </c>
      <c r="C8" s="21">
        <v>5191</v>
      </c>
      <c r="D8" s="21">
        <v>7</v>
      </c>
      <c r="E8" s="21">
        <v>3</v>
      </c>
      <c r="F8" s="21">
        <v>1</v>
      </c>
      <c r="G8" s="21">
        <v>1</v>
      </c>
      <c r="H8" s="21">
        <v>7</v>
      </c>
      <c r="I8" s="21">
        <v>4</v>
      </c>
      <c r="J8" s="21">
        <f>SUM(DataTbl[[#This Row],[Likes]:[Shares]])</f>
        <v>12</v>
      </c>
      <c r="K8" s="24">
        <f>DataTbl[[#This Row],[Engagement]]/DataTbl[[#This Row],[Views]]</f>
        <v>6.7039106145251395E-2</v>
      </c>
      <c r="L8" s="21">
        <f>SUM(DataTbl[[#This Row],[Profile Visits]:[New Followers]])</f>
        <v>11</v>
      </c>
    </row>
    <row r="9" spans="1:12" x14ac:dyDescent="0.3">
      <c r="A9" s="42">
        <v>45570</v>
      </c>
      <c r="B9" s="21">
        <v>89</v>
      </c>
      <c r="C9" s="21">
        <v>1691</v>
      </c>
      <c r="D9" s="21">
        <v>3</v>
      </c>
      <c r="E9" s="21">
        <v>1</v>
      </c>
      <c r="F9" s="21">
        <v>0</v>
      </c>
      <c r="G9" s="21">
        <v>1</v>
      </c>
      <c r="H9" s="21">
        <v>6</v>
      </c>
      <c r="I9" s="21">
        <v>1</v>
      </c>
      <c r="J9" s="21">
        <f>SUM(DataTbl[[#This Row],[Likes]:[Shares]])</f>
        <v>5</v>
      </c>
      <c r="K9" s="24">
        <f>DataTbl[[#This Row],[Engagement]]/DataTbl[[#This Row],[Views]]</f>
        <v>5.6179775280898875E-2</v>
      </c>
      <c r="L9" s="21">
        <f>SUM(DataTbl[[#This Row],[Profile Visits]:[New Followers]])</f>
        <v>7</v>
      </c>
    </row>
    <row r="10" spans="1:12" x14ac:dyDescent="0.3">
      <c r="A10" s="42">
        <v>45571</v>
      </c>
      <c r="B10" s="21">
        <v>103</v>
      </c>
      <c r="C10" s="21">
        <v>2060</v>
      </c>
      <c r="D10" s="21">
        <v>3</v>
      </c>
      <c r="E10" s="21">
        <v>1</v>
      </c>
      <c r="F10" s="21">
        <v>0</v>
      </c>
      <c r="G10" s="21">
        <v>0</v>
      </c>
      <c r="H10" s="21">
        <v>6</v>
      </c>
      <c r="I10" s="21">
        <v>1</v>
      </c>
      <c r="J10" s="21">
        <f>SUM(DataTbl[[#This Row],[Likes]:[Shares]])</f>
        <v>4</v>
      </c>
      <c r="K10" s="24">
        <f>DataTbl[[#This Row],[Engagement]]/DataTbl[[#This Row],[Views]]</f>
        <v>3.8834951456310676E-2</v>
      </c>
      <c r="L10" s="21">
        <f>SUM(DataTbl[[#This Row],[Profile Visits]:[New Followers]])</f>
        <v>7</v>
      </c>
    </row>
    <row r="11" spans="1:12" x14ac:dyDescent="0.3">
      <c r="A11" s="42">
        <v>45572</v>
      </c>
      <c r="B11" s="21">
        <v>105</v>
      </c>
      <c r="C11" s="21">
        <v>2835</v>
      </c>
      <c r="D11" s="21">
        <v>4</v>
      </c>
      <c r="E11" s="21">
        <v>2</v>
      </c>
      <c r="F11" s="21">
        <v>0</v>
      </c>
      <c r="G11" s="21">
        <v>1</v>
      </c>
      <c r="H11" s="21">
        <v>7</v>
      </c>
      <c r="I11" s="21">
        <v>1</v>
      </c>
      <c r="J11" s="21">
        <f>SUM(DataTbl[[#This Row],[Likes]:[Shares]])</f>
        <v>7</v>
      </c>
      <c r="K11" s="24">
        <f>DataTbl[[#This Row],[Engagement]]/DataTbl[[#This Row],[Views]]</f>
        <v>6.6666666666666666E-2</v>
      </c>
      <c r="L11" s="21">
        <f>SUM(DataTbl[[#This Row],[Profile Visits]:[New Followers]])</f>
        <v>8</v>
      </c>
    </row>
    <row r="12" spans="1:12" x14ac:dyDescent="0.3">
      <c r="A12" s="42">
        <v>45573</v>
      </c>
      <c r="B12" s="21">
        <v>102</v>
      </c>
      <c r="C12" s="21">
        <v>2856</v>
      </c>
      <c r="D12" s="21">
        <v>5</v>
      </c>
      <c r="E12" s="21">
        <v>2</v>
      </c>
      <c r="F12" s="21">
        <v>1</v>
      </c>
      <c r="G12" s="21">
        <v>0</v>
      </c>
      <c r="H12" s="21">
        <v>6</v>
      </c>
      <c r="I12" s="21">
        <v>1</v>
      </c>
      <c r="J12" s="21">
        <f>SUM(DataTbl[[#This Row],[Likes]:[Shares]])</f>
        <v>8</v>
      </c>
      <c r="K12" s="24">
        <f>DataTbl[[#This Row],[Engagement]]/DataTbl[[#This Row],[Views]]</f>
        <v>7.8431372549019607E-2</v>
      </c>
      <c r="L12" s="21">
        <f>SUM(DataTbl[[#This Row],[Profile Visits]:[New Followers]])</f>
        <v>7</v>
      </c>
    </row>
    <row r="13" spans="1:12" x14ac:dyDescent="0.3">
      <c r="A13" s="42">
        <v>45574</v>
      </c>
      <c r="B13" s="21">
        <v>93</v>
      </c>
      <c r="C13" s="21">
        <v>2883</v>
      </c>
      <c r="D13" s="21">
        <v>4</v>
      </c>
      <c r="E13" s="21">
        <v>2</v>
      </c>
      <c r="F13" s="21">
        <v>0</v>
      </c>
      <c r="G13" s="21">
        <v>1</v>
      </c>
      <c r="H13" s="21">
        <v>6</v>
      </c>
      <c r="I13" s="21">
        <v>1</v>
      </c>
      <c r="J13" s="21">
        <f>SUM(DataTbl[[#This Row],[Likes]:[Shares]])</f>
        <v>7</v>
      </c>
      <c r="K13" s="24">
        <f>DataTbl[[#This Row],[Engagement]]/DataTbl[[#This Row],[Views]]</f>
        <v>7.5268817204301078E-2</v>
      </c>
      <c r="L13" s="21">
        <f>SUM(DataTbl[[#This Row],[Profile Visits]:[New Followers]])</f>
        <v>7</v>
      </c>
    </row>
    <row r="14" spans="1:12" x14ac:dyDescent="0.3">
      <c r="A14" s="42">
        <v>45575</v>
      </c>
      <c r="B14" s="21">
        <v>84</v>
      </c>
      <c r="C14" s="21">
        <v>1512</v>
      </c>
      <c r="D14" s="21">
        <v>2</v>
      </c>
      <c r="E14" s="21">
        <v>1</v>
      </c>
      <c r="F14" s="21">
        <v>0</v>
      </c>
      <c r="G14" s="21">
        <v>0</v>
      </c>
      <c r="H14" s="21">
        <v>5</v>
      </c>
      <c r="I14" s="21">
        <v>1</v>
      </c>
      <c r="J14" s="21">
        <f>SUM(DataTbl[[#This Row],[Likes]:[Shares]])</f>
        <v>3</v>
      </c>
      <c r="K14" s="24">
        <f>DataTbl[[#This Row],[Engagement]]/DataTbl[[#This Row],[Views]]</f>
        <v>3.5714285714285712E-2</v>
      </c>
      <c r="L14" s="21">
        <f>SUM(DataTbl[[#This Row],[Profile Visits]:[New Followers]])</f>
        <v>6</v>
      </c>
    </row>
    <row r="15" spans="1:12" x14ac:dyDescent="0.3">
      <c r="A15" s="42">
        <v>45576</v>
      </c>
      <c r="B15" s="21">
        <v>109</v>
      </c>
      <c r="C15" s="21">
        <v>2507</v>
      </c>
      <c r="D15" s="21">
        <v>5</v>
      </c>
      <c r="E15" s="21">
        <v>2</v>
      </c>
      <c r="F15" s="21">
        <v>1</v>
      </c>
      <c r="G15" s="21">
        <v>1</v>
      </c>
      <c r="H15" s="21">
        <v>5</v>
      </c>
      <c r="I15" s="21">
        <v>1</v>
      </c>
      <c r="J15" s="21">
        <f>SUM(DataTbl[[#This Row],[Likes]:[Shares]])</f>
        <v>9</v>
      </c>
      <c r="K15" s="24">
        <f>DataTbl[[#This Row],[Engagement]]/DataTbl[[#This Row],[Views]]</f>
        <v>8.2568807339449546E-2</v>
      </c>
      <c r="L15" s="21">
        <f>SUM(DataTbl[[#This Row],[Profile Visits]:[New Followers]])</f>
        <v>6</v>
      </c>
    </row>
    <row r="16" spans="1:12" x14ac:dyDescent="0.3">
      <c r="A16" s="42">
        <v>45577</v>
      </c>
      <c r="B16" s="21">
        <v>115</v>
      </c>
      <c r="C16" s="21">
        <v>2415</v>
      </c>
      <c r="D16" s="21">
        <v>3</v>
      </c>
      <c r="E16" s="21">
        <v>2</v>
      </c>
      <c r="F16" s="21">
        <v>1</v>
      </c>
      <c r="G16" s="21">
        <v>1</v>
      </c>
      <c r="H16" s="21">
        <v>8</v>
      </c>
      <c r="I16" s="21">
        <v>2</v>
      </c>
      <c r="J16" s="21">
        <f>SUM(DataTbl[[#This Row],[Likes]:[Shares]])</f>
        <v>7</v>
      </c>
      <c r="K16" s="24">
        <f>DataTbl[[#This Row],[Engagement]]/DataTbl[[#This Row],[Views]]</f>
        <v>6.0869565217391307E-2</v>
      </c>
      <c r="L16" s="21">
        <f>SUM(DataTbl[[#This Row],[Profile Visits]:[New Followers]])</f>
        <v>10</v>
      </c>
    </row>
    <row r="17" spans="1:12" x14ac:dyDescent="0.3">
      <c r="A17" s="42">
        <v>45578</v>
      </c>
      <c r="B17" s="21">
        <v>122</v>
      </c>
      <c r="C17" s="21">
        <v>4148</v>
      </c>
      <c r="D17" s="21">
        <v>4</v>
      </c>
      <c r="E17" s="21">
        <v>2</v>
      </c>
      <c r="F17" s="21">
        <v>1</v>
      </c>
      <c r="G17" s="21">
        <v>1</v>
      </c>
      <c r="H17" s="21">
        <v>6</v>
      </c>
      <c r="I17" s="21">
        <v>1</v>
      </c>
      <c r="J17" s="21">
        <f>SUM(DataTbl[[#This Row],[Likes]:[Shares]])</f>
        <v>8</v>
      </c>
      <c r="K17" s="24">
        <f>DataTbl[[#This Row],[Engagement]]/DataTbl[[#This Row],[Views]]</f>
        <v>6.5573770491803282E-2</v>
      </c>
      <c r="L17" s="21">
        <f>SUM(DataTbl[[#This Row],[Profile Visits]:[New Followers]])</f>
        <v>7</v>
      </c>
    </row>
    <row r="18" spans="1:12" x14ac:dyDescent="0.3">
      <c r="A18" s="42">
        <v>45579</v>
      </c>
      <c r="B18" s="21">
        <v>95</v>
      </c>
      <c r="C18" s="21">
        <v>1995</v>
      </c>
      <c r="D18" s="21">
        <v>3</v>
      </c>
      <c r="E18" s="21">
        <v>1</v>
      </c>
      <c r="F18" s="21">
        <v>0</v>
      </c>
      <c r="G18" s="21">
        <v>0</v>
      </c>
      <c r="H18" s="21">
        <v>4</v>
      </c>
      <c r="I18" s="21">
        <v>0</v>
      </c>
      <c r="J18" s="21">
        <f>SUM(DataTbl[[#This Row],[Likes]:[Shares]])</f>
        <v>4</v>
      </c>
      <c r="K18" s="24">
        <f>DataTbl[[#This Row],[Engagement]]/DataTbl[[#This Row],[Views]]</f>
        <v>4.2105263157894736E-2</v>
      </c>
      <c r="L18" s="21">
        <f>SUM(DataTbl[[#This Row],[Profile Visits]:[New Followers]])</f>
        <v>4</v>
      </c>
    </row>
    <row r="19" spans="1:12" x14ac:dyDescent="0.3">
      <c r="A19" s="42">
        <v>45580</v>
      </c>
      <c r="B19" s="21">
        <v>108</v>
      </c>
      <c r="C19" s="21">
        <v>3780</v>
      </c>
      <c r="D19" s="21">
        <v>2</v>
      </c>
      <c r="E19" s="21">
        <v>1</v>
      </c>
      <c r="F19" s="21">
        <v>0</v>
      </c>
      <c r="G19" s="21">
        <v>0</v>
      </c>
      <c r="H19" s="21">
        <v>6</v>
      </c>
      <c r="I19" s="21">
        <v>1</v>
      </c>
      <c r="J19" s="21">
        <f>SUM(DataTbl[[#This Row],[Likes]:[Shares]])</f>
        <v>3</v>
      </c>
      <c r="K19" s="24">
        <f>DataTbl[[#This Row],[Engagement]]/DataTbl[[#This Row],[Views]]</f>
        <v>2.7777777777777776E-2</v>
      </c>
      <c r="L19" s="21">
        <f>SUM(DataTbl[[#This Row],[Profile Visits]:[New Followers]])</f>
        <v>7</v>
      </c>
    </row>
    <row r="20" spans="1:12" x14ac:dyDescent="0.3">
      <c r="A20" s="42">
        <v>45581</v>
      </c>
      <c r="B20" s="21">
        <v>103</v>
      </c>
      <c r="C20" s="21">
        <v>3296</v>
      </c>
      <c r="D20" s="21">
        <v>4</v>
      </c>
      <c r="E20" s="21">
        <v>1</v>
      </c>
      <c r="F20" s="21">
        <v>0</v>
      </c>
      <c r="G20" s="21">
        <v>0</v>
      </c>
      <c r="H20" s="21">
        <v>6</v>
      </c>
      <c r="I20" s="21">
        <v>1</v>
      </c>
      <c r="J20" s="21">
        <f>SUM(DataTbl[[#This Row],[Likes]:[Shares]])</f>
        <v>5</v>
      </c>
      <c r="K20" s="24">
        <f>DataTbl[[#This Row],[Engagement]]/DataTbl[[#This Row],[Views]]</f>
        <v>4.8543689320388349E-2</v>
      </c>
      <c r="L20" s="21">
        <f>SUM(DataTbl[[#This Row],[Profile Visits]:[New Followers]])</f>
        <v>7</v>
      </c>
    </row>
    <row r="21" spans="1:12" x14ac:dyDescent="0.3">
      <c r="A21" s="42">
        <v>45582</v>
      </c>
      <c r="B21" s="21">
        <v>87</v>
      </c>
      <c r="C21" s="21">
        <v>2784</v>
      </c>
      <c r="D21" s="21">
        <v>4</v>
      </c>
      <c r="E21" s="21">
        <v>1</v>
      </c>
      <c r="F21" s="21">
        <v>0</v>
      </c>
      <c r="G21" s="21">
        <v>1</v>
      </c>
      <c r="H21" s="21">
        <v>4</v>
      </c>
      <c r="I21" s="21">
        <v>1</v>
      </c>
      <c r="J21" s="21">
        <f>SUM(DataTbl[[#This Row],[Likes]:[Shares]])</f>
        <v>6</v>
      </c>
      <c r="K21" s="24">
        <f>DataTbl[[#This Row],[Engagement]]/DataTbl[[#This Row],[Views]]</f>
        <v>6.8965517241379309E-2</v>
      </c>
      <c r="L21" s="21">
        <f>SUM(DataTbl[[#This Row],[Profile Visits]:[New Followers]])</f>
        <v>5</v>
      </c>
    </row>
    <row r="22" spans="1:12" x14ac:dyDescent="0.3">
      <c r="A22" s="42">
        <v>45583</v>
      </c>
      <c r="B22" s="21">
        <v>108</v>
      </c>
      <c r="C22" s="21">
        <v>2700</v>
      </c>
      <c r="D22" s="21">
        <v>5</v>
      </c>
      <c r="E22" s="21">
        <v>2</v>
      </c>
      <c r="F22" s="21">
        <v>1</v>
      </c>
      <c r="G22" s="21">
        <v>1</v>
      </c>
      <c r="H22" s="21">
        <v>6</v>
      </c>
      <c r="I22" s="21">
        <v>1</v>
      </c>
      <c r="J22" s="21">
        <f>SUM(DataTbl[[#This Row],[Likes]:[Shares]])</f>
        <v>9</v>
      </c>
      <c r="K22" s="24">
        <f>DataTbl[[#This Row],[Engagement]]/DataTbl[[#This Row],[Views]]</f>
        <v>8.3333333333333329E-2</v>
      </c>
      <c r="L22" s="21">
        <f>SUM(DataTbl[[#This Row],[Profile Visits]:[New Followers]])</f>
        <v>7</v>
      </c>
    </row>
    <row r="23" spans="1:12" x14ac:dyDescent="0.3">
      <c r="A23" s="42">
        <v>45584</v>
      </c>
      <c r="B23" s="21">
        <v>137</v>
      </c>
      <c r="C23" s="21">
        <v>4384</v>
      </c>
      <c r="D23" s="21">
        <v>4</v>
      </c>
      <c r="E23" s="21">
        <v>2</v>
      </c>
      <c r="F23" s="21">
        <v>1</v>
      </c>
      <c r="G23" s="21">
        <v>1</v>
      </c>
      <c r="H23" s="21">
        <v>9</v>
      </c>
      <c r="I23" s="21">
        <v>1</v>
      </c>
      <c r="J23" s="21">
        <f>SUM(DataTbl[[#This Row],[Likes]:[Shares]])</f>
        <v>8</v>
      </c>
      <c r="K23" s="24">
        <f>DataTbl[[#This Row],[Engagement]]/DataTbl[[#This Row],[Views]]</f>
        <v>5.8394160583941604E-2</v>
      </c>
      <c r="L23" s="21">
        <f>SUM(DataTbl[[#This Row],[Profile Visits]:[New Followers]])</f>
        <v>10</v>
      </c>
    </row>
    <row r="24" spans="1:12" x14ac:dyDescent="0.3">
      <c r="A24" s="42">
        <v>45585</v>
      </c>
      <c r="B24" s="21">
        <v>112</v>
      </c>
      <c r="C24" s="21">
        <v>3136</v>
      </c>
      <c r="D24" s="21">
        <v>5</v>
      </c>
      <c r="E24" s="21">
        <v>2</v>
      </c>
      <c r="F24" s="21">
        <v>0</v>
      </c>
      <c r="G24" s="21">
        <v>1</v>
      </c>
      <c r="H24" s="21">
        <v>8</v>
      </c>
      <c r="I24" s="21">
        <v>2</v>
      </c>
      <c r="J24" s="21">
        <f>SUM(DataTbl[[#This Row],[Likes]:[Shares]])</f>
        <v>8</v>
      </c>
      <c r="K24" s="24">
        <f>DataTbl[[#This Row],[Engagement]]/DataTbl[[#This Row],[Views]]</f>
        <v>7.1428571428571425E-2</v>
      </c>
      <c r="L24" s="21">
        <f>SUM(DataTbl[[#This Row],[Profile Visits]:[New Followers]])</f>
        <v>10</v>
      </c>
    </row>
    <row r="25" spans="1:12" x14ac:dyDescent="0.3">
      <c r="A25" s="42">
        <v>45586</v>
      </c>
      <c r="B25" s="21">
        <v>90</v>
      </c>
      <c r="C25" s="21">
        <v>1710</v>
      </c>
      <c r="D25" s="21">
        <v>4</v>
      </c>
      <c r="E25" s="21">
        <v>2</v>
      </c>
      <c r="F25" s="21">
        <v>1</v>
      </c>
      <c r="G25" s="21">
        <v>1</v>
      </c>
      <c r="H25" s="21">
        <v>4</v>
      </c>
      <c r="I25" s="21">
        <v>1</v>
      </c>
      <c r="J25" s="21">
        <f>SUM(DataTbl[[#This Row],[Likes]:[Shares]])</f>
        <v>8</v>
      </c>
      <c r="K25" s="24">
        <f>DataTbl[[#This Row],[Engagement]]/DataTbl[[#This Row],[Views]]</f>
        <v>8.8888888888888892E-2</v>
      </c>
      <c r="L25" s="21">
        <f>SUM(DataTbl[[#This Row],[Profile Visits]:[New Followers]])</f>
        <v>5</v>
      </c>
    </row>
    <row r="26" spans="1:12" x14ac:dyDescent="0.3">
      <c r="A26" s="42">
        <v>45587</v>
      </c>
      <c r="B26" s="21">
        <v>100</v>
      </c>
      <c r="C26" s="21">
        <v>2500</v>
      </c>
      <c r="D26" s="21">
        <v>4</v>
      </c>
      <c r="E26" s="21">
        <v>2</v>
      </c>
      <c r="F26" s="21">
        <v>1</v>
      </c>
      <c r="G26" s="21">
        <v>1</v>
      </c>
      <c r="H26" s="21">
        <v>6</v>
      </c>
      <c r="I26" s="21">
        <v>1</v>
      </c>
      <c r="J26" s="21">
        <f>SUM(DataTbl[[#This Row],[Likes]:[Shares]])</f>
        <v>8</v>
      </c>
      <c r="K26" s="24">
        <f>DataTbl[[#This Row],[Engagement]]/DataTbl[[#This Row],[Views]]</f>
        <v>0.08</v>
      </c>
      <c r="L26" s="21">
        <f>SUM(DataTbl[[#This Row],[Profile Visits]:[New Followers]])</f>
        <v>7</v>
      </c>
    </row>
    <row r="27" spans="1:12" x14ac:dyDescent="0.3">
      <c r="A27" s="42">
        <v>45588</v>
      </c>
      <c r="B27" s="21">
        <v>99</v>
      </c>
      <c r="C27" s="21">
        <v>1980</v>
      </c>
      <c r="D27" s="21">
        <v>4</v>
      </c>
      <c r="E27" s="21">
        <v>2</v>
      </c>
      <c r="F27" s="21">
        <v>0</v>
      </c>
      <c r="G27" s="21">
        <v>1</v>
      </c>
      <c r="H27" s="21">
        <v>8</v>
      </c>
      <c r="I27" s="21">
        <v>1</v>
      </c>
      <c r="J27" s="21">
        <f>SUM(DataTbl[[#This Row],[Likes]:[Shares]])</f>
        <v>7</v>
      </c>
      <c r="K27" s="24">
        <f>DataTbl[[#This Row],[Engagement]]/DataTbl[[#This Row],[Views]]</f>
        <v>7.0707070707070704E-2</v>
      </c>
      <c r="L27" s="21">
        <f>SUM(DataTbl[[#This Row],[Profile Visits]:[New Followers]])</f>
        <v>9</v>
      </c>
    </row>
    <row r="28" spans="1:12" x14ac:dyDescent="0.3">
      <c r="A28" s="42">
        <v>45589</v>
      </c>
      <c r="B28" s="21">
        <v>92</v>
      </c>
      <c r="C28" s="21">
        <v>2484</v>
      </c>
      <c r="D28" s="21">
        <v>3</v>
      </c>
      <c r="E28" s="21">
        <v>1</v>
      </c>
      <c r="F28" s="21">
        <v>0</v>
      </c>
      <c r="G28" s="21">
        <v>0</v>
      </c>
      <c r="H28" s="21">
        <v>5</v>
      </c>
      <c r="I28" s="21">
        <v>1</v>
      </c>
      <c r="J28" s="21">
        <f>SUM(DataTbl[[#This Row],[Likes]:[Shares]])</f>
        <v>4</v>
      </c>
      <c r="K28" s="24">
        <f>DataTbl[[#This Row],[Engagement]]/DataTbl[[#This Row],[Views]]</f>
        <v>4.3478260869565216E-2</v>
      </c>
      <c r="L28" s="21">
        <f>SUM(DataTbl[[#This Row],[Profile Visits]:[New Followers]])</f>
        <v>6</v>
      </c>
    </row>
    <row r="29" spans="1:12" x14ac:dyDescent="0.3">
      <c r="A29" s="42">
        <v>45590</v>
      </c>
      <c r="B29" s="21">
        <v>107</v>
      </c>
      <c r="C29" s="21">
        <v>3424</v>
      </c>
      <c r="D29" s="21">
        <v>3</v>
      </c>
      <c r="E29" s="21">
        <v>2</v>
      </c>
      <c r="F29" s="21">
        <v>0</v>
      </c>
      <c r="G29" s="21">
        <v>0</v>
      </c>
      <c r="H29" s="21">
        <v>5</v>
      </c>
      <c r="I29" s="21">
        <v>1</v>
      </c>
      <c r="J29" s="21">
        <f>SUM(DataTbl[[#This Row],[Likes]:[Shares]])</f>
        <v>5</v>
      </c>
      <c r="K29" s="24">
        <f>DataTbl[[#This Row],[Engagement]]/DataTbl[[#This Row],[Views]]</f>
        <v>4.6728971962616821E-2</v>
      </c>
      <c r="L29" s="21">
        <f>SUM(DataTbl[[#This Row],[Profile Visits]:[New Followers]])</f>
        <v>6</v>
      </c>
    </row>
    <row r="30" spans="1:12" x14ac:dyDescent="0.3">
      <c r="A30" s="42">
        <v>45591</v>
      </c>
      <c r="B30" s="21">
        <v>103</v>
      </c>
      <c r="C30" s="21">
        <v>3502</v>
      </c>
      <c r="D30" s="21">
        <v>3</v>
      </c>
      <c r="E30" s="21">
        <v>1</v>
      </c>
      <c r="F30" s="21">
        <v>0</v>
      </c>
      <c r="G30" s="21">
        <v>0</v>
      </c>
      <c r="H30" s="21">
        <v>4</v>
      </c>
      <c r="I30" s="21">
        <v>1</v>
      </c>
      <c r="J30" s="21">
        <f>SUM(DataTbl[[#This Row],[Likes]:[Shares]])</f>
        <v>4</v>
      </c>
      <c r="K30" s="24">
        <f>DataTbl[[#This Row],[Engagement]]/DataTbl[[#This Row],[Views]]</f>
        <v>3.8834951456310676E-2</v>
      </c>
      <c r="L30" s="21">
        <f>SUM(DataTbl[[#This Row],[Profile Visits]:[New Followers]])</f>
        <v>5</v>
      </c>
    </row>
    <row r="31" spans="1:12" x14ac:dyDescent="0.3">
      <c r="A31" s="42">
        <v>45592</v>
      </c>
      <c r="B31" s="21">
        <v>104</v>
      </c>
      <c r="C31" s="21">
        <v>1976</v>
      </c>
      <c r="D31" s="21">
        <v>3</v>
      </c>
      <c r="E31" s="21">
        <v>1</v>
      </c>
      <c r="F31" s="21">
        <v>0</v>
      </c>
      <c r="G31" s="21">
        <v>0</v>
      </c>
      <c r="H31" s="21">
        <v>5</v>
      </c>
      <c r="I31" s="21">
        <v>1</v>
      </c>
      <c r="J31" s="21">
        <f>SUM(DataTbl[[#This Row],[Likes]:[Shares]])</f>
        <v>4</v>
      </c>
      <c r="K31" s="24">
        <f>DataTbl[[#This Row],[Engagement]]/DataTbl[[#This Row],[Views]]</f>
        <v>3.8461538461538464E-2</v>
      </c>
      <c r="L31" s="21">
        <f>SUM(DataTbl[[#This Row],[Profile Visits]:[New Followers]])</f>
        <v>6</v>
      </c>
    </row>
    <row r="32" spans="1:12" x14ac:dyDescent="0.3">
      <c r="A32" s="42">
        <v>45593</v>
      </c>
      <c r="B32" s="21">
        <v>104</v>
      </c>
      <c r="C32" s="21">
        <v>2184</v>
      </c>
      <c r="D32" s="21">
        <v>4</v>
      </c>
      <c r="E32" s="21">
        <v>2</v>
      </c>
      <c r="F32" s="21">
        <v>1</v>
      </c>
      <c r="G32" s="21">
        <v>0</v>
      </c>
      <c r="H32" s="21">
        <v>5</v>
      </c>
      <c r="I32" s="21">
        <v>1</v>
      </c>
      <c r="J32" s="21">
        <f>SUM(DataTbl[[#This Row],[Likes]:[Shares]])</f>
        <v>7</v>
      </c>
      <c r="K32" s="24">
        <f>DataTbl[[#This Row],[Engagement]]/DataTbl[[#This Row],[Views]]</f>
        <v>6.7307692307692304E-2</v>
      </c>
      <c r="L32" s="21">
        <f>SUM(DataTbl[[#This Row],[Profile Visits]:[New Followers]])</f>
        <v>6</v>
      </c>
    </row>
    <row r="33" spans="1:12" x14ac:dyDescent="0.3">
      <c r="A33" s="42">
        <v>45594</v>
      </c>
      <c r="B33" s="21">
        <v>95</v>
      </c>
      <c r="C33" s="21">
        <v>3040</v>
      </c>
      <c r="D33" s="21">
        <v>3</v>
      </c>
      <c r="E33" s="21">
        <v>1</v>
      </c>
      <c r="F33" s="21">
        <v>0</v>
      </c>
      <c r="G33" s="21">
        <v>1</v>
      </c>
      <c r="H33" s="21">
        <v>6</v>
      </c>
      <c r="I33" s="21">
        <v>1</v>
      </c>
      <c r="J33" s="21">
        <f>SUM(DataTbl[[#This Row],[Likes]:[Shares]])</f>
        <v>5</v>
      </c>
      <c r="K33" s="24">
        <f>DataTbl[[#This Row],[Engagement]]/DataTbl[[#This Row],[Views]]</f>
        <v>5.2631578947368418E-2</v>
      </c>
      <c r="L33" s="21">
        <f>SUM(DataTbl[[#This Row],[Profile Visits]:[New Followers]])</f>
        <v>7</v>
      </c>
    </row>
    <row r="34" spans="1:12" x14ac:dyDescent="0.3">
      <c r="A34" s="42">
        <v>45595</v>
      </c>
      <c r="B34" s="21">
        <v>87</v>
      </c>
      <c r="C34" s="21">
        <v>2349</v>
      </c>
      <c r="D34" s="21">
        <v>3</v>
      </c>
      <c r="E34" s="21">
        <v>1</v>
      </c>
      <c r="F34" s="21">
        <v>0</v>
      </c>
      <c r="G34" s="21">
        <v>0</v>
      </c>
      <c r="H34" s="21">
        <v>4</v>
      </c>
      <c r="I34" s="21">
        <v>0</v>
      </c>
      <c r="J34" s="21">
        <f>SUM(DataTbl[[#This Row],[Likes]:[Shares]])</f>
        <v>4</v>
      </c>
      <c r="K34" s="24">
        <f>DataTbl[[#This Row],[Engagement]]/DataTbl[[#This Row],[Views]]</f>
        <v>4.5977011494252873E-2</v>
      </c>
      <c r="L34" s="21">
        <f>SUM(DataTbl[[#This Row],[Profile Visits]:[New Followers]])</f>
        <v>4</v>
      </c>
    </row>
    <row r="35" spans="1:12" x14ac:dyDescent="0.3">
      <c r="A35" s="42">
        <v>45596</v>
      </c>
      <c r="B35" s="21">
        <v>86</v>
      </c>
      <c r="C35" s="21">
        <v>1634</v>
      </c>
      <c r="D35" s="21">
        <v>4</v>
      </c>
      <c r="E35" s="21">
        <v>2</v>
      </c>
      <c r="F35" s="21">
        <v>0</v>
      </c>
      <c r="G35" s="21">
        <v>1</v>
      </c>
      <c r="H35" s="21">
        <v>4</v>
      </c>
      <c r="I35" s="21">
        <v>1</v>
      </c>
      <c r="J35" s="21">
        <f>SUM(DataTbl[[#This Row],[Likes]:[Shares]])</f>
        <v>7</v>
      </c>
      <c r="K35" s="24">
        <f>DataTbl[[#This Row],[Engagement]]/DataTbl[[#This Row],[Views]]</f>
        <v>8.1395348837209308E-2</v>
      </c>
      <c r="L35" s="21">
        <f>SUM(DataTbl[[#This Row],[Profile Visits]:[New Followers]])</f>
        <v>5</v>
      </c>
    </row>
    <row r="36" spans="1:12" x14ac:dyDescent="0.3">
      <c r="A36" s="42">
        <v>45597</v>
      </c>
      <c r="B36" s="21">
        <v>108</v>
      </c>
      <c r="C36" s="21">
        <v>3240</v>
      </c>
      <c r="D36" s="21">
        <v>4</v>
      </c>
      <c r="E36" s="21">
        <v>2</v>
      </c>
      <c r="F36" s="21">
        <v>1</v>
      </c>
      <c r="G36" s="21">
        <v>0</v>
      </c>
      <c r="H36" s="21">
        <v>8</v>
      </c>
      <c r="I36" s="21">
        <v>1</v>
      </c>
      <c r="J36" s="21">
        <f>SUM(DataTbl[[#This Row],[Likes]:[Shares]])</f>
        <v>7</v>
      </c>
      <c r="K36" s="24">
        <f>DataTbl[[#This Row],[Engagement]]/DataTbl[[#This Row],[Views]]</f>
        <v>6.4814814814814811E-2</v>
      </c>
      <c r="L36" s="21">
        <f>SUM(DataTbl[[#This Row],[Profile Visits]:[New Followers]])</f>
        <v>9</v>
      </c>
    </row>
    <row r="37" spans="1:12" x14ac:dyDescent="0.3">
      <c r="A37" s="42">
        <v>45598</v>
      </c>
      <c r="B37" s="21">
        <v>116</v>
      </c>
      <c r="C37" s="21">
        <v>2784</v>
      </c>
      <c r="D37" s="21">
        <v>5</v>
      </c>
      <c r="E37" s="21">
        <v>2</v>
      </c>
      <c r="F37" s="21">
        <v>1</v>
      </c>
      <c r="G37" s="21">
        <v>1</v>
      </c>
      <c r="H37" s="21">
        <v>9</v>
      </c>
      <c r="I37" s="21">
        <v>1</v>
      </c>
      <c r="J37" s="21">
        <f>SUM(DataTbl[[#This Row],[Likes]:[Shares]])</f>
        <v>9</v>
      </c>
      <c r="K37" s="24">
        <f>DataTbl[[#This Row],[Engagement]]/DataTbl[[#This Row],[Views]]</f>
        <v>7.7586206896551727E-2</v>
      </c>
      <c r="L37" s="21">
        <f>SUM(DataTbl[[#This Row],[Profile Visits]:[New Followers]])</f>
        <v>10</v>
      </c>
    </row>
    <row r="38" spans="1:12" x14ac:dyDescent="0.3">
      <c r="A38" s="42">
        <v>45599</v>
      </c>
      <c r="B38" s="21">
        <v>136</v>
      </c>
      <c r="C38" s="21">
        <v>3128</v>
      </c>
      <c r="D38" s="21">
        <v>4</v>
      </c>
      <c r="E38" s="21">
        <v>2</v>
      </c>
      <c r="F38" s="21">
        <v>0</v>
      </c>
      <c r="G38" s="21">
        <v>1</v>
      </c>
      <c r="H38" s="21">
        <v>9</v>
      </c>
      <c r="I38" s="21">
        <v>2</v>
      </c>
      <c r="J38" s="21">
        <f>SUM(DataTbl[[#This Row],[Likes]:[Shares]])</f>
        <v>7</v>
      </c>
      <c r="K38" s="24">
        <f>DataTbl[[#This Row],[Engagement]]/DataTbl[[#This Row],[Views]]</f>
        <v>5.1470588235294115E-2</v>
      </c>
      <c r="L38" s="21">
        <f>SUM(DataTbl[[#This Row],[Profile Visits]:[New Followers]])</f>
        <v>11</v>
      </c>
    </row>
    <row r="39" spans="1:12" x14ac:dyDescent="0.3">
      <c r="A39" s="42">
        <v>45600</v>
      </c>
      <c r="B39" s="21">
        <v>115</v>
      </c>
      <c r="C39" s="21">
        <v>2530</v>
      </c>
      <c r="D39" s="21">
        <v>4</v>
      </c>
      <c r="E39" s="21">
        <v>2</v>
      </c>
      <c r="F39" s="21">
        <v>1</v>
      </c>
      <c r="G39" s="21">
        <v>1</v>
      </c>
      <c r="H39" s="21">
        <v>5</v>
      </c>
      <c r="I39" s="21">
        <v>1</v>
      </c>
      <c r="J39" s="21">
        <f>SUM(DataTbl[[#This Row],[Likes]:[Shares]])</f>
        <v>8</v>
      </c>
      <c r="K39" s="24">
        <f>DataTbl[[#This Row],[Engagement]]/DataTbl[[#This Row],[Views]]</f>
        <v>6.9565217391304349E-2</v>
      </c>
      <c r="L39" s="21">
        <f>SUM(DataTbl[[#This Row],[Profile Visits]:[New Followers]])</f>
        <v>6</v>
      </c>
    </row>
    <row r="40" spans="1:12" x14ac:dyDescent="0.3">
      <c r="A40" s="42">
        <v>45601</v>
      </c>
      <c r="B40" s="21">
        <v>113</v>
      </c>
      <c r="C40" s="21">
        <v>3277</v>
      </c>
      <c r="D40" s="21">
        <v>3</v>
      </c>
      <c r="E40" s="21">
        <v>1</v>
      </c>
      <c r="F40" s="21">
        <v>0</v>
      </c>
      <c r="G40" s="21">
        <v>0</v>
      </c>
      <c r="H40" s="21">
        <v>8</v>
      </c>
      <c r="I40" s="21">
        <v>1</v>
      </c>
      <c r="J40" s="21">
        <f>SUM(DataTbl[[#This Row],[Likes]:[Shares]])</f>
        <v>4</v>
      </c>
      <c r="K40" s="24">
        <f>DataTbl[[#This Row],[Engagement]]/DataTbl[[#This Row],[Views]]</f>
        <v>3.5398230088495575E-2</v>
      </c>
      <c r="L40" s="21">
        <f>SUM(DataTbl[[#This Row],[Profile Visits]:[New Followers]])</f>
        <v>9</v>
      </c>
    </row>
    <row r="41" spans="1:12" x14ac:dyDescent="0.3">
      <c r="A41" s="42">
        <v>45602</v>
      </c>
      <c r="B41" s="21">
        <v>91</v>
      </c>
      <c r="C41" s="21">
        <v>2821</v>
      </c>
      <c r="D41" s="21">
        <v>3</v>
      </c>
      <c r="E41" s="21">
        <v>1</v>
      </c>
      <c r="F41" s="21">
        <v>0</v>
      </c>
      <c r="G41" s="21">
        <v>0</v>
      </c>
      <c r="H41" s="21">
        <v>7</v>
      </c>
      <c r="I41" s="21">
        <v>1</v>
      </c>
      <c r="J41" s="21">
        <f>SUM(DataTbl[[#This Row],[Likes]:[Shares]])</f>
        <v>4</v>
      </c>
      <c r="K41" s="24">
        <f>DataTbl[[#This Row],[Engagement]]/DataTbl[[#This Row],[Views]]</f>
        <v>4.3956043956043959E-2</v>
      </c>
      <c r="L41" s="21">
        <f>SUM(DataTbl[[#This Row],[Profile Visits]:[New Followers]])</f>
        <v>8</v>
      </c>
    </row>
    <row r="42" spans="1:12" x14ac:dyDescent="0.3">
      <c r="A42" s="42">
        <v>45603</v>
      </c>
      <c r="B42" s="21">
        <v>95</v>
      </c>
      <c r="C42" s="21">
        <v>2470</v>
      </c>
      <c r="D42" s="21">
        <v>2</v>
      </c>
      <c r="E42" s="21">
        <v>1</v>
      </c>
      <c r="F42" s="21">
        <v>0</v>
      </c>
      <c r="G42" s="21">
        <v>0</v>
      </c>
      <c r="H42" s="21">
        <v>4</v>
      </c>
      <c r="I42" s="21">
        <v>1</v>
      </c>
      <c r="J42" s="21">
        <f>SUM(DataTbl[[#This Row],[Likes]:[Shares]])</f>
        <v>3</v>
      </c>
      <c r="K42" s="24">
        <f>DataTbl[[#This Row],[Engagement]]/DataTbl[[#This Row],[Views]]</f>
        <v>3.1578947368421054E-2</v>
      </c>
      <c r="L42" s="21">
        <f>SUM(DataTbl[[#This Row],[Profile Visits]:[New Followers]])</f>
        <v>5</v>
      </c>
    </row>
    <row r="43" spans="1:12" x14ac:dyDescent="0.3">
      <c r="A43" s="42">
        <v>45604</v>
      </c>
      <c r="B43" s="21">
        <v>102</v>
      </c>
      <c r="C43" s="21">
        <v>2754</v>
      </c>
      <c r="D43" s="21">
        <v>4</v>
      </c>
      <c r="E43" s="21">
        <v>2</v>
      </c>
      <c r="F43" s="21">
        <v>1</v>
      </c>
      <c r="G43" s="21">
        <v>0</v>
      </c>
      <c r="H43" s="21">
        <v>5</v>
      </c>
      <c r="I43" s="21">
        <v>1</v>
      </c>
      <c r="J43" s="21">
        <f>SUM(DataTbl[[#This Row],[Likes]:[Shares]])</f>
        <v>7</v>
      </c>
      <c r="K43" s="24">
        <f>DataTbl[[#This Row],[Engagement]]/DataTbl[[#This Row],[Views]]</f>
        <v>6.8627450980392163E-2</v>
      </c>
      <c r="L43" s="21">
        <f>SUM(DataTbl[[#This Row],[Profile Visits]:[New Followers]])</f>
        <v>6</v>
      </c>
    </row>
    <row r="44" spans="1:12" x14ac:dyDescent="0.3">
      <c r="A44" s="42">
        <v>45605</v>
      </c>
      <c r="B44" s="21">
        <v>269</v>
      </c>
      <c r="C44" s="21">
        <v>7263</v>
      </c>
      <c r="D44" s="21">
        <v>9</v>
      </c>
      <c r="E44" s="21">
        <v>4</v>
      </c>
      <c r="F44" s="21">
        <v>1</v>
      </c>
      <c r="G44" s="21">
        <v>1</v>
      </c>
      <c r="H44" s="21">
        <v>19</v>
      </c>
      <c r="I44" s="21">
        <v>9</v>
      </c>
      <c r="J44" s="21">
        <f>SUM(DataTbl[[#This Row],[Likes]:[Shares]])</f>
        <v>15</v>
      </c>
      <c r="K44" s="24">
        <f>DataTbl[[#This Row],[Engagement]]/DataTbl[[#This Row],[Views]]</f>
        <v>5.5762081784386616E-2</v>
      </c>
      <c r="L44" s="21">
        <f>SUM(DataTbl[[#This Row],[Profile Visits]:[New Followers]])</f>
        <v>28</v>
      </c>
    </row>
    <row r="45" spans="1:12" x14ac:dyDescent="0.3">
      <c r="A45" s="42">
        <v>45606</v>
      </c>
      <c r="B45" s="21">
        <v>356</v>
      </c>
      <c r="C45" s="21">
        <v>9968</v>
      </c>
      <c r="D45" s="21">
        <v>13</v>
      </c>
      <c r="E45" s="21">
        <v>6</v>
      </c>
      <c r="F45" s="21">
        <v>2</v>
      </c>
      <c r="G45" s="21">
        <v>2</v>
      </c>
      <c r="H45" s="21">
        <v>26</v>
      </c>
      <c r="I45" s="21">
        <v>9</v>
      </c>
      <c r="J45" s="21">
        <f>SUM(DataTbl[[#This Row],[Likes]:[Shares]])</f>
        <v>23</v>
      </c>
      <c r="K45" s="24">
        <f>DataTbl[[#This Row],[Engagement]]/DataTbl[[#This Row],[Views]]</f>
        <v>6.4606741573033713E-2</v>
      </c>
      <c r="L45" s="21">
        <f>SUM(DataTbl[[#This Row],[Profile Visits]:[New Followers]])</f>
        <v>35</v>
      </c>
    </row>
    <row r="46" spans="1:12" x14ac:dyDescent="0.3">
      <c r="A46" s="42">
        <v>45607</v>
      </c>
      <c r="B46" s="21">
        <v>272</v>
      </c>
      <c r="C46" s="21">
        <v>5984</v>
      </c>
      <c r="D46" s="21">
        <v>12</v>
      </c>
      <c r="E46" s="21">
        <v>6</v>
      </c>
      <c r="F46" s="21">
        <v>1</v>
      </c>
      <c r="G46" s="21">
        <v>2</v>
      </c>
      <c r="H46" s="21">
        <v>17</v>
      </c>
      <c r="I46" s="21">
        <v>5</v>
      </c>
      <c r="J46" s="21">
        <f>SUM(DataTbl[[#This Row],[Likes]:[Shares]])</f>
        <v>21</v>
      </c>
      <c r="K46" s="24">
        <f>DataTbl[[#This Row],[Engagement]]/DataTbl[[#This Row],[Views]]</f>
        <v>7.720588235294118E-2</v>
      </c>
      <c r="L46" s="21">
        <f>SUM(DataTbl[[#This Row],[Profile Visits]:[New Followers]])</f>
        <v>22</v>
      </c>
    </row>
    <row r="47" spans="1:12" x14ac:dyDescent="0.3">
      <c r="A47" s="42">
        <v>45608</v>
      </c>
      <c r="B47" s="21">
        <v>256</v>
      </c>
      <c r="C47" s="21">
        <v>6144</v>
      </c>
      <c r="D47" s="21">
        <v>10</v>
      </c>
      <c r="E47" s="21">
        <v>4</v>
      </c>
      <c r="F47" s="21">
        <v>1</v>
      </c>
      <c r="G47" s="21">
        <v>1</v>
      </c>
      <c r="H47" s="21">
        <v>20</v>
      </c>
      <c r="I47" s="21">
        <v>3</v>
      </c>
      <c r="J47" s="21">
        <f>SUM(DataTbl[[#This Row],[Likes]:[Shares]])</f>
        <v>16</v>
      </c>
      <c r="K47" s="24">
        <f>DataTbl[[#This Row],[Engagement]]/DataTbl[[#This Row],[Views]]</f>
        <v>6.25E-2</v>
      </c>
      <c r="L47" s="21">
        <f>SUM(DataTbl[[#This Row],[Profile Visits]:[New Followers]])</f>
        <v>23</v>
      </c>
    </row>
    <row r="48" spans="1:12" x14ac:dyDescent="0.3">
      <c r="A48" s="42">
        <v>45609</v>
      </c>
      <c r="B48" s="21">
        <v>242</v>
      </c>
      <c r="C48" s="21">
        <v>7260</v>
      </c>
      <c r="D48" s="21">
        <v>5</v>
      </c>
      <c r="E48" s="21">
        <v>2</v>
      </c>
      <c r="F48" s="21">
        <v>1</v>
      </c>
      <c r="G48" s="21">
        <v>1</v>
      </c>
      <c r="H48" s="21">
        <v>19</v>
      </c>
      <c r="I48" s="21">
        <v>6</v>
      </c>
      <c r="J48" s="21">
        <f>SUM(DataTbl[[#This Row],[Likes]:[Shares]])</f>
        <v>9</v>
      </c>
      <c r="K48" s="24">
        <f>DataTbl[[#This Row],[Engagement]]/DataTbl[[#This Row],[Views]]</f>
        <v>3.71900826446281E-2</v>
      </c>
      <c r="L48" s="21">
        <f>SUM(DataTbl[[#This Row],[Profile Visits]:[New Followers]])</f>
        <v>25</v>
      </c>
    </row>
    <row r="49" spans="1:12" x14ac:dyDescent="0.3">
      <c r="A49" s="42">
        <v>45610</v>
      </c>
      <c r="B49" s="21">
        <v>104</v>
      </c>
      <c r="C49" s="21">
        <v>2496</v>
      </c>
      <c r="D49" s="21">
        <v>4</v>
      </c>
      <c r="E49" s="21">
        <v>2</v>
      </c>
      <c r="F49" s="21">
        <v>1</v>
      </c>
      <c r="G49" s="21">
        <v>0</v>
      </c>
      <c r="H49" s="21">
        <v>7</v>
      </c>
      <c r="I49" s="21">
        <v>1</v>
      </c>
      <c r="J49" s="21">
        <f>SUM(DataTbl[[#This Row],[Likes]:[Shares]])</f>
        <v>7</v>
      </c>
      <c r="K49" s="24">
        <f>DataTbl[[#This Row],[Engagement]]/DataTbl[[#This Row],[Views]]</f>
        <v>6.7307692307692304E-2</v>
      </c>
      <c r="L49" s="21">
        <f>SUM(DataTbl[[#This Row],[Profile Visits]:[New Followers]])</f>
        <v>8</v>
      </c>
    </row>
    <row r="50" spans="1:12" x14ac:dyDescent="0.3">
      <c r="A50" s="42">
        <v>45611</v>
      </c>
      <c r="B50" s="21">
        <v>110</v>
      </c>
      <c r="C50" s="21">
        <v>2420</v>
      </c>
      <c r="D50" s="21">
        <v>4</v>
      </c>
      <c r="E50" s="21">
        <v>2</v>
      </c>
      <c r="F50" s="21">
        <v>0</v>
      </c>
      <c r="G50" s="21">
        <v>0</v>
      </c>
      <c r="H50" s="21">
        <v>9</v>
      </c>
      <c r="I50" s="21">
        <v>2</v>
      </c>
      <c r="J50" s="21">
        <f>SUM(DataTbl[[#This Row],[Likes]:[Shares]])</f>
        <v>6</v>
      </c>
      <c r="K50" s="24">
        <f>DataTbl[[#This Row],[Engagement]]/DataTbl[[#This Row],[Views]]</f>
        <v>5.4545454545454543E-2</v>
      </c>
      <c r="L50" s="21">
        <f>SUM(DataTbl[[#This Row],[Profile Visits]:[New Followers]])</f>
        <v>11</v>
      </c>
    </row>
    <row r="51" spans="1:12" x14ac:dyDescent="0.3">
      <c r="A51" s="42">
        <v>45612</v>
      </c>
      <c r="B51" s="21">
        <v>149</v>
      </c>
      <c r="C51" s="21">
        <v>4917</v>
      </c>
      <c r="D51" s="21">
        <v>3</v>
      </c>
      <c r="E51" s="21">
        <v>1</v>
      </c>
      <c r="F51" s="21">
        <v>0</v>
      </c>
      <c r="G51" s="21">
        <v>0</v>
      </c>
      <c r="H51" s="21">
        <v>7</v>
      </c>
      <c r="I51" s="21">
        <v>1</v>
      </c>
      <c r="J51" s="21">
        <f>SUM(DataTbl[[#This Row],[Likes]:[Shares]])</f>
        <v>4</v>
      </c>
      <c r="K51" s="24">
        <f>DataTbl[[#This Row],[Engagement]]/DataTbl[[#This Row],[Views]]</f>
        <v>2.6845637583892617E-2</v>
      </c>
      <c r="L51" s="21">
        <f>SUM(DataTbl[[#This Row],[Profile Visits]:[New Followers]])</f>
        <v>8</v>
      </c>
    </row>
    <row r="52" spans="1:12" x14ac:dyDescent="0.3">
      <c r="A52" s="42">
        <v>45613</v>
      </c>
      <c r="B52" s="21">
        <v>114</v>
      </c>
      <c r="C52" s="21">
        <v>2052</v>
      </c>
      <c r="D52" s="21">
        <v>4</v>
      </c>
      <c r="E52" s="21">
        <v>2</v>
      </c>
      <c r="F52" s="21">
        <v>0</v>
      </c>
      <c r="G52" s="21">
        <v>0</v>
      </c>
      <c r="H52" s="21">
        <v>8</v>
      </c>
      <c r="I52" s="21">
        <v>1</v>
      </c>
      <c r="J52" s="21">
        <f>SUM(DataTbl[[#This Row],[Likes]:[Shares]])</f>
        <v>6</v>
      </c>
      <c r="K52" s="24">
        <f>DataTbl[[#This Row],[Engagement]]/DataTbl[[#This Row],[Views]]</f>
        <v>5.2631578947368418E-2</v>
      </c>
      <c r="L52" s="21">
        <f>SUM(DataTbl[[#This Row],[Profile Visits]:[New Followers]])</f>
        <v>9</v>
      </c>
    </row>
    <row r="53" spans="1:12" x14ac:dyDescent="0.3">
      <c r="A53" s="42">
        <v>45614</v>
      </c>
      <c r="B53" s="21">
        <v>125</v>
      </c>
      <c r="C53" s="21">
        <v>4375</v>
      </c>
      <c r="D53" s="21">
        <v>5</v>
      </c>
      <c r="E53" s="21">
        <v>3</v>
      </c>
      <c r="F53" s="21">
        <v>1</v>
      </c>
      <c r="G53" s="21">
        <v>1</v>
      </c>
      <c r="H53" s="21">
        <v>10</v>
      </c>
      <c r="I53" s="21">
        <v>2</v>
      </c>
      <c r="J53" s="21">
        <f>SUM(DataTbl[[#This Row],[Likes]:[Shares]])</f>
        <v>10</v>
      </c>
      <c r="K53" s="24">
        <f>DataTbl[[#This Row],[Engagement]]/DataTbl[[#This Row],[Views]]</f>
        <v>0.08</v>
      </c>
      <c r="L53" s="21">
        <f>SUM(DataTbl[[#This Row],[Profile Visits]:[New Followers]])</f>
        <v>12</v>
      </c>
    </row>
    <row r="54" spans="1:12" x14ac:dyDescent="0.3">
      <c r="A54" s="42">
        <v>45615</v>
      </c>
      <c r="B54" s="21">
        <v>109</v>
      </c>
      <c r="C54" s="21">
        <v>2507</v>
      </c>
      <c r="D54" s="21">
        <v>4</v>
      </c>
      <c r="E54" s="21">
        <v>2</v>
      </c>
      <c r="F54" s="21">
        <v>0</v>
      </c>
      <c r="G54" s="21">
        <v>1</v>
      </c>
      <c r="H54" s="21">
        <v>7</v>
      </c>
      <c r="I54" s="21">
        <v>1</v>
      </c>
      <c r="J54" s="21">
        <f>SUM(DataTbl[[#This Row],[Likes]:[Shares]])</f>
        <v>7</v>
      </c>
      <c r="K54" s="24">
        <f>DataTbl[[#This Row],[Engagement]]/DataTbl[[#This Row],[Views]]</f>
        <v>6.4220183486238536E-2</v>
      </c>
      <c r="L54" s="21">
        <f>SUM(DataTbl[[#This Row],[Profile Visits]:[New Followers]])</f>
        <v>8</v>
      </c>
    </row>
    <row r="55" spans="1:12" x14ac:dyDescent="0.3">
      <c r="A55" s="42">
        <v>45616</v>
      </c>
      <c r="B55" s="21">
        <v>124</v>
      </c>
      <c r="C55" s="21">
        <v>4092</v>
      </c>
      <c r="D55" s="21">
        <v>3</v>
      </c>
      <c r="E55" s="21">
        <v>2</v>
      </c>
      <c r="F55" s="21">
        <v>0</v>
      </c>
      <c r="G55" s="21">
        <v>0</v>
      </c>
      <c r="H55" s="21">
        <v>5</v>
      </c>
      <c r="I55" s="21">
        <v>1</v>
      </c>
      <c r="J55" s="21">
        <f>SUM(DataTbl[[#This Row],[Likes]:[Shares]])</f>
        <v>5</v>
      </c>
      <c r="K55" s="24">
        <f>DataTbl[[#This Row],[Engagement]]/DataTbl[[#This Row],[Views]]</f>
        <v>4.0322580645161289E-2</v>
      </c>
      <c r="L55" s="21">
        <f>SUM(DataTbl[[#This Row],[Profile Visits]:[New Followers]])</f>
        <v>6</v>
      </c>
    </row>
    <row r="56" spans="1:12" x14ac:dyDescent="0.3">
      <c r="A56" s="42">
        <v>45617</v>
      </c>
      <c r="B56" s="21">
        <v>126</v>
      </c>
      <c r="C56" s="21">
        <v>3780</v>
      </c>
      <c r="D56" s="21">
        <v>5</v>
      </c>
      <c r="E56" s="21">
        <v>2</v>
      </c>
      <c r="F56" s="21">
        <v>1</v>
      </c>
      <c r="G56" s="21">
        <v>1</v>
      </c>
      <c r="H56" s="21">
        <v>10</v>
      </c>
      <c r="I56" s="21">
        <v>2</v>
      </c>
      <c r="J56" s="21">
        <f>SUM(DataTbl[[#This Row],[Likes]:[Shares]])</f>
        <v>9</v>
      </c>
      <c r="K56" s="24">
        <f>DataTbl[[#This Row],[Engagement]]/DataTbl[[#This Row],[Views]]</f>
        <v>7.1428571428571425E-2</v>
      </c>
      <c r="L56" s="21">
        <f>SUM(DataTbl[[#This Row],[Profile Visits]:[New Followers]])</f>
        <v>12</v>
      </c>
    </row>
    <row r="57" spans="1:12" x14ac:dyDescent="0.3">
      <c r="A57" s="42">
        <v>45618</v>
      </c>
      <c r="B57" s="21">
        <v>137</v>
      </c>
      <c r="C57" s="21">
        <v>3288</v>
      </c>
      <c r="D57" s="21">
        <v>6</v>
      </c>
      <c r="E57" s="21">
        <v>2</v>
      </c>
      <c r="F57" s="21">
        <v>1</v>
      </c>
      <c r="G57" s="21">
        <v>1</v>
      </c>
      <c r="H57" s="21">
        <v>8</v>
      </c>
      <c r="I57" s="21">
        <v>2</v>
      </c>
      <c r="J57" s="21">
        <f>SUM(DataTbl[[#This Row],[Likes]:[Shares]])</f>
        <v>10</v>
      </c>
      <c r="K57" s="24">
        <f>DataTbl[[#This Row],[Engagement]]/DataTbl[[#This Row],[Views]]</f>
        <v>7.2992700729927001E-2</v>
      </c>
      <c r="L57" s="21">
        <f>SUM(DataTbl[[#This Row],[Profile Visits]:[New Followers]])</f>
        <v>10</v>
      </c>
    </row>
    <row r="58" spans="1:12" x14ac:dyDescent="0.3">
      <c r="A58" s="42">
        <v>45619</v>
      </c>
      <c r="B58" s="21">
        <v>135</v>
      </c>
      <c r="C58" s="21">
        <v>4185</v>
      </c>
      <c r="D58" s="21">
        <v>5</v>
      </c>
      <c r="E58" s="21">
        <v>2</v>
      </c>
      <c r="F58" s="21">
        <v>1</v>
      </c>
      <c r="G58" s="21">
        <v>1</v>
      </c>
      <c r="H58" s="21">
        <v>6</v>
      </c>
      <c r="I58" s="21">
        <v>1</v>
      </c>
      <c r="J58" s="21">
        <f>SUM(DataTbl[[#This Row],[Likes]:[Shares]])</f>
        <v>9</v>
      </c>
      <c r="K58" s="24">
        <f>DataTbl[[#This Row],[Engagement]]/DataTbl[[#This Row],[Views]]</f>
        <v>6.6666666666666666E-2</v>
      </c>
      <c r="L58" s="21">
        <f>SUM(DataTbl[[#This Row],[Profile Visits]:[New Followers]])</f>
        <v>7</v>
      </c>
    </row>
    <row r="59" spans="1:12" x14ac:dyDescent="0.3">
      <c r="A59" s="42">
        <v>45620</v>
      </c>
      <c r="B59" s="21">
        <v>128</v>
      </c>
      <c r="C59" s="21">
        <v>3200</v>
      </c>
      <c r="D59" s="21">
        <v>5</v>
      </c>
      <c r="E59" s="21">
        <v>2</v>
      </c>
      <c r="F59" s="21">
        <v>1</v>
      </c>
      <c r="G59" s="21">
        <v>1</v>
      </c>
      <c r="H59" s="21">
        <v>10</v>
      </c>
      <c r="I59" s="21">
        <v>1</v>
      </c>
      <c r="J59" s="21">
        <f>SUM(DataTbl[[#This Row],[Likes]:[Shares]])</f>
        <v>9</v>
      </c>
      <c r="K59" s="24">
        <f>DataTbl[[#This Row],[Engagement]]/DataTbl[[#This Row],[Views]]</f>
        <v>7.03125E-2</v>
      </c>
      <c r="L59" s="21">
        <f>SUM(DataTbl[[#This Row],[Profile Visits]:[New Followers]])</f>
        <v>11</v>
      </c>
    </row>
    <row r="60" spans="1:12" x14ac:dyDescent="0.3">
      <c r="A60" s="42">
        <v>45621</v>
      </c>
      <c r="B60" s="21">
        <v>109</v>
      </c>
      <c r="C60" s="21">
        <v>3052</v>
      </c>
      <c r="D60" s="21">
        <v>4</v>
      </c>
      <c r="E60" s="21">
        <v>1</v>
      </c>
      <c r="F60" s="21">
        <v>0</v>
      </c>
      <c r="G60" s="21">
        <v>0</v>
      </c>
      <c r="H60" s="21">
        <v>8</v>
      </c>
      <c r="I60" s="21">
        <v>1</v>
      </c>
      <c r="J60" s="21">
        <f>SUM(DataTbl[[#This Row],[Likes]:[Shares]])</f>
        <v>5</v>
      </c>
      <c r="K60" s="24">
        <f>DataTbl[[#This Row],[Engagement]]/DataTbl[[#This Row],[Views]]</f>
        <v>4.5871559633027525E-2</v>
      </c>
      <c r="L60" s="21">
        <f>SUM(DataTbl[[#This Row],[Profile Visits]:[New Followers]])</f>
        <v>9</v>
      </c>
    </row>
    <row r="61" spans="1:12" x14ac:dyDescent="0.3">
      <c r="A61" s="42">
        <v>45622</v>
      </c>
      <c r="B61" s="21">
        <v>137</v>
      </c>
      <c r="C61" s="21">
        <v>2603</v>
      </c>
      <c r="D61" s="21">
        <v>5</v>
      </c>
      <c r="E61" s="21">
        <v>2</v>
      </c>
      <c r="F61" s="21">
        <v>1</v>
      </c>
      <c r="G61" s="21">
        <v>1</v>
      </c>
      <c r="H61" s="21">
        <v>7</v>
      </c>
      <c r="I61" s="21">
        <v>1</v>
      </c>
      <c r="J61" s="21">
        <f>SUM(DataTbl[[#This Row],[Likes]:[Shares]])</f>
        <v>9</v>
      </c>
      <c r="K61" s="24">
        <f>DataTbl[[#This Row],[Engagement]]/DataTbl[[#This Row],[Views]]</f>
        <v>6.569343065693431E-2</v>
      </c>
      <c r="L61" s="21">
        <f>SUM(DataTbl[[#This Row],[Profile Visits]:[New Followers]])</f>
        <v>8</v>
      </c>
    </row>
    <row r="62" spans="1:12" x14ac:dyDescent="0.3">
      <c r="A62" s="42">
        <v>45623</v>
      </c>
      <c r="B62" s="21">
        <v>127</v>
      </c>
      <c r="C62" s="21">
        <v>2540</v>
      </c>
      <c r="D62" s="21">
        <v>5</v>
      </c>
      <c r="E62" s="21">
        <v>2</v>
      </c>
      <c r="F62" s="21">
        <v>1</v>
      </c>
      <c r="G62" s="21">
        <v>1</v>
      </c>
      <c r="H62" s="21">
        <v>9</v>
      </c>
      <c r="I62" s="21">
        <v>2</v>
      </c>
      <c r="J62" s="21">
        <f>SUM(DataTbl[[#This Row],[Likes]:[Shares]])</f>
        <v>9</v>
      </c>
      <c r="K62" s="24">
        <f>DataTbl[[#This Row],[Engagement]]/DataTbl[[#This Row],[Views]]</f>
        <v>7.0866141732283464E-2</v>
      </c>
      <c r="L62" s="21">
        <f>SUM(DataTbl[[#This Row],[Profile Visits]:[New Followers]])</f>
        <v>11</v>
      </c>
    </row>
    <row r="63" spans="1:12" x14ac:dyDescent="0.3">
      <c r="A63" s="42">
        <v>45624</v>
      </c>
      <c r="B63" s="21">
        <v>102</v>
      </c>
      <c r="C63" s="21">
        <v>2142</v>
      </c>
      <c r="D63" s="21">
        <v>3</v>
      </c>
      <c r="E63" s="21">
        <v>1</v>
      </c>
      <c r="F63" s="21">
        <v>0</v>
      </c>
      <c r="G63" s="21">
        <v>0</v>
      </c>
      <c r="H63" s="21">
        <v>5</v>
      </c>
      <c r="I63" s="21">
        <v>1</v>
      </c>
      <c r="J63" s="21">
        <f>SUM(DataTbl[[#This Row],[Likes]:[Shares]])</f>
        <v>4</v>
      </c>
      <c r="K63" s="24">
        <f>DataTbl[[#This Row],[Engagement]]/DataTbl[[#This Row],[Views]]</f>
        <v>3.9215686274509803E-2</v>
      </c>
      <c r="L63" s="21">
        <f>SUM(DataTbl[[#This Row],[Profile Visits]:[New Followers]])</f>
        <v>6</v>
      </c>
    </row>
    <row r="64" spans="1:12" x14ac:dyDescent="0.3">
      <c r="A64" s="42">
        <v>45625</v>
      </c>
      <c r="B64" s="21">
        <v>144</v>
      </c>
      <c r="C64" s="21">
        <v>4176</v>
      </c>
      <c r="D64" s="21">
        <v>5</v>
      </c>
      <c r="E64" s="21">
        <v>2</v>
      </c>
      <c r="F64" s="21">
        <v>0</v>
      </c>
      <c r="G64" s="21">
        <v>1</v>
      </c>
      <c r="H64" s="21">
        <v>9</v>
      </c>
      <c r="I64" s="21">
        <v>1</v>
      </c>
      <c r="J64" s="21">
        <f>SUM(DataTbl[[#This Row],[Likes]:[Shares]])</f>
        <v>8</v>
      </c>
      <c r="K64" s="24">
        <f>DataTbl[[#This Row],[Engagement]]/DataTbl[[#This Row],[Views]]</f>
        <v>5.5555555555555552E-2</v>
      </c>
      <c r="L64" s="21">
        <f>SUM(DataTbl[[#This Row],[Profile Visits]:[New Followers]])</f>
        <v>10</v>
      </c>
    </row>
    <row r="65" spans="1:12" x14ac:dyDescent="0.3">
      <c r="A65" s="42">
        <v>45626</v>
      </c>
      <c r="B65" s="21">
        <v>127</v>
      </c>
      <c r="C65" s="21">
        <v>2794</v>
      </c>
      <c r="D65" s="21">
        <v>3</v>
      </c>
      <c r="E65" s="21">
        <v>1</v>
      </c>
      <c r="F65" s="21">
        <v>0</v>
      </c>
      <c r="G65" s="21">
        <v>0</v>
      </c>
      <c r="H65" s="21">
        <v>9</v>
      </c>
      <c r="I65" s="21">
        <v>2</v>
      </c>
      <c r="J65" s="21">
        <f>SUM(DataTbl[[#This Row],[Likes]:[Shares]])</f>
        <v>4</v>
      </c>
      <c r="K65" s="24">
        <f>DataTbl[[#This Row],[Engagement]]/DataTbl[[#This Row],[Views]]</f>
        <v>3.1496062992125984E-2</v>
      </c>
      <c r="L65" s="21">
        <f>SUM(DataTbl[[#This Row],[Profile Visits]:[New Followers]])</f>
        <v>11</v>
      </c>
    </row>
    <row r="66" spans="1:12" x14ac:dyDescent="0.3">
      <c r="A66" s="42">
        <v>45627</v>
      </c>
      <c r="B66" s="21">
        <v>171</v>
      </c>
      <c r="C66" s="21">
        <v>5472</v>
      </c>
      <c r="D66" s="21">
        <v>5</v>
      </c>
      <c r="E66" s="21">
        <v>2</v>
      </c>
      <c r="F66" s="21">
        <v>1</v>
      </c>
      <c r="G66" s="21">
        <v>1</v>
      </c>
      <c r="H66" s="21">
        <v>9</v>
      </c>
      <c r="I66" s="21">
        <v>2</v>
      </c>
      <c r="J66" s="21">
        <f>SUM(DataTbl[[#This Row],[Likes]:[Shares]])</f>
        <v>9</v>
      </c>
      <c r="K66" s="24">
        <f>DataTbl[[#This Row],[Engagement]]/DataTbl[[#This Row],[Views]]</f>
        <v>5.2631578947368418E-2</v>
      </c>
      <c r="L66" s="21">
        <f>SUM(DataTbl[[#This Row],[Profile Visits]:[New Followers]])</f>
        <v>11</v>
      </c>
    </row>
    <row r="67" spans="1:12" x14ac:dyDescent="0.3">
      <c r="A67" s="42">
        <v>45628</v>
      </c>
      <c r="B67" s="21">
        <v>122</v>
      </c>
      <c r="C67" s="21">
        <v>3294</v>
      </c>
      <c r="D67" s="21">
        <v>5</v>
      </c>
      <c r="E67" s="21">
        <v>2</v>
      </c>
      <c r="F67" s="21">
        <v>1</v>
      </c>
      <c r="G67" s="21">
        <v>0</v>
      </c>
      <c r="H67" s="21">
        <v>10</v>
      </c>
      <c r="I67" s="21">
        <v>2</v>
      </c>
      <c r="J67" s="21">
        <f>SUM(DataTbl[[#This Row],[Likes]:[Shares]])</f>
        <v>8</v>
      </c>
      <c r="K67" s="24">
        <f>DataTbl[[#This Row],[Engagement]]/DataTbl[[#This Row],[Views]]</f>
        <v>6.5573770491803282E-2</v>
      </c>
      <c r="L67" s="21">
        <f>SUM(DataTbl[[#This Row],[Profile Visits]:[New Followers]])</f>
        <v>12</v>
      </c>
    </row>
    <row r="68" spans="1:12" x14ac:dyDescent="0.3">
      <c r="A68" s="42">
        <v>45629</v>
      </c>
      <c r="B68" s="21">
        <v>127</v>
      </c>
      <c r="C68" s="21">
        <v>3683</v>
      </c>
      <c r="D68" s="21">
        <v>5</v>
      </c>
      <c r="E68" s="21">
        <v>2</v>
      </c>
      <c r="F68" s="21">
        <v>1</v>
      </c>
      <c r="G68" s="21">
        <v>1</v>
      </c>
      <c r="H68" s="21">
        <v>9</v>
      </c>
      <c r="I68" s="21">
        <v>2</v>
      </c>
      <c r="J68" s="21">
        <f>SUM(DataTbl[[#This Row],[Likes]:[Shares]])</f>
        <v>9</v>
      </c>
      <c r="K68" s="24">
        <f>DataTbl[[#This Row],[Engagement]]/DataTbl[[#This Row],[Views]]</f>
        <v>7.0866141732283464E-2</v>
      </c>
      <c r="L68" s="21">
        <f>SUM(DataTbl[[#This Row],[Profile Visits]:[New Followers]])</f>
        <v>11</v>
      </c>
    </row>
    <row r="69" spans="1:12" x14ac:dyDescent="0.3">
      <c r="A69" s="42">
        <v>45630</v>
      </c>
      <c r="B69" s="21">
        <v>126</v>
      </c>
      <c r="C69" s="21">
        <v>3024</v>
      </c>
      <c r="D69" s="21">
        <v>4</v>
      </c>
      <c r="E69" s="21">
        <v>2</v>
      </c>
      <c r="F69" s="21">
        <v>0</v>
      </c>
      <c r="G69" s="21">
        <v>0</v>
      </c>
      <c r="H69" s="21">
        <v>7</v>
      </c>
      <c r="I69" s="21">
        <v>1</v>
      </c>
      <c r="J69" s="21">
        <f>SUM(DataTbl[[#This Row],[Likes]:[Shares]])</f>
        <v>6</v>
      </c>
      <c r="K69" s="24">
        <f>DataTbl[[#This Row],[Engagement]]/DataTbl[[#This Row],[Views]]</f>
        <v>4.7619047619047616E-2</v>
      </c>
      <c r="L69" s="21">
        <f>SUM(DataTbl[[#This Row],[Profile Visits]:[New Followers]])</f>
        <v>8</v>
      </c>
    </row>
    <row r="70" spans="1:12" x14ac:dyDescent="0.3">
      <c r="A70" s="42">
        <v>45631</v>
      </c>
      <c r="B70" s="21">
        <v>135</v>
      </c>
      <c r="C70" s="21">
        <v>4590</v>
      </c>
      <c r="D70" s="21">
        <v>6</v>
      </c>
      <c r="E70" s="21">
        <v>3</v>
      </c>
      <c r="F70" s="21">
        <v>1</v>
      </c>
      <c r="G70" s="21">
        <v>1</v>
      </c>
      <c r="H70" s="21">
        <v>10</v>
      </c>
      <c r="I70" s="21">
        <v>1</v>
      </c>
      <c r="J70" s="21">
        <f>SUM(DataTbl[[#This Row],[Likes]:[Shares]])</f>
        <v>11</v>
      </c>
      <c r="K70" s="24">
        <f>DataTbl[[#This Row],[Engagement]]/DataTbl[[#This Row],[Views]]</f>
        <v>8.1481481481481488E-2</v>
      </c>
      <c r="L70" s="21">
        <f>SUM(DataTbl[[#This Row],[Profile Visits]:[New Followers]])</f>
        <v>11</v>
      </c>
    </row>
    <row r="71" spans="1:12" x14ac:dyDescent="0.3">
      <c r="A71" s="42">
        <v>45632</v>
      </c>
      <c r="B71" s="21">
        <v>149</v>
      </c>
      <c r="C71" s="21">
        <v>4768</v>
      </c>
      <c r="D71" s="21">
        <v>4</v>
      </c>
      <c r="E71" s="21">
        <v>2</v>
      </c>
      <c r="F71" s="21">
        <v>0</v>
      </c>
      <c r="G71" s="21">
        <v>0</v>
      </c>
      <c r="H71" s="21">
        <v>11</v>
      </c>
      <c r="I71" s="21">
        <v>1</v>
      </c>
      <c r="J71" s="21">
        <f>SUM(DataTbl[[#This Row],[Likes]:[Shares]])</f>
        <v>6</v>
      </c>
      <c r="K71" s="24">
        <f>DataTbl[[#This Row],[Engagement]]/DataTbl[[#This Row],[Views]]</f>
        <v>4.0268456375838924E-2</v>
      </c>
      <c r="L71" s="21">
        <f>SUM(DataTbl[[#This Row],[Profile Visits]:[New Followers]])</f>
        <v>12</v>
      </c>
    </row>
    <row r="72" spans="1:12" x14ac:dyDescent="0.3">
      <c r="A72" s="42">
        <v>45633</v>
      </c>
      <c r="B72" s="21">
        <v>153</v>
      </c>
      <c r="C72" s="21">
        <v>3366</v>
      </c>
      <c r="D72" s="21">
        <v>7</v>
      </c>
      <c r="E72" s="21">
        <v>3</v>
      </c>
      <c r="F72" s="21">
        <v>1</v>
      </c>
      <c r="G72" s="21">
        <v>1</v>
      </c>
      <c r="H72" s="21">
        <v>8</v>
      </c>
      <c r="I72" s="21">
        <v>1</v>
      </c>
      <c r="J72" s="21">
        <f>SUM(DataTbl[[#This Row],[Likes]:[Shares]])</f>
        <v>12</v>
      </c>
      <c r="K72" s="24">
        <f>DataTbl[[#This Row],[Engagement]]/DataTbl[[#This Row],[Views]]</f>
        <v>7.8431372549019607E-2</v>
      </c>
      <c r="L72" s="21">
        <f>SUM(DataTbl[[#This Row],[Profile Visits]:[New Followers]])</f>
        <v>9</v>
      </c>
    </row>
    <row r="73" spans="1:12" x14ac:dyDescent="0.3">
      <c r="A73" s="42">
        <v>45634</v>
      </c>
      <c r="B73" s="21">
        <v>183</v>
      </c>
      <c r="C73" s="21">
        <v>5856</v>
      </c>
      <c r="D73" s="21">
        <v>4</v>
      </c>
      <c r="E73" s="21">
        <v>2</v>
      </c>
      <c r="F73" s="21">
        <v>1</v>
      </c>
      <c r="G73" s="21">
        <v>0</v>
      </c>
      <c r="H73" s="21">
        <v>11</v>
      </c>
      <c r="I73" s="21">
        <v>1</v>
      </c>
      <c r="J73" s="21">
        <f>SUM(DataTbl[[#This Row],[Likes]:[Shares]])</f>
        <v>7</v>
      </c>
      <c r="K73" s="24">
        <f>DataTbl[[#This Row],[Engagement]]/DataTbl[[#This Row],[Views]]</f>
        <v>3.825136612021858E-2</v>
      </c>
      <c r="L73" s="21">
        <f>SUM(DataTbl[[#This Row],[Profile Visits]:[New Followers]])</f>
        <v>12</v>
      </c>
    </row>
    <row r="74" spans="1:12" x14ac:dyDescent="0.3">
      <c r="A74" s="42">
        <v>45635</v>
      </c>
      <c r="B74" s="21">
        <v>111</v>
      </c>
      <c r="C74" s="21">
        <v>2331</v>
      </c>
      <c r="D74" s="21">
        <v>4</v>
      </c>
      <c r="E74" s="21">
        <v>2</v>
      </c>
      <c r="F74" s="21">
        <v>1</v>
      </c>
      <c r="G74" s="21">
        <v>1</v>
      </c>
      <c r="H74" s="21">
        <v>6</v>
      </c>
      <c r="I74" s="21">
        <v>1</v>
      </c>
      <c r="J74" s="21">
        <f>SUM(DataTbl[[#This Row],[Likes]:[Shares]])</f>
        <v>8</v>
      </c>
      <c r="K74" s="24">
        <f>DataTbl[[#This Row],[Engagement]]/DataTbl[[#This Row],[Views]]</f>
        <v>7.2072072072072071E-2</v>
      </c>
      <c r="L74" s="21">
        <f>SUM(DataTbl[[#This Row],[Profile Visits]:[New Followers]])</f>
        <v>7</v>
      </c>
    </row>
    <row r="75" spans="1:12" x14ac:dyDescent="0.3">
      <c r="A75" s="42">
        <v>45636</v>
      </c>
      <c r="B75" s="21">
        <v>126</v>
      </c>
      <c r="C75" s="21">
        <v>2268</v>
      </c>
      <c r="D75" s="21">
        <v>3</v>
      </c>
      <c r="E75" s="21">
        <v>1</v>
      </c>
      <c r="F75" s="21">
        <v>0</v>
      </c>
      <c r="G75" s="21">
        <v>0</v>
      </c>
      <c r="H75" s="21">
        <v>8</v>
      </c>
      <c r="I75" s="21">
        <v>1</v>
      </c>
      <c r="J75" s="21">
        <f>SUM(DataTbl[[#This Row],[Likes]:[Shares]])</f>
        <v>4</v>
      </c>
      <c r="K75" s="24">
        <f>DataTbl[[#This Row],[Engagement]]/DataTbl[[#This Row],[Views]]</f>
        <v>3.1746031746031744E-2</v>
      </c>
      <c r="L75" s="21">
        <f>SUM(DataTbl[[#This Row],[Profile Visits]:[New Followers]])</f>
        <v>9</v>
      </c>
    </row>
    <row r="76" spans="1:12" x14ac:dyDescent="0.3">
      <c r="A76" s="42">
        <v>45637</v>
      </c>
      <c r="B76" s="21">
        <v>241</v>
      </c>
      <c r="C76" s="21">
        <v>6025</v>
      </c>
      <c r="D76" s="21">
        <v>6</v>
      </c>
      <c r="E76" s="21">
        <v>2</v>
      </c>
      <c r="F76" s="21">
        <v>1</v>
      </c>
      <c r="G76" s="21">
        <v>1</v>
      </c>
      <c r="H76" s="21">
        <v>15</v>
      </c>
      <c r="I76" s="21">
        <v>4</v>
      </c>
      <c r="J76" s="21">
        <f>SUM(DataTbl[[#This Row],[Likes]:[Shares]])</f>
        <v>10</v>
      </c>
      <c r="K76" s="24">
        <f>DataTbl[[#This Row],[Engagement]]/DataTbl[[#This Row],[Views]]</f>
        <v>4.1493775933609957E-2</v>
      </c>
      <c r="L76" s="21">
        <f>SUM(DataTbl[[#This Row],[Profile Visits]:[New Followers]])</f>
        <v>19</v>
      </c>
    </row>
    <row r="77" spans="1:12" x14ac:dyDescent="0.3">
      <c r="A77" s="42">
        <v>45638</v>
      </c>
      <c r="B77" s="21">
        <v>285</v>
      </c>
      <c r="C77" s="21">
        <v>7980</v>
      </c>
      <c r="D77" s="21">
        <v>12</v>
      </c>
      <c r="E77" s="21">
        <v>5</v>
      </c>
      <c r="F77" s="21">
        <v>1</v>
      </c>
      <c r="G77" s="21">
        <v>2</v>
      </c>
      <c r="H77" s="21">
        <v>17</v>
      </c>
      <c r="I77" s="21">
        <v>6</v>
      </c>
      <c r="J77" s="21">
        <f>SUM(DataTbl[[#This Row],[Likes]:[Shares]])</f>
        <v>20</v>
      </c>
      <c r="K77" s="24">
        <f>DataTbl[[#This Row],[Engagement]]/DataTbl[[#This Row],[Views]]</f>
        <v>7.0175438596491224E-2</v>
      </c>
      <c r="L77" s="21">
        <f>SUM(DataTbl[[#This Row],[Profile Visits]:[New Followers]])</f>
        <v>23</v>
      </c>
    </row>
    <row r="78" spans="1:12" x14ac:dyDescent="0.3">
      <c r="A78" s="42">
        <v>45639</v>
      </c>
      <c r="B78" s="21">
        <v>189</v>
      </c>
      <c r="C78" s="21">
        <v>6048</v>
      </c>
      <c r="D78" s="21">
        <v>4</v>
      </c>
      <c r="E78" s="21">
        <v>2</v>
      </c>
      <c r="F78" s="21">
        <v>0</v>
      </c>
      <c r="G78" s="21">
        <v>1</v>
      </c>
      <c r="H78" s="21">
        <v>8</v>
      </c>
      <c r="I78" s="21">
        <v>4</v>
      </c>
      <c r="J78" s="21">
        <f>SUM(DataTbl[[#This Row],[Likes]:[Shares]])</f>
        <v>7</v>
      </c>
      <c r="K78" s="24">
        <f>DataTbl[[#This Row],[Engagement]]/DataTbl[[#This Row],[Views]]</f>
        <v>3.7037037037037035E-2</v>
      </c>
      <c r="L78" s="21">
        <f>SUM(DataTbl[[#This Row],[Profile Visits]:[New Followers]])</f>
        <v>12</v>
      </c>
    </row>
    <row r="79" spans="1:12" x14ac:dyDescent="0.3">
      <c r="A79" s="42">
        <v>45640</v>
      </c>
      <c r="B79" s="21">
        <v>141</v>
      </c>
      <c r="C79" s="21">
        <v>2679</v>
      </c>
      <c r="D79" s="21">
        <v>3</v>
      </c>
      <c r="E79" s="21">
        <v>1</v>
      </c>
      <c r="F79" s="21">
        <v>0</v>
      </c>
      <c r="G79" s="21">
        <v>0</v>
      </c>
      <c r="H79" s="21">
        <v>9</v>
      </c>
      <c r="I79" s="21">
        <v>1</v>
      </c>
      <c r="J79" s="21">
        <f>SUM(DataTbl[[#This Row],[Likes]:[Shares]])</f>
        <v>4</v>
      </c>
      <c r="K79" s="24">
        <f>DataTbl[[#This Row],[Engagement]]/DataTbl[[#This Row],[Views]]</f>
        <v>2.8368794326241134E-2</v>
      </c>
      <c r="L79" s="21">
        <f>SUM(DataTbl[[#This Row],[Profile Visits]:[New Followers]])</f>
        <v>10</v>
      </c>
    </row>
    <row r="80" spans="1:12" x14ac:dyDescent="0.3">
      <c r="A80" s="42">
        <v>45641</v>
      </c>
      <c r="B80" s="21">
        <v>158</v>
      </c>
      <c r="C80" s="21">
        <v>3318</v>
      </c>
      <c r="D80" s="21">
        <v>7</v>
      </c>
      <c r="E80" s="21">
        <v>3</v>
      </c>
      <c r="F80" s="21">
        <v>1</v>
      </c>
      <c r="G80" s="21">
        <v>1</v>
      </c>
      <c r="H80" s="21">
        <v>12</v>
      </c>
      <c r="I80" s="21">
        <v>2</v>
      </c>
      <c r="J80" s="21">
        <f>SUM(DataTbl[[#This Row],[Likes]:[Shares]])</f>
        <v>12</v>
      </c>
      <c r="K80" s="24">
        <f>DataTbl[[#This Row],[Engagement]]/DataTbl[[#This Row],[Views]]</f>
        <v>7.5949367088607597E-2</v>
      </c>
      <c r="L80" s="21">
        <f>SUM(DataTbl[[#This Row],[Profile Visits]:[New Followers]])</f>
        <v>14</v>
      </c>
    </row>
    <row r="81" spans="1:12" x14ac:dyDescent="0.3">
      <c r="A81" s="42">
        <v>45642</v>
      </c>
      <c r="B81" s="21">
        <v>151</v>
      </c>
      <c r="C81" s="21">
        <v>4228</v>
      </c>
      <c r="D81" s="21">
        <v>6</v>
      </c>
      <c r="E81" s="21">
        <v>3</v>
      </c>
      <c r="F81" s="21">
        <v>1</v>
      </c>
      <c r="G81" s="21">
        <v>1</v>
      </c>
      <c r="H81" s="21">
        <v>6</v>
      </c>
      <c r="I81" s="21">
        <v>1</v>
      </c>
      <c r="J81" s="21">
        <f>SUM(DataTbl[[#This Row],[Likes]:[Shares]])</f>
        <v>11</v>
      </c>
      <c r="K81" s="24">
        <f>DataTbl[[#This Row],[Engagement]]/DataTbl[[#This Row],[Views]]</f>
        <v>7.2847682119205295E-2</v>
      </c>
      <c r="L81" s="21">
        <f>SUM(DataTbl[[#This Row],[Profile Visits]:[New Followers]])</f>
        <v>7</v>
      </c>
    </row>
    <row r="82" spans="1:12" x14ac:dyDescent="0.3">
      <c r="A82" s="42">
        <v>45643</v>
      </c>
      <c r="B82" s="21">
        <v>155</v>
      </c>
      <c r="C82" s="21">
        <v>3565</v>
      </c>
      <c r="D82" s="21">
        <v>5</v>
      </c>
      <c r="E82" s="21">
        <v>2</v>
      </c>
      <c r="F82" s="21">
        <v>1</v>
      </c>
      <c r="G82" s="21">
        <v>1</v>
      </c>
      <c r="H82" s="21">
        <v>12</v>
      </c>
      <c r="I82" s="21">
        <v>2</v>
      </c>
      <c r="J82" s="21">
        <f>SUM(DataTbl[[#This Row],[Likes]:[Shares]])</f>
        <v>9</v>
      </c>
      <c r="K82" s="24">
        <f>DataTbl[[#This Row],[Engagement]]/DataTbl[[#This Row],[Views]]</f>
        <v>5.8064516129032261E-2</v>
      </c>
      <c r="L82" s="21">
        <f>SUM(DataTbl[[#This Row],[Profile Visits]:[New Followers]])</f>
        <v>14</v>
      </c>
    </row>
    <row r="83" spans="1:12" x14ac:dyDescent="0.3">
      <c r="A83" s="42">
        <v>45644</v>
      </c>
      <c r="B83" s="21">
        <v>152</v>
      </c>
      <c r="C83" s="21">
        <v>3648</v>
      </c>
      <c r="D83" s="21">
        <v>5</v>
      </c>
      <c r="E83" s="21">
        <v>2</v>
      </c>
      <c r="F83" s="21">
        <v>1</v>
      </c>
      <c r="G83" s="21">
        <v>1</v>
      </c>
      <c r="H83" s="21">
        <v>9</v>
      </c>
      <c r="I83" s="21">
        <v>2</v>
      </c>
      <c r="J83" s="21">
        <f>SUM(DataTbl[[#This Row],[Likes]:[Shares]])</f>
        <v>9</v>
      </c>
      <c r="K83" s="24">
        <f>DataTbl[[#This Row],[Engagement]]/DataTbl[[#This Row],[Views]]</f>
        <v>5.921052631578947E-2</v>
      </c>
      <c r="L83" s="21">
        <f>SUM(DataTbl[[#This Row],[Profile Visits]:[New Followers]])</f>
        <v>11</v>
      </c>
    </row>
    <row r="84" spans="1:12" x14ac:dyDescent="0.3">
      <c r="A84" s="42">
        <v>45645</v>
      </c>
      <c r="B84" s="21">
        <v>153</v>
      </c>
      <c r="C84" s="21">
        <v>2907</v>
      </c>
      <c r="D84" s="21">
        <v>7</v>
      </c>
      <c r="E84" s="21">
        <v>3</v>
      </c>
      <c r="F84" s="21">
        <v>1</v>
      </c>
      <c r="G84" s="21">
        <v>1</v>
      </c>
      <c r="H84" s="21">
        <v>9</v>
      </c>
      <c r="I84" s="21">
        <v>2</v>
      </c>
      <c r="J84" s="21">
        <f>SUM(DataTbl[[#This Row],[Likes]:[Shares]])</f>
        <v>12</v>
      </c>
      <c r="K84" s="24">
        <f>DataTbl[[#This Row],[Engagement]]/DataTbl[[#This Row],[Views]]</f>
        <v>7.8431372549019607E-2</v>
      </c>
      <c r="L84" s="21">
        <f>SUM(DataTbl[[#This Row],[Profile Visits]:[New Followers]])</f>
        <v>11</v>
      </c>
    </row>
    <row r="85" spans="1:12" x14ac:dyDescent="0.3">
      <c r="A85" s="42">
        <v>45646</v>
      </c>
      <c r="B85" s="21">
        <v>126</v>
      </c>
      <c r="C85" s="21">
        <v>3024</v>
      </c>
      <c r="D85" s="21">
        <v>4</v>
      </c>
      <c r="E85" s="21">
        <v>1</v>
      </c>
      <c r="F85" s="21">
        <v>1</v>
      </c>
      <c r="G85" s="21">
        <v>1</v>
      </c>
      <c r="H85" s="21">
        <v>7</v>
      </c>
      <c r="I85" s="21">
        <v>1</v>
      </c>
      <c r="J85" s="21">
        <f>SUM(DataTbl[[#This Row],[Likes]:[Shares]])</f>
        <v>7</v>
      </c>
      <c r="K85" s="24">
        <f>DataTbl[[#This Row],[Engagement]]/DataTbl[[#This Row],[Views]]</f>
        <v>5.5555555555555552E-2</v>
      </c>
      <c r="L85" s="21">
        <f>SUM(DataTbl[[#This Row],[Profile Visits]:[New Followers]])</f>
        <v>8</v>
      </c>
    </row>
    <row r="86" spans="1:12" x14ac:dyDescent="0.3">
      <c r="A86" s="42">
        <v>45647</v>
      </c>
      <c r="B86" s="21">
        <v>198</v>
      </c>
      <c r="C86" s="21">
        <v>3960</v>
      </c>
      <c r="D86" s="21">
        <v>6</v>
      </c>
      <c r="E86" s="21">
        <v>3</v>
      </c>
      <c r="F86" s="21">
        <v>1</v>
      </c>
      <c r="G86" s="21">
        <v>1</v>
      </c>
      <c r="H86" s="21">
        <v>11</v>
      </c>
      <c r="I86" s="21">
        <v>2</v>
      </c>
      <c r="J86" s="21">
        <f>SUM(DataTbl[[#This Row],[Likes]:[Shares]])</f>
        <v>11</v>
      </c>
      <c r="K86" s="24">
        <f>DataTbl[[#This Row],[Engagement]]/DataTbl[[#This Row],[Views]]</f>
        <v>5.5555555555555552E-2</v>
      </c>
      <c r="L86" s="21">
        <f>SUM(DataTbl[[#This Row],[Profile Visits]:[New Followers]])</f>
        <v>13</v>
      </c>
    </row>
    <row r="87" spans="1:12" x14ac:dyDescent="0.3">
      <c r="A87" s="42">
        <v>45648</v>
      </c>
      <c r="B87" s="21">
        <v>178</v>
      </c>
      <c r="C87" s="21">
        <v>4094</v>
      </c>
      <c r="D87" s="21">
        <v>6</v>
      </c>
      <c r="E87" s="21">
        <v>2</v>
      </c>
      <c r="F87" s="21">
        <v>1</v>
      </c>
      <c r="G87" s="21">
        <v>1</v>
      </c>
      <c r="H87" s="21">
        <v>8</v>
      </c>
      <c r="I87" s="21">
        <v>1</v>
      </c>
      <c r="J87" s="21">
        <f>SUM(DataTbl[[#This Row],[Likes]:[Shares]])</f>
        <v>10</v>
      </c>
      <c r="K87" s="24">
        <f>DataTbl[[#This Row],[Engagement]]/DataTbl[[#This Row],[Views]]</f>
        <v>5.6179775280898875E-2</v>
      </c>
      <c r="L87" s="21">
        <f>SUM(DataTbl[[#This Row],[Profile Visits]:[New Followers]])</f>
        <v>9</v>
      </c>
    </row>
    <row r="88" spans="1:12" x14ac:dyDescent="0.3">
      <c r="A88" s="42">
        <v>45649</v>
      </c>
      <c r="B88" s="21">
        <v>204</v>
      </c>
      <c r="C88" s="21">
        <v>3876</v>
      </c>
      <c r="D88" s="21">
        <v>6</v>
      </c>
      <c r="E88" s="21">
        <v>3</v>
      </c>
      <c r="F88" s="21">
        <v>1</v>
      </c>
      <c r="G88" s="21">
        <v>1</v>
      </c>
      <c r="H88" s="21">
        <v>16</v>
      </c>
      <c r="I88" s="21">
        <v>7</v>
      </c>
      <c r="J88" s="21">
        <f>SUM(DataTbl[[#This Row],[Likes]:[Shares]])</f>
        <v>11</v>
      </c>
      <c r="K88" s="24">
        <f>DataTbl[[#This Row],[Engagement]]/DataTbl[[#This Row],[Views]]</f>
        <v>5.3921568627450983E-2</v>
      </c>
      <c r="L88" s="21">
        <f>SUM(DataTbl[[#This Row],[Profile Visits]:[New Followers]])</f>
        <v>23</v>
      </c>
    </row>
    <row r="89" spans="1:12" x14ac:dyDescent="0.3">
      <c r="A89" s="42">
        <v>45650</v>
      </c>
      <c r="B89" s="21">
        <v>237</v>
      </c>
      <c r="C89" s="21">
        <v>7821</v>
      </c>
      <c r="D89" s="21">
        <v>8</v>
      </c>
      <c r="E89" s="21">
        <v>3</v>
      </c>
      <c r="F89" s="21">
        <v>2</v>
      </c>
      <c r="G89" s="21">
        <v>1</v>
      </c>
      <c r="H89" s="21">
        <v>16</v>
      </c>
      <c r="I89" s="21">
        <v>6</v>
      </c>
      <c r="J89" s="21">
        <f>SUM(DataTbl[[#This Row],[Likes]:[Shares]])</f>
        <v>14</v>
      </c>
      <c r="K89" s="24">
        <f>DataTbl[[#This Row],[Engagement]]/DataTbl[[#This Row],[Views]]</f>
        <v>5.9071729957805907E-2</v>
      </c>
      <c r="L89" s="21">
        <f>SUM(DataTbl[[#This Row],[Profile Visits]:[New Followers]])</f>
        <v>22</v>
      </c>
    </row>
    <row r="90" spans="1:12" x14ac:dyDescent="0.3">
      <c r="A90" s="42">
        <v>45651</v>
      </c>
      <c r="B90" s="21">
        <v>321</v>
      </c>
      <c r="C90" s="21">
        <v>9309</v>
      </c>
      <c r="D90" s="21">
        <v>10</v>
      </c>
      <c r="E90" s="21">
        <v>5</v>
      </c>
      <c r="F90" s="21">
        <v>1</v>
      </c>
      <c r="G90" s="21">
        <v>1</v>
      </c>
      <c r="H90" s="21">
        <v>25</v>
      </c>
      <c r="I90" s="21">
        <v>12</v>
      </c>
      <c r="J90" s="21">
        <f>SUM(DataTbl[[#This Row],[Likes]:[Shares]])</f>
        <v>17</v>
      </c>
      <c r="K90" s="24">
        <f>DataTbl[[#This Row],[Engagement]]/DataTbl[[#This Row],[Views]]</f>
        <v>5.2959501557632398E-2</v>
      </c>
      <c r="L90" s="21">
        <f>SUM(DataTbl[[#This Row],[Profile Visits]:[New Followers]])</f>
        <v>37</v>
      </c>
    </row>
    <row r="91" spans="1:12" x14ac:dyDescent="0.3">
      <c r="A91" s="42">
        <v>45652</v>
      </c>
      <c r="B91" s="21">
        <v>240</v>
      </c>
      <c r="C91" s="21">
        <v>7200</v>
      </c>
      <c r="D91" s="21">
        <v>10</v>
      </c>
      <c r="E91" s="21">
        <v>4</v>
      </c>
      <c r="F91" s="21">
        <v>1</v>
      </c>
      <c r="G91" s="21">
        <v>1</v>
      </c>
      <c r="H91" s="21">
        <v>15</v>
      </c>
      <c r="I91" s="21">
        <v>6</v>
      </c>
      <c r="J91" s="21">
        <f>SUM(DataTbl[[#This Row],[Likes]:[Shares]])</f>
        <v>16</v>
      </c>
      <c r="K91" s="24">
        <f>DataTbl[[#This Row],[Engagement]]/DataTbl[[#This Row],[Views]]</f>
        <v>6.6666666666666666E-2</v>
      </c>
      <c r="L91" s="21">
        <f>SUM(DataTbl[[#This Row],[Profile Visits]:[New Followers]])</f>
        <v>21</v>
      </c>
    </row>
    <row r="92" spans="1:12" x14ac:dyDescent="0.3">
      <c r="A92" s="42">
        <v>45653</v>
      </c>
      <c r="B92" s="21">
        <v>130</v>
      </c>
      <c r="C92" s="21">
        <v>3640</v>
      </c>
      <c r="D92" s="21">
        <v>3</v>
      </c>
      <c r="E92" s="21">
        <v>1</v>
      </c>
      <c r="F92" s="21">
        <v>0</v>
      </c>
      <c r="G92" s="21">
        <v>0</v>
      </c>
      <c r="H92" s="21">
        <v>9</v>
      </c>
      <c r="I92" s="21">
        <v>2</v>
      </c>
      <c r="J92" s="21">
        <f>SUM(DataTbl[[#This Row],[Likes]:[Shares]])</f>
        <v>4</v>
      </c>
      <c r="K92" s="24">
        <f>DataTbl[[#This Row],[Engagement]]/DataTbl[[#This Row],[Views]]</f>
        <v>3.0769230769230771E-2</v>
      </c>
      <c r="L92" s="21">
        <f>SUM(DataTbl[[#This Row],[Profile Visits]:[New Followers]])</f>
        <v>11</v>
      </c>
    </row>
    <row r="93" spans="1:12" x14ac:dyDescent="0.3">
      <c r="A93" s="42">
        <v>45654</v>
      </c>
      <c r="B93" s="21">
        <v>176</v>
      </c>
      <c r="C93" s="21">
        <v>5456</v>
      </c>
      <c r="D93" s="21">
        <v>7</v>
      </c>
      <c r="E93" s="21">
        <v>3</v>
      </c>
      <c r="F93" s="21">
        <v>1</v>
      </c>
      <c r="G93" s="21">
        <v>1</v>
      </c>
      <c r="H93" s="21">
        <v>11</v>
      </c>
      <c r="I93" s="21">
        <v>2</v>
      </c>
      <c r="J93" s="21">
        <f>SUM(DataTbl[[#This Row],[Likes]:[Shares]])</f>
        <v>12</v>
      </c>
      <c r="K93" s="24">
        <f>DataTbl[[#This Row],[Engagement]]/DataTbl[[#This Row],[Views]]</f>
        <v>6.8181818181818177E-2</v>
      </c>
      <c r="L93" s="21">
        <f>SUM(DataTbl[[#This Row],[Profile Visits]:[New Followers]])</f>
        <v>13</v>
      </c>
    </row>
    <row r="94" spans="1:12" x14ac:dyDescent="0.3">
      <c r="A94" s="42">
        <v>45655</v>
      </c>
      <c r="B94" s="21">
        <v>178</v>
      </c>
      <c r="C94" s="21">
        <v>4094</v>
      </c>
      <c r="D94" s="21">
        <v>6</v>
      </c>
      <c r="E94" s="21">
        <v>2</v>
      </c>
      <c r="F94" s="21">
        <v>1</v>
      </c>
      <c r="G94" s="21">
        <v>1</v>
      </c>
      <c r="H94" s="21">
        <v>8</v>
      </c>
      <c r="I94" s="21">
        <v>1</v>
      </c>
      <c r="J94" s="21">
        <f>SUM(DataTbl[[#This Row],[Likes]:[Shares]])</f>
        <v>10</v>
      </c>
      <c r="K94" s="24">
        <f>DataTbl[[#This Row],[Engagement]]/DataTbl[[#This Row],[Views]]</f>
        <v>5.6179775280898875E-2</v>
      </c>
      <c r="L94" s="21">
        <f>SUM(DataTbl[[#This Row],[Profile Visits]:[New Followers]])</f>
        <v>9</v>
      </c>
    </row>
    <row r="95" spans="1:12" x14ac:dyDescent="0.3">
      <c r="A95" s="42">
        <v>45656</v>
      </c>
      <c r="B95" s="21">
        <v>279</v>
      </c>
      <c r="C95" s="21">
        <v>5301</v>
      </c>
      <c r="D95" s="21">
        <v>10</v>
      </c>
      <c r="E95" s="21">
        <v>3</v>
      </c>
      <c r="F95" s="21">
        <v>1</v>
      </c>
      <c r="G95" s="21">
        <v>1</v>
      </c>
      <c r="H95" s="21">
        <v>19</v>
      </c>
      <c r="I95" s="21">
        <v>5</v>
      </c>
      <c r="J95" s="21">
        <f>SUM(DataTbl[[#This Row],[Likes]:[Shares]])</f>
        <v>15</v>
      </c>
      <c r="K95" s="24">
        <f>DataTbl[[#This Row],[Engagement]]/DataTbl[[#This Row],[Views]]</f>
        <v>5.3763440860215055E-2</v>
      </c>
      <c r="L95" s="21">
        <f>SUM(DataTbl[[#This Row],[Profile Visits]:[New Followers]])</f>
        <v>24</v>
      </c>
    </row>
    <row r="96" spans="1:12" x14ac:dyDescent="0.3">
      <c r="A96" s="42">
        <v>45657</v>
      </c>
      <c r="B96" s="21">
        <v>328</v>
      </c>
      <c r="C96" s="21">
        <v>6560</v>
      </c>
      <c r="D96" s="21">
        <v>9</v>
      </c>
      <c r="E96" s="21">
        <v>4</v>
      </c>
      <c r="F96" s="21">
        <v>2</v>
      </c>
      <c r="G96" s="21">
        <v>1</v>
      </c>
      <c r="H96" s="21">
        <v>20</v>
      </c>
      <c r="I96" s="21">
        <v>6</v>
      </c>
      <c r="J96" s="21">
        <f>SUM(DataTbl[[#This Row],[Likes]:[Shares]])</f>
        <v>16</v>
      </c>
      <c r="K96" s="24">
        <f>DataTbl[[#This Row],[Engagement]]/DataTbl[[#This Row],[Views]]</f>
        <v>4.878048780487805E-2</v>
      </c>
      <c r="L96" s="21">
        <f>SUM(DataTbl[[#This Row],[Profile Visits]:[New Followers]])</f>
        <v>26</v>
      </c>
    </row>
    <row r="97" spans="1:12" x14ac:dyDescent="0.3">
      <c r="A97" s="42">
        <v>45658</v>
      </c>
      <c r="B97" s="21">
        <v>306</v>
      </c>
      <c r="C97" s="21">
        <v>7038</v>
      </c>
      <c r="D97" s="21">
        <v>14</v>
      </c>
      <c r="E97" s="21">
        <v>5</v>
      </c>
      <c r="F97" s="21">
        <v>2</v>
      </c>
      <c r="G97" s="21">
        <v>2</v>
      </c>
      <c r="H97" s="21">
        <v>24</v>
      </c>
      <c r="I97" s="21">
        <v>11</v>
      </c>
      <c r="J97" s="21">
        <f>SUM(DataTbl[[#This Row],[Likes]:[Shares]])</f>
        <v>23</v>
      </c>
      <c r="K97" s="24">
        <f>DataTbl[[#This Row],[Engagement]]/DataTbl[[#This Row],[Views]]</f>
        <v>7.5163398692810454E-2</v>
      </c>
      <c r="L97" s="21">
        <f>SUM(DataTbl[[#This Row],[Profile Visits]:[New Followers]])</f>
        <v>35</v>
      </c>
    </row>
    <row r="98" spans="1:12" x14ac:dyDescent="0.3">
      <c r="A98" s="42">
        <v>45659</v>
      </c>
      <c r="B98" s="21">
        <v>148</v>
      </c>
      <c r="C98" s="21">
        <v>4588</v>
      </c>
      <c r="D98" s="21">
        <v>6</v>
      </c>
      <c r="E98" s="21">
        <v>2</v>
      </c>
      <c r="F98" s="21">
        <v>1</v>
      </c>
      <c r="G98" s="21">
        <v>1</v>
      </c>
      <c r="H98" s="21">
        <v>7</v>
      </c>
      <c r="I98" s="21">
        <v>1</v>
      </c>
      <c r="J98" s="21">
        <f>SUM(DataTbl[[#This Row],[Likes]:[Shares]])</f>
        <v>10</v>
      </c>
      <c r="K98" s="24">
        <f>DataTbl[[#This Row],[Engagement]]/DataTbl[[#This Row],[Views]]</f>
        <v>6.7567567567567571E-2</v>
      </c>
      <c r="L98" s="21">
        <f>SUM(DataTbl[[#This Row],[Profile Visits]:[New Followers]])</f>
        <v>8</v>
      </c>
    </row>
    <row r="99" spans="1:12" x14ac:dyDescent="0.3">
      <c r="A99" s="42">
        <v>45660</v>
      </c>
      <c r="B99" s="21">
        <v>175</v>
      </c>
      <c r="C99" s="21">
        <v>4025</v>
      </c>
      <c r="D99" s="21">
        <v>6</v>
      </c>
      <c r="E99" s="21">
        <v>3</v>
      </c>
      <c r="F99" s="21">
        <v>1</v>
      </c>
      <c r="G99" s="21">
        <v>1</v>
      </c>
      <c r="H99" s="21">
        <v>10</v>
      </c>
      <c r="I99" s="21">
        <v>2</v>
      </c>
      <c r="J99" s="21">
        <f>SUM(DataTbl[[#This Row],[Likes]:[Shares]])</f>
        <v>11</v>
      </c>
      <c r="K99" s="24">
        <f>DataTbl[[#This Row],[Engagement]]/DataTbl[[#This Row],[Views]]</f>
        <v>6.2857142857142861E-2</v>
      </c>
      <c r="L99" s="21">
        <f>SUM(DataTbl[[#This Row],[Profile Visits]:[New Followers]])</f>
        <v>12</v>
      </c>
    </row>
    <row r="100" spans="1:12" x14ac:dyDescent="0.3">
      <c r="A100" s="42">
        <v>45661</v>
      </c>
      <c r="B100" s="21">
        <v>174</v>
      </c>
      <c r="C100" s="21">
        <v>4176</v>
      </c>
      <c r="D100" s="21">
        <v>6</v>
      </c>
      <c r="E100" s="21">
        <v>3</v>
      </c>
      <c r="F100" s="21">
        <v>1</v>
      </c>
      <c r="G100" s="21">
        <v>1</v>
      </c>
      <c r="H100" s="21">
        <v>11</v>
      </c>
      <c r="I100" s="21">
        <v>1</v>
      </c>
      <c r="J100" s="21">
        <f>SUM(DataTbl[[#This Row],[Likes]:[Shares]])</f>
        <v>11</v>
      </c>
      <c r="K100" s="24">
        <f>DataTbl[[#This Row],[Engagement]]/DataTbl[[#This Row],[Views]]</f>
        <v>6.3218390804597707E-2</v>
      </c>
      <c r="L100" s="21">
        <f>SUM(DataTbl[[#This Row],[Profile Visits]:[New Followers]])</f>
        <v>12</v>
      </c>
    </row>
    <row r="101" spans="1:12" x14ac:dyDescent="0.3">
      <c r="A101" s="42">
        <v>45662</v>
      </c>
      <c r="B101" s="21">
        <v>173</v>
      </c>
      <c r="C101" s="21">
        <v>3633</v>
      </c>
      <c r="D101" s="21">
        <v>4</v>
      </c>
      <c r="E101" s="21">
        <v>2</v>
      </c>
      <c r="F101" s="21">
        <v>1</v>
      </c>
      <c r="G101" s="21">
        <v>1</v>
      </c>
      <c r="H101" s="21">
        <v>8</v>
      </c>
      <c r="I101" s="21">
        <v>1</v>
      </c>
      <c r="J101" s="21">
        <f>SUM(DataTbl[[#This Row],[Likes]:[Shares]])</f>
        <v>8</v>
      </c>
      <c r="K101" s="24">
        <f>DataTbl[[#This Row],[Engagement]]/DataTbl[[#This Row],[Views]]</f>
        <v>4.6242774566473986E-2</v>
      </c>
      <c r="L101" s="21">
        <f>SUM(DataTbl[[#This Row],[Profile Visits]:[New Followers]])</f>
        <v>9</v>
      </c>
    </row>
    <row r="102" spans="1:12" x14ac:dyDescent="0.3">
      <c r="A102" s="42">
        <v>45663</v>
      </c>
      <c r="B102" s="21">
        <v>155</v>
      </c>
      <c r="C102" s="21">
        <v>3255</v>
      </c>
      <c r="D102" s="21">
        <v>5</v>
      </c>
      <c r="E102" s="21">
        <v>2</v>
      </c>
      <c r="F102" s="21">
        <v>0</v>
      </c>
      <c r="G102" s="21">
        <v>1</v>
      </c>
      <c r="H102" s="21">
        <v>12</v>
      </c>
      <c r="I102" s="21">
        <v>2</v>
      </c>
      <c r="J102" s="21">
        <f>SUM(DataTbl[[#This Row],[Likes]:[Shares]])</f>
        <v>8</v>
      </c>
      <c r="K102" s="24">
        <f>DataTbl[[#This Row],[Engagement]]/DataTbl[[#This Row],[Views]]</f>
        <v>5.1612903225806452E-2</v>
      </c>
      <c r="L102" s="21">
        <f>SUM(DataTbl[[#This Row],[Profile Visits]:[New Followers]])</f>
        <v>14</v>
      </c>
    </row>
    <row r="103" spans="1:12" x14ac:dyDescent="0.3">
      <c r="A103" s="42">
        <v>45664</v>
      </c>
      <c r="B103" s="21">
        <v>184</v>
      </c>
      <c r="C103" s="21">
        <v>5152</v>
      </c>
      <c r="D103" s="21">
        <v>8</v>
      </c>
      <c r="E103" s="21">
        <v>3</v>
      </c>
      <c r="F103" s="21">
        <v>1</v>
      </c>
      <c r="G103" s="21">
        <v>1</v>
      </c>
      <c r="H103" s="21">
        <v>12</v>
      </c>
      <c r="I103" s="21">
        <v>2</v>
      </c>
      <c r="J103" s="21">
        <f>SUM(DataTbl[[#This Row],[Likes]:[Shares]])</f>
        <v>13</v>
      </c>
      <c r="K103" s="24">
        <f>DataTbl[[#This Row],[Engagement]]/DataTbl[[#This Row],[Views]]</f>
        <v>7.0652173913043473E-2</v>
      </c>
      <c r="L103" s="21">
        <f>SUM(DataTbl[[#This Row],[Profile Visits]:[New Followers]])</f>
        <v>14</v>
      </c>
    </row>
    <row r="104" spans="1:12" x14ac:dyDescent="0.3">
      <c r="A104" s="42">
        <v>45665</v>
      </c>
      <c r="B104" s="21">
        <v>140</v>
      </c>
      <c r="C104" s="21">
        <v>4760</v>
      </c>
      <c r="D104" s="21">
        <v>6</v>
      </c>
      <c r="E104" s="21">
        <v>2</v>
      </c>
      <c r="F104" s="21">
        <v>1</v>
      </c>
      <c r="G104" s="21">
        <v>1</v>
      </c>
      <c r="H104" s="21">
        <v>10</v>
      </c>
      <c r="I104" s="21">
        <v>2</v>
      </c>
      <c r="J104" s="21">
        <f>SUM(DataTbl[[#This Row],[Likes]:[Shares]])</f>
        <v>10</v>
      </c>
      <c r="K104" s="24">
        <f>DataTbl[[#This Row],[Engagement]]/DataTbl[[#This Row],[Views]]</f>
        <v>7.1428571428571425E-2</v>
      </c>
      <c r="L104" s="21">
        <f>SUM(DataTbl[[#This Row],[Profile Visits]:[New Followers]])</f>
        <v>12</v>
      </c>
    </row>
    <row r="105" spans="1:12" x14ac:dyDescent="0.3">
      <c r="A105" s="42">
        <v>45666</v>
      </c>
      <c r="B105" s="21">
        <v>161</v>
      </c>
      <c r="C105" s="21">
        <v>4347</v>
      </c>
      <c r="D105" s="21">
        <v>6</v>
      </c>
      <c r="E105" s="21">
        <v>3</v>
      </c>
      <c r="F105" s="21">
        <v>1</v>
      </c>
      <c r="G105" s="21">
        <v>1</v>
      </c>
      <c r="H105" s="21">
        <v>9</v>
      </c>
      <c r="I105" s="21">
        <v>1</v>
      </c>
      <c r="J105" s="21">
        <f>SUM(DataTbl[[#This Row],[Likes]:[Shares]])</f>
        <v>11</v>
      </c>
      <c r="K105" s="24">
        <f>DataTbl[[#This Row],[Engagement]]/DataTbl[[#This Row],[Views]]</f>
        <v>6.8322981366459631E-2</v>
      </c>
      <c r="L105" s="21">
        <f>SUM(DataTbl[[#This Row],[Profile Visits]:[New Followers]])</f>
        <v>10</v>
      </c>
    </row>
    <row r="106" spans="1:12" x14ac:dyDescent="0.3">
      <c r="A106" s="42">
        <v>45667</v>
      </c>
      <c r="B106" s="21">
        <v>163</v>
      </c>
      <c r="C106" s="21">
        <v>3260</v>
      </c>
      <c r="D106" s="21">
        <v>7</v>
      </c>
      <c r="E106" s="21">
        <v>3</v>
      </c>
      <c r="F106" s="21">
        <v>1</v>
      </c>
      <c r="G106" s="21">
        <v>1</v>
      </c>
      <c r="H106" s="21">
        <v>10</v>
      </c>
      <c r="I106" s="21">
        <v>1</v>
      </c>
      <c r="J106" s="21">
        <f>SUM(DataTbl[[#This Row],[Likes]:[Shares]])</f>
        <v>12</v>
      </c>
      <c r="K106" s="24">
        <f>DataTbl[[#This Row],[Engagement]]/DataTbl[[#This Row],[Views]]</f>
        <v>7.3619631901840496E-2</v>
      </c>
      <c r="L106" s="21">
        <f>SUM(DataTbl[[#This Row],[Profile Visits]:[New Followers]])</f>
        <v>11</v>
      </c>
    </row>
    <row r="107" spans="1:12" x14ac:dyDescent="0.3">
      <c r="A107" s="42">
        <v>45668</v>
      </c>
      <c r="B107" s="21">
        <v>206</v>
      </c>
      <c r="C107" s="21">
        <v>5150</v>
      </c>
      <c r="D107" s="21">
        <v>9</v>
      </c>
      <c r="E107" s="21">
        <v>4</v>
      </c>
      <c r="F107" s="21">
        <v>1</v>
      </c>
      <c r="G107" s="21">
        <v>1</v>
      </c>
      <c r="H107" s="21">
        <v>12</v>
      </c>
      <c r="I107" s="21">
        <v>2</v>
      </c>
      <c r="J107" s="21">
        <f>SUM(DataTbl[[#This Row],[Likes]:[Shares]])</f>
        <v>15</v>
      </c>
      <c r="K107" s="24">
        <f>DataTbl[[#This Row],[Engagement]]/DataTbl[[#This Row],[Views]]</f>
        <v>7.281553398058252E-2</v>
      </c>
      <c r="L107" s="21">
        <f>SUM(DataTbl[[#This Row],[Profile Visits]:[New Followers]])</f>
        <v>14</v>
      </c>
    </row>
    <row r="108" spans="1:12" x14ac:dyDescent="0.3">
      <c r="A108" s="42">
        <v>45669</v>
      </c>
      <c r="B108" s="21">
        <v>226</v>
      </c>
      <c r="C108" s="21">
        <v>4294</v>
      </c>
      <c r="D108" s="21">
        <v>8</v>
      </c>
      <c r="E108" s="21">
        <v>4</v>
      </c>
      <c r="F108" s="21">
        <v>1</v>
      </c>
      <c r="G108" s="21">
        <v>1</v>
      </c>
      <c r="H108" s="21">
        <v>13</v>
      </c>
      <c r="I108" s="21">
        <v>2</v>
      </c>
      <c r="J108" s="21">
        <f>SUM(DataTbl[[#This Row],[Likes]:[Shares]])</f>
        <v>14</v>
      </c>
      <c r="K108" s="24">
        <f>DataTbl[[#This Row],[Engagement]]/DataTbl[[#This Row],[Views]]</f>
        <v>6.1946902654867256E-2</v>
      </c>
      <c r="L108" s="21">
        <f>SUM(DataTbl[[#This Row],[Profile Visits]:[New Followers]])</f>
        <v>15</v>
      </c>
    </row>
    <row r="109" spans="1:12" x14ac:dyDescent="0.3">
      <c r="A109" s="42">
        <v>45670</v>
      </c>
      <c r="B109" s="21">
        <v>171</v>
      </c>
      <c r="C109" s="21">
        <v>3762</v>
      </c>
      <c r="D109" s="21">
        <v>4</v>
      </c>
      <c r="E109" s="21">
        <v>2</v>
      </c>
      <c r="F109" s="21">
        <v>1</v>
      </c>
      <c r="G109" s="21">
        <v>1</v>
      </c>
      <c r="H109" s="21">
        <v>9</v>
      </c>
      <c r="I109" s="21">
        <v>2</v>
      </c>
      <c r="J109" s="21">
        <f>SUM(DataTbl[[#This Row],[Likes]:[Shares]])</f>
        <v>8</v>
      </c>
      <c r="K109" s="24">
        <f>DataTbl[[#This Row],[Engagement]]/DataTbl[[#This Row],[Views]]</f>
        <v>4.6783625730994149E-2</v>
      </c>
      <c r="L109" s="21">
        <f>SUM(DataTbl[[#This Row],[Profile Visits]:[New Followers]])</f>
        <v>11</v>
      </c>
    </row>
    <row r="110" spans="1:12" x14ac:dyDescent="0.3">
      <c r="A110" s="42">
        <v>45671</v>
      </c>
      <c r="B110" s="21">
        <v>181</v>
      </c>
      <c r="C110" s="21">
        <v>3982</v>
      </c>
      <c r="D110" s="21">
        <v>6</v>
      </c>
      <c r="E110" s="21">
        <v>2</v>
      </c>
      <c r="F110" s="21">
        <v>1</v>
      </c>
      <c r="G110" s="21">
        <v>1</v>
      </c>
      <c r="H110" s="21">
        <v>9</v>
      </c>
      <c r="I110" s="21">
        <v>1</v>
      </c>
      <c r="J110" s="21">
        <f>SUM(DataTbl[[#This Row],[Likes]:[Shares]])</f>
        <v>10</v>
      </c>
      <c r="K110" s="24">
        <f>DataTbl[[#This Row],[Engagement]]/DataTbl[[#This Row],[Views]]</f>
        <v>5.5248618784530384E-2</v>
      </c>
      <c r="L110" s="21">
        <f>SUM(DataTbl[[#This Row],[Profile Visits]:[New Followers]])</f>
        <v>10</v>
      </c>
    </row>
    <row r="111" spans="1:12" x14ac:dyDescent="0.3">
      <c r="A111" s="42">
        <v>45672</v>
      </c>
      <c r="B111" s="21">
        <v>151</v>
      </c>
      <c r="C111" s="21">
        <v>4681</v>
      </c>
      <c r="D111" s="21">
        <v>4</v>
      </c>
      <c r="E111" s="21">
        <v>2</v>
      </c>
      <c r="F111" s="21">
        <v>1</v>
      </c>
      <c r="G111" s="21">
        <v>1</v>
      </c>
      <c r="H111" s="21">
        <v>11</v>
      </c>
      <c r="I111" s="21">
        <v>1</v>
      </c>
      <c r="J111" s="21">
        <f>SUM(DataTbl[[#This Row],[Likes]:[Shares]])</f>
        <v>8</v>
      </c>
      <c r="K111" s="24">
        <f>DataTbl[[#This Row],[Engagement]]/DataTbl[[#This Row],[Views]]</f>
        <v>5.2980132450331126E-2</v>
      </c>
      <c r="L111" s="21">
        <f>SUM(DataTbl[[#This Row],[Profile Visits]:[New Followers]])</f>
        <v>12</v>
      </c>
    </row>
    <row r="112" spans="1:12" x14ac:dyDescent="0.3">
      <c r="A112" s="42">
        <v>45673</v>
      </c>
      <c r="B112" s="21">
        <v>166</v>
      </c>
      <c r="C112" s="21">
        <v>3486</v>
      </c>
      <c r="D112" s="21">
        <v>7</v>
      </c>
      <c r="E112" s="21">
        <v>3</v>
      </c>
      <c r="F112" s="21">
        <v>1</v>
      </c>
      <c r="G112" s="21">
        <v>1</v>
      </c>
      <c r="H112" s="21">
        <v>13</v>
      </c>
      <c r="I112" s="21">
        <v>2</v>
      </c>
      <c r="J112" s="21">
        <f>SUM(DataTbl[[#This Row],[Likes]:[Shares]])</f>
        <v>12</v>
      </c>
      <c r="K112" s="24">
        <f>DataTbl[[#This Row],[Engagement]]/DataTbl[[#This Row],[Views]]</f>
        <v>7.2289156626506021E-2</v>
      </c>
      <c r="L112" s="21">
        <f>SUM(DataTbl[[#This Row],[Profile Visits]:[New Followers]])</f>
        <v>15</v>
      </c>
    </row>
    <row r="113" spans="1:12" x14ac:dyDescent="0.3">
      <c r="A113" s="42">
        <v>45674</v>
      </c>
      <c r="B113" s="21">
        <v>178</v>
      </c>
      <c r="C113" s="21">
        <v>5518</v>
      </c>
      <c r="D113" s="21">
        <v>5</v>
      </c>
      <c r="E113" s="21">
        <v>2</v>
      </c>
      <c r="F113" s="21">
        <v>1</v>
      </c>
      <c r="G113" s="21">
        <v>1</v>
      </c>
      <c r="H113" s="21">
        <v>13</v>
      </c>
      <c r="I113" s="21">
        <v>2</v>
      </c>
      <c r="J113" s="21">
        <f>SUM(DataTbl[[#This Row],[Likes]:[Shares]])</f>
        <v>9</v>
      </c>
      <c r="K113" s="24">
        <f>DataTbl[[#This Row],[Engagement]]/DataTbl[[#This Row],[Views]]</f>
        <v>5.0561797752808987E-2</v>
      </c>
      <c r="L113" s="21">
        <f>SUM(DataTbl[[#This Row],[Profile Visits]:[New Followers]])</f>
        <v>15</v>
      </c>
    </row>
    <row r="114" spans="1:12" x14ac:dyDescent="0.3">
      <c r="A114" s="42">
        <v>45675</v>
      </c>
      <c r="B114" s="21">
        <v>214</v>
      </c>
      <c r="C114" s="21">
        <v>5564</v>
      </c>
      <c r="D114" s="21">
        <v>6</v>
      </c>
      <c r="E114" s="21">
        <v>3</v>
      </c>
      <c r="F114" s="21">
        <v>1</v>
      </c>
      <c r="G114" s="21">
        <v>1</v>
      </c>
      <c r="H114" s="21">
        <v>15</v>
      </c>
      <c r="I114" s="21">
        <v>2</v>
      </c>
      <c r="J114" s="21">
        <f>SUM(DataTbl[[#This Row],[Likes]:[Shares]])</f>
        <v>11</v>
      </c>
      <c r="K114" s="24">
        <f>DataTbl[[#This Row],[Engagement]]/DataTbl[[#This Row],[Views]]</f>
        <v>5.1401869158878503E-2</v>
      </c>
      <c r="L114" s="21">
        <f>SUM(DataTbl[[#This Row],[Profile Visits]:[New Followers]])</f>
        <v>17</v>
      </c>
    </row>
    <row r="115" spans="1:12" x14ac:dyDescent="0.3">
      <c r="A115" s="42">
        <v>45676</v>
      </c>
      <c r="B115" s="21">
        <v>179</v>
      </c>
      <c r="C115" s="21">
        <v>5370</v>
      </c>
      <c r="D115" s="21">
        <v>8</v>
      </c>
      <c r="E115" s="21">
        <v>3</v>
      </c>
      <c r="F115" s="21">
        <v>1</v>
      </c>
      <c r="G115" s="21">
        <v>1</v>
      </c>
      <c r="H115" s="21">
        <v>8</v>
      </c>
      <c r="I115" s="21">
        <v>2</v>
      </c>
      <c r="J115" s="21">
        <f>SUM(DataTbl[[#This Row],[Likes]:[Shares]])</f>
        <v>13</v>
      </c>
      <c r="K115" s="24">
        <f>DataTbl[[#This Row],[Engagement]]/DataTbl[[#This Row],[Views]]</f>
        <v>7.2625698324022353E-2</v>
      </c>
      <c r="L115" s="21">
        <f>SUM(DataTbl[[#This Row],[Profile Visits]:[New Followers]])</f>
        <v>10</v>
      </c>
    </row>
    <row r="116" spans="1:12" x14ac:dyDescent="0.3">
      <c r="A116" s="42">
        <v>45677</v>
      </c>
      <c r="B116" s="21">
        <v>173</v>
      </c>
      <c r="C116" s="21">
        <v>5363</v>
      </c>
      <c r="D116" s="21">
        <v>4</v>
      </c>
      <c r="E116" s="21">
        <v>2</v>
      </c>
      <c r="F116" s="21">
        <v>0</v>
      </c>
      <c r="G116" s="21">
        <v>1</v>
      </c>
      <c r="H116" s="21">
        <v>12</v>
      </c>
      <c r="I116" s="21">
        <v>2</v>
      </c>
      <c r="J116" s="21">
        <f>SUM(DataTbl[[#This Row],[Likes]:[Shares]])</f>
        <v>7</v>
      </c>
      <c r="K116" s="24">
        <f>DataTbl[[#This Row],[Engagement]]/DataTbl[[#This Row],[Views]]</f>
        <v>4.046242774566474E-2</v>
      </c>
      <c r="L116" s="21">
        <f>SUM(DataTbl[[#This Row],[Profile Visits]:[New Followers]])</f>
        <v>14</v>
      </c>
    </row>
    <row r="117" spans="1:12" x14ac:dyDescent="0.3">
      <c r="A117" s="42">
        <v>45678</v>
      </c>
      <c r="B117" s="21">
        <v>174</v>
      </c>
      <c r="C117" s="21">
        <v>4524</v>
      </c>
      <c r="D117" s="21">
        <v>4</v>
      </c>
      <c r="E117" s="21">
        <v>1</v>
      </c>
      <c r="F117" s="21">
        <v>0</v>
      </c>
      <c r="G117" s="21">
        <v>0</v>
      </c>
      <c r="H117" s="21">
        <v>11</v>
      </c>
      <c r="I117" s="21">
        <v>1</v>
      </c>
      <c r="J117" s="21">
        <f>SUM(DataTbl[[#This Row],[Likes]:[Shares]])</f>
        <v>5</v>
      </c>
      <c r="K117" s="24">
        <f>DataTbl[[#This Row],[Engagement]]/DataTbl[[#This Row],[Views]]</f>
        <v>2.8735632183908046E-2</v>
      </c>
      <c r="L117" s="21">
        <f>SUM(DataTbl[[#This Row],[Profile Visits]:[New Followers]])</f>
        <v>12</v>
      </c>
    </row>
    <row r="118" spans="1:12" x14ac:dyDescent="0.3">
      <c r="A118" s="42">
        <v>45679</v>
      </c>
      <c r="B118" s="21">
        <v>177</v>
      </c>
      <c r="C118" s="21">
        <v>4956</v>
      </c>
      <c r="D118" s="21">
        <v>6</v>
      </c>
      <c r="E118" s="21">
        <v>2</v>
      </c>
      <c r="F118" s="21">
        <v>1</v>
      </c>
      <c r="G118" s="21">
        <v>1</v>
      </c>
      <c r="H118" s="21">
        <v>9</v>
      </c>
      <c r="I118" s="21">
        <v>1</v>
      </c>
      <c r="J118" s="21">
        <f>SUM(DataTbl[[#This Row],[Likes]:[Shares]])</f>
        <v>10</v>
      </c>
      <c r="K118" s="24">
        <f>DataTbl[[#This Row],[Engagement]]/DataTbl[[#This Row],[Views]]</f>
        <v>5.6497175141242938E-2</v>
      </c>
      <c r="L118" s="21">
        <f>SUM(DataTbl[[#This Row],[Profile Visits]:[New Followers]])</f>
        <v>10</v>
      </c>
    </row>
    <row r="119" spans="1:12" x14ac:dyDescent="0.3">
      <c r="A119" s="42">
        <v>45680</v>
      </c>
      <c r="B119" s="21">
        <v>517</v>
      </c>
      <c r="C119" s="21">
        <v>17061</v>
      </c>
      <c r="D119" s="21">
        <v>23</v>
      </c>
      <c r="E119" s="21">
        <v>9</v>
      </c>
      <c r="F119" s="21">
        <v>3</v>
      </c>
      <c r="G119" s="21">
        <v>3</v>
      </c>
      <c r="H119" s="21">
        <v>37</v>
      </c>
      <c r="I119" s="21">
        <v>4</v>
      </c>
      <c r="J119" s="21">
        <f>SUM(DataTbl[[#This Row],[Likes]:[Shares]])</f>
        <v>38</v>
      </c>
      <c r="K119" s="24">
        <f>DataTbl[[#This Row],[Engagement]]/DataTbl[[#This Row],[Views]]</f>
        <v>7.3500967117988397E-2</v>
      </c>
      <c r="L119" s="21">
        <f>SUM(DataTbl[[#This Row],[Profile Visits]:[New Followers]])</f>
        <v>41</v>
      </c>
    </row>
    <row r="120" spans="1:12" x14ac:dyDescent="0.3">
      <c r="A120" s="42">
        <v>45681</v>
      </c>
      <c r="B120" s="21">
        <v>185</v>
      </c>
      <c r="C120" s="21">
        <v>3515</v>
      </c>
      <c r="D120" s="21">
        <v>7</v>
      </c>
      <c r="E120" s="21">
        <v>3</v>
      </c>
      <c r="F120" s="21">
        <v>1</v>
      </c>
      <c r="G120" s="21">
        <v>1</v>
      </c>
      <c r="H120" s="21">
        <v>9</v>
      </c>
      <c r="I120" s="21">
        <v>1</v>
      </c>
      <c r="J120" s="21">
        <f>SUM(DataTbl[[#This Row],[Likes]:[Shares]])</f>
        <v>12</v>
      </c>
      <c r="K120" s="24">
        <f>DataTbl[[#This Row],[Engagement]]/DataTbl[[#This Row],[Views]]</f>
        <v>6.4864864864864868E-2</v>
      </c>
      <c r="L120" s="21">
        <f>SUM(DataTbl[[#This Row],[Profile Visits]:[New Followers]])</f>
        <v>10</v>
      </c>
    </row>
    <row r="121" spans="1:12" x14ac:dyDescent="0.3">
      <c r="A121" s="42">
        <v>45682</v>
      </c>
      <c r="B121" s="21">
        <v>240</v>
      </c>
      <c r="C121" s="21">
        <v>6720</v>
      </c>
      <c r="D121" s="21">
        <v>6</v>
      </c>
      <c r="E121" s="21">
        <v>2</v>
      </c>
      <c r="F121" s="21">
        <v>1</v>
      </c>
      <c r="G121" s="21">
        <v>1</v>
      </c>
      <c r="H121" s="21">
        <v>17</v>
      </c>
      <c r="I121" s="21">
        <v>3</v>
      </c>
      <c r="J121" s="21">
        <f>SUM(DataTbl[[#This Row],[Likes]:[Shares]])</f>
        <v>10</v>
      </c>
      <c r="K121" s="24">
        <f>DataTbl[[#This Row],[Engagement]]/DataTbl[[#This Row],[Views]]</f>
        <v>4.1666666666666664E-2</v>
      </c>
      <c r="L121" s="21">
        <f>SUM(DataTbl[[#This Row],[Profile Visits]:[New Followers]])</f>
        <v>20</v>
      </c>
    </row>
    <row r="122" spans="1:12" x14ac:dyDescent="0.3">
      <c r="A122" s="42">
        <v>45683</v>
      </c>
      <c r="B122" s="21">
        <v>582</v>
      </c>
      <c r="C122" s="21">
        <v>11640</v>
      </c>
      <c r="D122" s="21">
        <v>14</v>
      </c>
      <c r="E122" s="21">
        <v>5</v>
      </c>
      <c r="F122" s="21">
        <v>2</v>
      </c>
      <c r="G122" s="21">
        <v>2</v>
      </c>
      <c r="H122" s="21">
        <v>34</v>
      </c>
      <c r="I122" s="21">
        <v>7</v>
      </c>
      <c r="J122" s="21">
        <f>SUM(DataTbl[[#This Row],[Likes]:[Shares]])</f>
        <v>23</v>
      </c>
      <c r="K122" s="24">
        <f>DataTbl[[#This Row],[Engagement]]/DataTbl[[#This Row],[Views]]</f>
        <v>3.951890034364261E-2</v>
      </c>
      <c r="L122" s="21">
        <f>SUM(DataTbl[[#This Row],[Profile Visits]:[New Followers]])</f>
        <v>41</v>
      </c>
    </row>
    <row r="123" spans="1:12" x14ac:dyDescent="0.3">
      <c r="A123" s="42">
        <v>45684</v>
      </c>
      <c r="B123" s="21">
        <v>436</v>
      </c>
      <c r="C123" s="21">
        <v>11336</v>
      </c>
      <c r="D123" s="21">
        <v>12</v>
      </c>
      <c r="E123" s="21">
        <v>5</v>
      </c>
      <c r="F123" s="21">
        <v>2</v>
      </c>
      <c r="G123" s="21">
        <v>2</v>
      </c>
      <c r="H123" s="21">
        <v>25</v>
      </c>
      <c r="I123" s="21">
        <v>5</v>
      </c>
      <c r="J123" s="21">
        <f>SUM(DataTbl[[#This Row],[Likes]:[Shares]])</f>
        <v>21</v>
      </c>
      <c r="K123" s="24">
        <f>DataTbl[[#This Row],[Engagement]]/DataTbl[[#This Row],[Views]]</f>
        <v>4.8165137614678902E-2</v>
      </c>
      <c r="L123" s="21">
        <f>SUM(DataTbl[[#This Row],[Profile Visits]:[New Followers]])</f>
        <v>30</v>
      </c>
    </row>
    <row r="124" spans="1:12" x14ac:dyDescent="0.3">
      <c r="A124" s="42">
        <v>45685</v>
      </c>
      <c r="B124" s="21">
        <v>523</v>
      </c>
      <c r="C124" s="21">
        <v>13598</v>
      </c>
      <c r="D124" s="21">
        <v>17</v>
      </c>
      <c r="E124" s="21">
        <v>8</v>
      </c>
      <c r="F124" s="21">
        <v>2</v>
      </c>
      <c r="G124" s="21">
        <v>2</v>
      </c>
      <c r="H124" s="21">
        <v>36</v>
      </c>
      <c r="I124" s="21">
        <v>9</v>
      </c>
      <c r="J124" s="21">
        <f>SUM(DataTbl[[#This Row],[Likes]:[Shares]])</f>
        <v>29</v>
      </c>
      <c r="K124" s="24">
        <f>DataTbl[[#This Row],[Engagement]]/DataTbl[[#This Row],[Views]]</f>
        <v>5.5449330783938815E-2</v>
      </c>
      <c r="L124" s="21">
        <f>SUM(DataTbl[[#This Row],[Profile Visits]:[New Followers]])</f>
        <v>45</v>
      </c>
    </row>
    <row r="125" spans="1:12" x14ac:dyDescent="0.3">
      <c r="A125" s="42">
        <v>45686</v>
      </c>
      <c r="B125" s="21">
        <v>450</v>
      </c>
      <c r="C125" s="21">
        <v>12150</v>
      </c>
      <c r="D125" s="21">
        <v>20</v>
      </c>
      <c r="E125" s="21">
        <v>7</v>
      </c>
      <c r="F125" s="21">
        <v>3</v>
      </c>
      <c r="G125" s="21">
        <v>2</v>
      </c>
      <c r="H125" s="21">
        <v>31</v>
      </c>
      <c r="I125" s="21">
        <v>9</v>
      </c>
      <c r="J125" s="21">
        <f>SUM(DataTbl[[#This Row],[Likes]:[Shares]])</f>
        <v>32</v>
      </c>
      <c r="K125" s="24">
        <f>DataTbl[[#This Row],[Engagement]]/DataTbl[[#This Row],[Views]]</f>
        <v>7.1111111111111111E-2</v>
      </c>
      <c r="L125" s="21">
        <f>SUM(DataTbl[[#This Row],[Profile Visits]:[New Followers]])</f>
        <v>40</v>
      </c>
    </row>
    <row r="126" spans="1:12" x14ac:dyDescent="0.3">
      <c r="A126" s="42">
        <v>45687</v>
      </c>
      <c r="B126" s="21">
        <v>516</v>
      </c>
      <c r="C126" s="21">
        <v>9804</v>
      </c>
      <c r="D126" s="21">
        <v>16</v>
      </c>
      <c r="E126" s="21">
        <v>6</v>
      </c>
      <c r="F126" s="21">
        <v>2</v>
      </c>
      <c r="G126" s="21">
        <v>2</v>
      </c>
      <c r="H126" s="21">
        <v>21</v>
      </c>
      <c r="I126" s="21">
        <v>11</v>
      </c>
      <c r="J126" s="21">
        <f>SUM(DataTbl[[#This Row],[Likes]:[Shares]])</f>
        <v>26</v>
      </c>
      <c r="K126" s="24">
        <f>DataTbl[[#This Row],[Engagement]]/DataTbl[[#This Row],[Views]]</f>
        <v>5.0387596899224806E-2</v>
      </c>
      <c r="L126" s="21">
        <f>SUM(DataTbl[[#This Row],[Profile Visits]:[New Followers]])</f>
        <v>32</v>
      </c>
    </row>
    <row r="127" spans="1:12" x14ac:dyDescent="0.3">
      <c r="A127" s="42">
        <v>45688</v>
      </c>
      <c r="B127" s="21">
        <v>413</v>
      </c>
      <c r="C127" s="21">
        <v>12803</v>
      </c>
      <c r="D127" s="21">
        <v>15</v>
      </c>
      <c r="E127" s="21">
        <v>6</v>
      </c>
      <c r="F127" s="21">
        <v>2</v>
      </c>
      <c r="G127" s="21">
        <v>2</v>
      </c>
      <c r="H127" s="21">
        <v>31</v>
      </c>
      <c r="I127" s="21">
        <v>6</v>
      </c>
      <c r="J127" s="21">
        <f>SUM(DataTbl[[#This Row],[Likes]:[Shares]])</f>
        <v>25</v>
      </c>
      <c r="K127" s="24">
        <f>DataTbl[[#This Row],[Engagement]]/DataTbl[[#This Row],[Views]]</f>
        <v>6.0532687651331719E-2</v>
      </c>
      <c r="L127" s="21">
        <f>SUM(DataTbl[[#This Row],[Profile Visits]:[New Followers]])</f>
        <v>37</v>
      </c>
    </row>
    <row r="128" spans="1:12" x14ac:dyDescent="0.3">
      <c r="A128" s="42">
        <v>45689</v>
      </c>
      <c r="B128" s="21">
        <v>515</v>
      </c>
      <c r="C128" s="21">
        <v>12360</v>
      </c>
      <c r="D128" s="21">
        <v>15</v>
      </c>
      <c r="E128" s="21">
        <v>5</v>
      </c>
      <c r="F128" s="21">
        <v>2</v>
      </c>
      <c r="G128" s="21">
        <v>2</v>
      </c>
      <c r="H128" s="21">
        <v>21</v>
      </c>
      <c r="I128" s="21">
        <v>6</v>
      </c>
      <c r="J128" s="21">
        <f>SUM(DataTbl[[#This Row],[Likes]:[Shares]])</f>
        <v>24</v>
      </c>
      <c r="K128" s="24">
        <f>DataTbl[[#This Row],[Engagement]]/DataTbl[[#This Row],[Views]]</f>
        <v>4.6601941747572817E-2</v>
      </c>
      <c r="L128" s="21">
        <f>SUM(DataTbl[[#This Row],[Profile Visits]:[New Followers]])</f>
        <v>27</v>
      </c>
    </row>
    <row r="129" spans="1:12" x14ac:dyDescent="0.3">
      <c r="A129" s="42">
        <v>45690</v>
      </c>
      <c r="B129" s="21">
        <v>210</v>
      </c>
      <c r="C129" s="21">
        <v>6510</v>
      </c>
      <c r="D129" s="21">
        <v>7</v>
      </c>
      <c r="E129" s="21">
        <v>3</v>
      </c>
      <c r="F129" s="21">
        <v>1</v>
      </c>
      <c r="G129" s="21">
        <v>1</v>
      </c>
      <c r="H129" s="21">
        <v>10</v>
      </c>
      <c r="I129" s="21">
        <v>1</v>
      </c>
      <c r="J129" s="21">
        <f>SUM(DataTbl[[#This Row],[Likes]:[Shares]])</f>
        <v>12</v>
      </c>
      <c r="K129" s="24">
        <f>DataTbl[[#This Row],[Engagement]]/DataTbl[[#This Row],[Views]]</f>
        <v>5.7142857142857141E-2</v>
      </c>
      <c r="L129" s="21">
        <f>SUM(DataTbl[[#This Row],[Profile Visits]:[New Followers]])</f>
        <v>11</v>
      </c>
    </row>
    <row r="130" spans="1:12" x14ac:dyDescent="0.3">
      <c r="A130" s="42">
        <v>45691</v>
      </c>
      <c r="B130" s="21">
        <v>176</v>
      </c>
      <c r="C130" s="21">
        <v>5984</v>
      </c>
      <c r="D130" s="21">
        <v>8</v>
      </c>
      <c r="E130" s="21">
        <v>3</v>
      </c>
      <c r="F130" s="21">
        <v>1</v>
      </c>
      <c r="G130" s="21">
        <v>1</v>
      </c>
      <c r="H130" s="21">
        <v>9</v>
      </c>
      <c r="I130" s="21">
        <v>1</v>
      </c>
      <c r="J130" s="21">
        <f>SUM(DataTbl[[#This Row],[Likes]:[Shares]])</f>
        <v>13</v>
      </c>
      <c r="K130" s="24">
        <f>DataTbl[[#This Row],[Engagement]]/DataTbl[[#This Row],[Views]]</f>
        <v>7.3863636363636367E-2</v>
      </c>
      <c r="L130" s="21">
        <f>SUM(DataTbl[[#This Row],[Profile Visits]:[New Followers]])</f>
        <v>10</v>
      </c>
    </row>
    <row r="131" spans="1:12" x14ac:dyDescent="0.3">
      <c r="A131" s="42">
        <v>45692</v>
      </c>
      <c r="B131" s="21">
        <v>165</v>
      </c>
      <c r="C131" s="21">
        <v>4620</v>
      </c>
      <c r="D131" s="21">
        <v>6</v>
      </c>
      <c r="E131" s="21">
        <v>3</v>
      </c>
      <c r="F131" s="21">
        <v>1</v>
      </c>
      <c r="G131" s="21">
        <v>1</v>
      </c>
      <c r="H131" s="21">
        <v>10</v>
      </c>
      <c r="I131" s="21">
        <v>2</v>
      </c>
      <c r="J131" s="21">
        <f>SUM(DataTbl[[#This Row],[Likes]:[Shares]])</f>
        <v>11</v>
      </c>
      <c r="K131" s="24">
        <f>DataTbl[[#This Row],[Engagement]]/DataTbl[[#This Row],[Views]]</f>
        <v>6.6666666666666666E-2</v>
      </c>
      <c r="L131" s="21">
        <f>SUM(DataTbl[[#This Row],[Profile Visits]:[New Followers]])</f>
        <v>12</v>
      </c>
    </row>
    <row r="132" spans="1:12" x14ac:dyDescent="0.3">
      <c r="A132" s="42">
        <v>45693</v>
      </c>
      <c r="B132" s="21">
        <v>205</v>
      </c>
      <c r="C132" s="21">
        <v>7175</v>
      </c>
      <c r="D132" s="21">
        <v>6</v>
      </c>
      <c r="E132" s="21">
        <v>3</v>
      </c>
      <c r="F132" s="21">
        <v>1</v>
      </c>
      <c r="G132" s="21">
        <v>1</v>
      </c>
      <c r="H132" s="21">
        <v>16</v>
      </c>
      <c r="I132" s="21">
        <v>2</v>
      </c>
      <c r="J132" s="21">
        <f>SUM(DataTbl[[#This Row],[Likes]:[Shares]])</f>
        <v>11</v>
      </c>
      <c r="K132" s="24">
        <f>DataTbl[[#This Row],[Engagement]]/DataTbl[[#This Row],[Views]]</f>
        <v>5.3658536585365853E-2</v>
      </c>
      <c r="L132" s="21">
        <f>SUM(DataTbl[[#This Row],[Profile Visits]:[New Followers]])</f>
        <v>18</v>
      </c>
    </row>
    <row r="133" spans="1:12" x14ac:dyDescent="0.3">
      <c r="A133" s="42">
        <v>45694</v>
      </c>
      <c r="B133" s="21">
        <v>199</v>
      </c>
      <c r="C133" s="21">
        <v>5970</v>
      </c>
      <c r="D133" s="21">
        <v>9</v>
      </c>
      <c r="E133" s="21">
        <v>3</v>
      </c>
      <c r="F133" s="21">
        <v>1</v>
      </c>
      <c r="G133" s="21">
        <v>1</v>
      </c>
      <c r="H133" s="21">
        <v>11</v>
      </c>
      <c r="I133" s="21">
        <v>2</v>
      </c>
      <c r="J133" s="21">
        <f>SUM(DataTbl[[#This Row],[Likes]:[Shares]])</f>
        <v>14</v>
      </c>
      <c r="K133" s="24">
        <f>DataTbl[[#This Row],[Engagement]]/DataTbl[[#This Row],[Views]]</f>
        <v>7.0351758793969849E-2</v>
      </c>
      <c r="L133" s="21">
        <f>SUM(DataTbl[[#This Row],[Profile Visits]:[New Followers]])</f>
        <v>13</v>
      </c>
    </row>
    <row r="134" spans="1:12" x14ac:dyDescent="0.3">
      <c r="A134" s="42">
        <v>45695</v>
      </c>
      <c r="B134" s="21">
        <v>163</v>
      </c>
      <c r="C134" s="21">
        <v>3097</v>
      </c>
      <c r="D134" s="21">
        <v>4</v>
      </c>
      <c r="E134" s="21">
        <v>2</v>
      </c>
      <c r="F134" s="21">
        <v>1</v>
      </c>
      <c r="G134" s="21">
        <v>0</v>
      </c>
      <c r="H134" s="21">
        <v>11</v>
      </c>
      <c r="I134" s="21">
        <v>2</v>
      </c>
      <c r="J134" s="21">
        <f>SUM(DataTbl[[#This Row],[Likes]:[Shares]])</f>
        <v>7</v>
      </c>
      <c r="K134" s="24">
        <f>DataTbl[[#This Row],[Engagement]]/DataTbl[[#This Row],[Views]]</f>
        <v>4.2944785276073622E-2</v>
      </c>
      <c r="L134" s="21">
        <f>SUM(DataTbl[[#This Row],[Profile Visits]:[New Followers]])</f>
        <v>13</v>
      </c>
    </row>
    <row r="135" spans="1:12" x14ac:dyDescent="0.3">
      <c r="A135" s="42">
        <v>45696</v>
      </c>
      <c r="B135" s="21">
        <v>206</v>
      </c>
      <c r="C135" s="21">
        <v>6386</v>
      </c>
      <c r="D135" s="21">
        <v>7</v>
      </c>
      <c r="E135" s="21">
        <v>2</v>
      </c>
      <c r="F135" s="21">
        <v>1</v>
      </c>
      <c r="G135" s="21">
        <v>1</v>
      </c>
      <c r="H135" s="21">
        <v>9</v>
      </c>
      <c r="I135" s="21">
        <v>2</v>
      </c>
      <c r="J135" s="21">
        <f>SUM(DataTbl[[#This Row],[Likes]:[Shares]])</f>
        <v>11</v>
      </c>
      <c r="K135" s="24">
        <f>DataTbl[[#This Row],[Engagement]]/DataTbl[[#This Row],[Views]]</f>
        <v>5.3398058252427182E-2</v>
      </c>
      <c r="L135" s="21">
        <f>SUM(DataTbl[[#This Row],[Profile Visits]:[New Followers]])</f>
        <v>11</v>
      </c>
    </row>
    <row r="136" spans="1:12" x14ac:dyDescent="0.3">
      <c r="A136" s="42">
        <v>45697</v>
      </c>
      <c r="B136" s="21">
        <v>196</v>
      </c>
      <c r="C136" s="21">
        <v>6664</v>
      </c>
      <c r="D136" s="21">
        <v>8</v>
      </c>
      <c r="E136" s="21">
        <v>3</v>
      </c>
      <c r="F136" s="21">
        <v>1</v>
      </c>
      <c r="G136" s="21">
        <v>1</v>
      </c>
      <c r="H136" s="21">
        <v>10</v>
      </c>
      <c r="I136" s="21">
        <v>2</v>
      </c>
      <c r="J136" s="21">
        <f>SUM(DataTbl[[#This Row],[Likes]:[Shares]])</f>
        <v>13</v>
      </c>
      <c r="K136" s="24">
        <f>DataTbl[[#This Row],[Engagement]]/DataTbl[[#This Row],[Views]]</f>
        <v>6.6326530612244902E-2</v>
      </c>
      <c r="L136" s="21">
        <f>SUM(DataTbl[[#This Row],[Profile Visits]:[New Followers]])</f>
        <v>12</v>
      </c>
    </row>
    <row r="137" spans="1:12" x14ac:dyDescent="0.3">
      <c r="A137" s="42">
        <v>45698</v>
      </c>
      <c r="B137" s="21">
        <v>203</v>
      </c>
      <c r="C137" s="21">
        <v>5684</v>
      </c>
      <c r="D137" s="21">
        <v>6</v>
      </c>
      <c r="E137" s="21">
        <v>2</v>
      </c>
      <c r="F137" s="21">
        <v>1</v>
      </c>
      <c r="G137" s="21">
        <v>1</v>
      </c>
      <c r="H137" s="21">
        <v>14</v>
      </c>
      <c r="I137" s="21">
        <v>3</v>
      </c>
      <c r="J137" s="21">
        <f>SUM(DataTbl[[#This Row],[Likes]:[Shares]])</f>
        <v>10</v>
      </c>
      <c r="K137" s="24">
        <f>DataTbl[[#This Row],[Engagement]]/DataTbl[[#This Row],[Views]]</f>
        <v>4.9261083743842367E-2</v>
      </c>
      <c r="L137" s="21">
        <f>SUM(DataTbl[[#This Row],[Profile Visits]:[New Followers]])</f>
        <v>17</v>
      </c>
    </row>
    <row r="138" spans="1:12" x14ac:dyDescent="0.3">
      <c r="A138" s="42">
        <v>45699</v>
      </c>
      <c r="B138" s="21">
        <v>209</v>
      </c>
      <c r="C138" s="21">
        <v>3971</v>
      </c>
      <c r="D138" s="21">
        <v>9</v>
      </c>
      <c r="E138" s="21">
        <v>3</v>
      </c>
      <c r="F138" s="21">
        <v>1</v>
      </c>
      <c r="G138" s="21">
        <v>1</v>
      </c>
      <c r="H138" s="21">
        <v>13</v>
      </c>
      <c r="I138" s="21">
        <v>2</v>
      </c>
      <c r="J138" s="21">
        <f>SUM(DataTbl[[#This Row],[Likes]:[Shares]])</f>
        <v>14</v>
      </c>
      <c r="K138" s="24">
        <f>DataTbl[[#This Row],[Engagement]]/DataTbl[[#This Row],[Views]]</f>
        <v>6.6985645933014357E-2</v>
      </c>
      <c r="L138" s="21">
        <f>SUM(DataTbl[[#This Row],[Profile Visits]:[New Followers]])</f>
        <v>15</v>
      </c>
    </row>
    <row r="139" spans="1:12" x14ac:dyDescent="0.3">
      <c r="A139" s="42">
        <v>45700</v>
      </c>
      <c r="B139" s="21">
        <v>176</v>
      </c>
      <c r="C139" s="21">
        <v>4224</v>
      </c>
      <c r="D139" s="21">
        <v>7</v>
      </c>
      <c r="E139" s="21">
        <v>3</v>
      </c>
      <c r="F139" s="21">
        <v>1</v>
      </c>
      <c r="G139" s="21">
        <v>1</v>
      </c>
      <c r="H139" s="21">
        <v>8</v>
      </c>
      <c r="I139" s="21">
        <v>1</v>
      </c>
      <c r="J139" s="21">
        <f>SUM(DataTbl[[#This Row],[Likes]:[Shares]])</f>
        <v>12</v>
      </c>
      <c r="K139" s="24">
        <f>DataTbl[[#This Row],[Engagement]]/DataTbl[[#This Row],[Views]]</f>
        <v>6.8181818181818177E-2</v>
      </c>
      <c r="L139" s="21">
        <f>SUM(DataTbl[[#This Row],[Profile Visits]:[New Followers]])</f>
        <v>9</v>
      </c>
    </row>
    <row r="140" spans="1:12" x14ac:dyDescent="0.3">
      <c r="A140" s="42">
        <v>45701</v>
      </c>
      <c r="B140" s="21">
        <v>355</v>
      </c>
      <c r="C140" s="21">
        <v>9585</v>
      </c>
      <c r="D140" s="21">
        <v>12</v>
      </c>
      <c r="E140" s="21">
        <v>5</v>
      </c>
      <c r="F140" s="21">
        <v>2</v>
      </c>
      <c r="G140" s="21">
        <v>2</v>
      </c>
      <c r="H140" s="21">
        <v>25</v>
      </c>
      <c r="I140" s="21">
        <v>3</v>
      </c>
      <c r="J140" s="21">
        <f>SUM(DataTbl[[#This Row],[Likes]:[Shares]])</f>
        <v>21</v>
      </c>
      <c r="K140" s="24">
        <f>DataTbl[[#This Row],[Engagement]]/DataTbl[[#This Row],[Views]]</f>
        <v>5.9154929577464786E-2</v>
      </c>
      <c r="L140" s="21">
        <f>SUM(DataTbl[[#This Row],[Profile Visits]:[New Followers]])</f>
        <v>28</v>
      </c>
    </row>
    <row r="141" spans="1:12" x14ac:dyDescent="0.3">
      <c r="A141" s="42">
        <v>45702</v>
      </c>
      <c r="B141" s="21">
        <v>483</v>
      </c>
      <c r="C141" s="21">
        <v>12075</v>
      </c>
      <c r="D141" s="21">
        <v>11</v>
      </c>
      <c r="E141" s="21">
        <v>5</v>
      </c>
      <c r="F141" s="21">
        <v>1</v>
      </c>
      <c r="G141" s="21">
        <v>1</v>
      </c>
      <c r="H141" s="21">
        <v>34</v>
      </c>
      <c r="I141" s="21">
        <v>11</v>
      </c>
      <c r="J141" s="21">
        <f>SUM(DataTbl[[#This Row],[Likes]:[Shares]])</f>
        <v>18</v>
      </c>
      <c r="K141" s="24">
        <f>DataTbl[[#This Row],[Engagement]]/DataTbl[[#This Row],[Views]]</f>
        <v>3.7267080745341616E-2</v>
      </c>
      <c r="L141" s="21">
        <f>SUM(DataTbl[[#This Row],[Profile Visits]:[New Followers]])</f>
        <v>45</v>
      </c>
    </row>
    <row r="142" spans="1:12" x14ac:dyDescent="0.3">
      <c r="A142" s="42">
        <v>45703</v>
      </c>
      <c r="B142" s="21">
        <v>378</v>
      </c>
      <c r="C142" s="21">
        <v>8316</v>
      </c>
      <c r="D142" s="21">
        <v>9</v>
      </c>
      <c r="E142" s="21">
        <v>3</v>
      </c>
      <c r="F142" s="21">
        <v>1</v>
      </c>
      <c r="G142" s="21">
        <v>1</v>
      </c>
      <c r="H142" s="21">
        <v>17</v>
      </c>
      <c r="I142" s="21">
        <v>5</v>
      </c>
      <c r="J142" s="21">
        <f>SUM(DataTbl[[#This Row],[Likes]:[Shares]])</f>
        <v>14</v>
      </c>
      <c r="K142" s="24">
        <f>DataTbl[[#This Row],[Engagement]]/DataTbl[[#This Row],[Views]]</f>
        <v>3.7037037037037035E-2</v>
      </c>
      <c r="L142" s="21">
        <f>SUM(DataTbl[[#This Row],[Profile Visits]:[New Followers]])</f>
        <v>22</v>
      </c>
    </row>
    <row r="143" spans="1:12" x14ac:dyDescent="0.3">
      <c r="A143" s="42">
        <v>45704</v>
      </c>
      <c r="B143" s="21">
        <v>252</v>
      </c>
      <c r="C143" s="21">
        <v>8820</v>
      </c>
      <c r="D143" s="21">
        <v>6</v>
      </c>
      <c r="E143" s="21">
        <v>3</v>
      </c>
      <c r="F143" s="21">
        <v>1</v>
      </c>
      <c r="G143" s="21">
        <v>1</v>
      </c>
      <c r="H143" s="21">
        <v>16</v>
      </c>
      <c r="I143" s="21">
        <v>2</v>
      </c>
      <c r="J143" s="21">
        <f>SUM(DataTbl[[#This Row],[Likes]:[Shares]])</f>
        <v>11</v>
      </c>
      <c r="K143" s="24">
        <f>DataTbl[[#This Row],[Engagement]]/DataTbl[[#This Row],[Views]]</f>
        <v>4.3650793650793648E-2</v>
      </c>
      <c r="L143" s="21">
        <f>SUM(DataTbl[[#This Row],[Profile Visits]:[New Followers]])</f>
        <v>18</v>
      </c>
    </row>
    <row r="144" spans="1:12" x14ac:dyDescent="0.3">
      <c r="A144" s="42">
        <v>45705</v>
      </c>
      <c r="B144" s="21">
        <v>215</v>
      </c>
      <c r="C144" s="21">
        <v>5590</v>
      </c>
      <c r="D144" s="21">
        <v>9</v>
      </c>
      <c r="E144" s="21">
        <v>4</v>
      </c>
      <c r="F144" s="21">
        <v>2</v>
      </c>
      <c r="G144" s="21">
        <v>1</v>
      </c>
      <c r="H144" s="21">
        <v>15</v>
      </c>
      <c r="I144" s="21">
        <v>2</v>
      </c>
      <c r="J144" s="21">
        <f>SUM(DataTbl[[#This Row],[Likes]:[Shares]])</f>
        <v>16</v>
      </c>
      <c r="K144" s="24">
        <f>DataTbl[[#This Row],[Engagement]]/DataTbl[[#This Row],[Views]]</f>
        <v>7.441860465116279E-2</v>
      </c>
      <c r="L144" s="21">
        <f>SUM(DataTbl[[#This Row],[Profile Visits]:[New Followers]])</f>
        <v>17</v>
      </c>
    </row>
    <row r="145" spans="1:12" x14ac:dyDescent="0.3">
      <c r="A145" s="42">
        <v>45706</v>
      </c>
      <c r="B145" s="21">
        <v>717</v>
      </c>
      <c r="C145" s="21">
        <v>20793</v>
      </c>
      <c r="D145" s="21">
        <v>21</v>
      </c>
      <c r="E145" s="21">
        <v>10</v>
      </c>
      <c r="F145" s="21">
        <v>2</v>
      </c>
      <c r="G145" s="21">
        <v>2</v>
      </c>
      <c r="H145" s="21">
        <v>49</v>
      </c>
      <c r="I145" s="21">
        <v>10</v>
      </c>
      <c r="J145" s="21">
        <f>SUM(DataTbl[[#This Row],[Likes]:[Shares]])</f>
        <v>35</v>
      </c>
      <c r="K145" s="24">
        <f>DataTbl[[#This Row],[Engagement]]/DataTbl[[#This Row],[Views]]</f>
        <v>4.8814504881450491E-2</v>
      </c>
      <c r="L145" s="21">
        <f>SUM(DataTbl[[#This Row],[Profile Visits]:[New Followers]])</f>
        <v>59</v>
      </c>
    </row>
    <row r="146" spans="1:12" x14ac:dyDescent="0.3">
      <c r="A146" s="42">
        <v>45707</v>
      </c>
      <c r="B146" s="21">
        <v>215</v>
      </c>
      <c r="C146" s="21">
        <v>6665</v>
      </c>
      <c r="D146" s="21">
        <v>8</v>
      </c>
      <c r="E146" s="21">
        <v>3</v>
      </c>
      <c r="F146" s="21">
        <v>1</v>
      </c>
      <c r="G146" s="21">
        <v>1</v>
      </c>
      <c r="H146" s="21">
        <v>12</v>
      </c>
      <c r="I146" s="21">
        <v>2</v>
      </c>
      <c r="J146" s="21">
        <f>SUM(DataTbl[[#This Row],[Likes]:[Shares]])</f>
        <v>13</v>
      </c>
      <c r="K146" s="24">
        <f>DataTbl[[#This Row],[Engagement]]/DataTbl[[#This Row],[Views]]</f>
        <v>6.0465116279069767E-2</v>
      </c>
      <c r="L146" s="21">
        <f>SUM(DataTbl[[#This Row],[Profile Visits]:[New Followers]])</f>
        <v>14</v>
      </c>
    </row>
    <row r="147" spans="1:12" x14ac:dyDescent="0.3">
      <c r="A147" s="42">
        <v>45708</v>
      </c>
      <c r="B147" s="21">
        <v>206</v>
      </c>
      <c r="C147" s="21">
        <v>3708</v>
      </c>
      <c r="D147" s="21">
        <v>7</v>
      </c>
      <c r="E147" s="21">
        <v>3</v>
      </c>
      <c r="F147" s="21">
        <v>1</v>
      </c>
      <c r="G147" s="21">
        <v>1</v>
      </c>
      <c r="H147" s="21">
        <v>14</v>
      </c>
      <c r="I147" s="21">
        <v>2</v>
      </c>
      <c r="J147" s="21">
        <f>SUM(DataTbl[[#This Row],[Likes]:[Shares]])</f>
        <v>12</v>
      </c>
      <c r="K147" s="24">
        <f>DataTbl[[#This Row],[Engagement]]/DataTbl[[#This Row],[Views]]</f>
        <v>5.8252427184466021E-2</v>
      </c>
      <c r="L147" s="21">
        <f>SUM(DataTbl[[#This Row],[Profile Visits]:[New Followers]])</f>
        <v>16</v>
      </c>
    </row>
    <row r="148" spans="1:12" x14ac:dyDescent="0.3">
      <c r="A148" s="42">
        <v>45709</v>
      </c>
      <c r="B148" s="21">
        <v>207</v>
      </c>
      <c r="C148" s="21">
        <v>4554</v>
      </c>
      <c r="D148" s="21">
        <v>7</v>
      </c>
      <c r="E148" s="21">
        <v>2</v>
      </c>
      <c r="F148" s="21">
        <v>1</v>
      </c>
      <c r="G148" s="21">
        <v>1</v>
      </c>
      <c r="H148" s="21">
        <v>9</v>
      </c>
      <c r="I148" s="21">
        <v>1</v>
      </c>
      <c r="J148" s="21">
        <f>SUM(DataTbl[[#This Row],[Likes]:[Shares]])</f>
        <v>11</v>
      </c>
      <c r="K148" s="24">
        <f>DataTbl[[#This Row],[Engagement]]/DataTbl[[#This Row],[Views]]</f>
        <v>5.3140096618357488E-2</v>
      </c>
      <c r="L148" s="21">
        <f>SUM(DataTbl[[#This Row],[Profile Visits]:[New Followers]])</f>
        <v>10</v>
      </c>
    </row>
    <row r="149" spans="1:12" x14ac:dyDescent="0.3">
      <c r="A149" s="42">
        <v>45710</v>
      </c>
      <c r="B149" s="21">
        <v>291</v>
      </c>
      <c r="C149" s="21">
        <v>6402</v>
      </c>
      <c r="D149" s="21">
        <v>13</v>
      </c>
      <c r="E149" s="21">
        <v>4</v>
      </c>
      <c r="F149" s="21">
        <v>1</v>
      </c>
      <c r="G149" s="21">
        <v>2</v>
      </c>
      <c r="H149" s="21">
        <v>13</v>
      </c>
      <c r="I149" s="21">
        <v>3</v>
      </c>
      <c r="J149" s="21">
        <f>SUM(DataTbl[[#This Row],[Likes]:[Shares]])</f>
        <v>20</v>
      </c>
      <c r="K149" s="24">
        <f>DataTbl[[#This Row],[Engagement]]/DataTbl[[#This Row],[Views]]</f>
        <v>6.8728522336769765E-2</v>
      </c>
      <c r="L149" s="21">
        <f>SUM(DataTbl[[#This Row],[Profile Visits]:[New Followers]])</f>
        <v>16</v>
      </c>
    </row>
    <row r="150" spans="1:12" x14ac:dyDescent="0.3">
      <c r="A150" s="42">
        <v>45711</v>
      </c>
      <c r="B150" s="21">
        <v>229</v>
      </c>
      <c r="C150" s="21">
        <v>6641</v>
      </c>
      <c r="D150" s="21">
        <v>7</v>
      </c>
      <c r="E150" s="21">
        <v>3</v>
      </c>
      <c r="F150" s="21">
        <v>1</v>
      </c>
      <c r="G150" s="21">
        <v>1</v>
      </c>
      <c r="H150" s="21">
        <v>13</v>
      </c>
      <c r="I150" s="21">
        <v>2</v>
      </c>
      <c r="J150" s="21">
        <f>SUM(DataTbl[[#This Row],[Likes]:[Shares]])</f>
        <v>12</v>
      </c>
      <c r="K150" s="24">
        <f>DataTbl[[#This Row],[Engagement]]/DataTbl[[#This Row],[Views]]</f>
        <v>5.2401746724890827E-2</v>
      </c>
      <c r="L150" s="21">
        <f>SUM(DataTbl[[#This Row],[Profile Visits]:[New Followers]])</f>
        <v>15</v>
      </c>
    </row>
    <row r="151" spans="1:12" x14ac:dyDescent="0.3">
      <c r="A151" s="42">
        <v>45712</v>
      </c>
      <c r="B151" s="21">
        <v>205</v>
      </c>
      <c r="C151" s="21">
        <v>5740</v>
      </c>
      <c r="D151" s="21">
        <v>9</v>
      </c>
      <c r="E151" s="21">
        <v>3</v>
      </c>
      <c r="F151" s="21">
        <v>1</v>
      </c>
      <c r="G151" s="21">
        <v>1</v>
      </c>
      <c r="H151" s="21">
        <v>10</v>
      </c>
      <c r="I151" s="21">
        <v>2</v>
      </c>
      <c r="J151" s="21">
        <f>SUM(DataTbl[[#This Row],[Likes]:[Shares]])</f>
        <v>14</v>
      </c>
      <c r="K151" s="24">
        <f>DataTbl[[#This Row],[Engagement]]/DataTbl[[#This Row],[Views]]</f>
        <v>6.8292682926829273E-2</v>
      </c>
      <c r="L151" s="21">
        <f>SUM(DataTbl[[#This Row],[Profile Visits]:[New Followers]])</f>
        <v>12</v>
      </c>
    </row>
    <row r="152" spans="1:12" x14ac:dyDescent="0.3">
      <c r="A152" s="42">
        <v>45713</v>
      </c>
      <c r="B152" s="21">
        <v>221</v>
      </c>
      <c r="C152" s="21">
        <v>5304</v>
      </c>
      <c r="D152" s="21">
        <v>7</v>
      </c>
      <c r="E152" s="21">
        <v>3</v>
      </c>
      <c r="F152" s="21">
        <v>1</v>
      </c>
      <c r="G152" s="21">
        <v>1</v>
      </c>
      <c r="H152" s="21">
        <v>15</v>
      </c>
      <c r="I152" s="21">
        <v>2</v>
      </c>
      <c r="J152" s="21">
        <f>SUM(DataTbl[[#This Row],[Likes]:[Shares]])</f>
        <v>12</v>
      </c>
      <c r="K152" s="24">
        <f>DataTbl[[#This Row],[Engagement]]/DataTbl[[#This Row],[Views]]</f>
        <v>5.4298642533936653E-2</v>
      </c>
      <c r="L152" s="21">
        <f>SUM(DataTbl[[#This Row],[Profile Visits]:[New Followers]])</f>
        <v>17</v>
      </c>
    </row>
    <row r="153" spans="1:12" x14ac:dyDescent="0.3">
      <c r="A153" s="42">
        <v>45714</v>
      </c>
      <c r="B153" s="21">
        <v>214</v>
      </c>
      <c r="C153" s="21">
        <v>6848</v>
      </c>
      <c r="D153" s="21">
        <v>8</v>
      </c>
      <c r="E153" s="21">
        <v>4</v>
      </c>
      <c r="F153" s="21">
        <v>1</v>
      </c>
      <c r="G153" s="21">
        <v>1</v>
      </c>
      <c r="H153" s="21">
        <v>16</v>
      </c>
      <c r="I153" s="21">
        <v>3</v>
      </c>
      <c r="J153" s="21">
        <f>SUM(DataTbl[[#This Row],[Likes]:[Shares]])</f>
        <v>14</v>
      </c>
      <c r="K153" s="24">
        <f>DataTbl[[#This Row],[Engagement]]/DataTbl[[#This Row],[Views]]</f>
        <v>6.5420560747663545E-2</v>
      </c>
      <c r="L153" s="21">
        <f>SUM(DataTbl[[#This Row],[Profile Visits]:[New Followers]])</f>
        <v>19</v>
      </c>
    </row>
    <row r="154" spans="1:12" x14ac:dyDescent="0.3">
      <c r="A154" s="42">
        <v>45715</v>
      </c>
      <c r="B154" s="21">
        <v>192</v>
      </c>
      <c r="C154" s="21">
        <v>3648</v>
      </c>
      <c r="D154" s="21">
        <v>9</v>
      </c>
      <c r="E154" s="21">
        <v>3</v>
      </c>
      <c r="F154" s="21">
        <v>1</v>
      </c>
      <c r="G154" s="21">
        <v>1</v>
      </c>
      <c r="H154" s="21">
        <v>10</v>
      </c>
      <c r="I154" s="21">
        <v>1</v>
      </c>
      <c r="J154" s="21">
        <f>SUM(DataTbl[[#This Row],[Likes]:[Shares]])</f>
        <v>14</v>
      </c>
      <c r="K154" s="24">
        <f>DataTbl[[#This Row],[Engagement]]/DataTbl[[#This Row],[Views]]</f>
        <v>7.2916666666666671E-2</v>
      </c>
      <c r="L154" s="21">
        <f>SUM(DataTbl[[#This Row],[Profile Visits]:[New Followers]])</f>
        <v>11</v>
      </c>
    </row>
    <row r="155" spans="1:12" x14ac:dyDescent="0.3">
      <c r="A155" s="42">
        <v>45716</v>
      </c>
      <c r="B155" s="21">
        <v>233</v>
      </c>
      <c r="C155" s="21">
        <v>4893</v>
      </c>
      <c r="D155" s="21">
        <v>8</v>
      </c>
      <c r="E155" s="21">
        <v>3</v>
      </c>
      <c r="F155" s="21">
        <v>1</v>
      </c>
      <c r="G155" s="21">
        <v>1</v>
      </c>
      <c r="H155" s="21">
        <v>17</v>
      </c>
      <c r="I155" s="21">
        <v>3</v>
      </c>
      <c r="J155" s="21">
        <f>SUM(DataTbl[[#This Row],[Likes]:[Shares]])</f>
        <v>13</v>
      </c>
      <c r="K155" s="24">
        <f>DataTbl[[#This Row],[Engagement]]/DataTbl[[#This Row],[Views]]</f>
        <v>5.5793991416309016E-2</v>
      </c>
      <c r="L155" s="21">
        <f>SUM(DataTbl[[#This Row],[Profile Visits]:[New Followers]])</f>
        <v>20</v>
      </c>
    </row>
    <row r="156" spans="1:12" x14ac:dyDescent="0.3">
      <c r="A156" s="42">
        <v>45717</v>
      </c>
      <c r="B156" s="21">
        <v>246</v>
      </c>
      <c r="C156" s="21">
        <v>8364</v>
      </c>
      <c r="D156" s="21">
        <v>6</v>
      </c>
      <c r="E156" s="21">
        <v>2</v>
      </c>
      <c r="F156" s="21">
        <v>1</v>
      </c>
      <c r="G156" s="21">
        <v>1</v>
      </c>
      <c r="H156" s="21">
        <v>11</v>
      </c>
      <c r="I156" s="21">
        <v>2</v>
      </c>
      <c r="J156" s="21">
        <f>SUM(DataTbl[[#This Row],[Likes]:[Shares]])</f>
        <v>10</v>
      </c>
      <c r="K156" s="24">
        <f>DataTbl[[#This Row],[Engagement]]/DataTbl[[#This Row],[Views]]</f>
        <v>4.065040650406504E-2</v>
      </c>
      <c r="L156" s="21">
        <f>SUM(DataTbl[[#This Row],[Profile Visits]:[New Followers]])</f>
        <v>13</v>
      </c>
    </row>
    <row r="157" spans="1:12" x14ac:dyDescent="0.3">
      <c r="A157" s="42">
        <v>45718</v>
      </c>
      <c r="B157" s="21">
        <v>265</v>
      </c>
      <c r="C157" s="21">
        <v>8215</v>
      </c>
      <c r="D157" s="21">
        <v>9</v>
      </c>
      <c r="E157" s="21">
        <v>4</v>
      </c>
      <c r="F157" s="21">
        <v>1</v>
      </c>
      <c r="G157" s="21">
        <v>1</v>
      </c>
      <c r="H157" s="21">
        <v>20</v>
      </c>
      <c r="I157" s="21">
        <v>3</v>
      </c>
      <c r="J157" s="21">
        <f>SUM(DataTbl[[#This Row],[Likes]:[Shares]])</f>
        <v>15</v>
      </c>
      <c r="K157" s="24">
        <f>DataTbl[[#This Row],[Engagement]]/DataTbl[[#This Row],[Views]]</f>
        <v>5.6603773584905662E-2</v>
      </c>
      <c r="L157" s="21">
        <f>SUM(DataTbl[[#This Row],[Profile Visits]:[New Followers]])</f>
        <v>23</v>
      </c>
    </row>
    <row r="158" spans="1:12" x14ac:dyDescent="0.3">
      <c r="A158" s="42">
        <v>45719</v>
      </c>
      <c r="B158" s="21">
        <v>268</v>
      </c>
      <c r="C158" s="21">
        <v>8844</v>
      </c>
      <c r="D158" s="21">
        <v>7</v>
      </c>
      <c r="E158" s="21">
        <v>3</v>
      </c>
      <c r="F158" s="21">
        <v>1</v>
      </c>
      <c r="G158" s="21">
        <v>1</v>
      </c>
      <c r="H158" s="21">
        <v>19</v>
      </c>
      <c r="I158" s="21">
        <v>3</v>
      </c>
      <c r="J158" s="21">
        <f>SUM(DataTbl[[#This Row],[Likes]:[Shares]])</f>
        <v>12</v>
      </c>
      <c r="K158" s="24">
        <f>DataTbl[[#This Row],[Engagement]]/DataTbl[[#This Row],[Views]]</f>
        <v>4.4776119402985072E-2</v>
      </c>
      <c r="L158" s="21">
        <f>SUM(DataTbl[[#This Row],[Profile Visits]:[New Followers]])</f>
        <v>22</v>
      </c>
    </row>
    <row r="159" spans="1:12" x14ac:dyDescent="0.3">
      <c r="A159" s="42">
        <v>45720</v>
      </c>
      <c r="B159" s="21">
        <v>218</v>
      </c>
      <c r="C159" s="21">
        <v>6976</v>
      </c>
      <c r="D159" s="21">
        <v>5</v>
      </c>
      <c r="E159" s="21">
        <v>3</v>
      </c>
      <c r="F159" s="21">
        <v>1</v>
      </c>
      <c r="G159" s="21">
        <v>1</v>
      </c>
      <c r="H159" s="21">
        <v>17</v>
      </c>
      <c r="I159" s="21">
        <v>2</v>
      </c>
      <c r="J159" s="21">
        <f>SUM(DataTbl[[#This Row],[Likes]:[Shares]])</f>
        <v>10</v>
      </c>
      <c r="K159" s="24">
        <f>DataTbl[[#This Row],[Engagement]]/DataTbl[[#This Row],[Views]]</f>
        <v>4.5871559633027525E-2</v>
      </c>
      <c r="L159" s="21">
        <f>SUM(DataTbl[[#This Row],[Profile Visits]:[New Followers]])</f>
        <v>19</v>
      </c>
    </row>
    <row r="160" spans="1:12" x14ac:dyDescent="0.3">
      <c r="A160" s="42">
        <v>45721</v>
      </c>
      <c r="B160" s="21">
        <v>273</v>
      </c>
      <c r="C160" s="21">
        <v>7371</v>
      </c>
      <c r="D160" s="21">
        <v>11</v>
      </c>
      <c r="E160" s="21">
        <v>4</v>
      </c>
      <c r="F160" s="21">
        <v>1</v>
      </c>
      <c r="G160" s="21">
        <v>2</v>
      </c>
      <c r="H160" s="21">
        <v>18</v>
      </c>
      <c r="I160" s="21">
        <v>2</v>
      </c>
      <c r="J160" s="21">
        <f>SUM(DataTbl[[#This Row],[Likes]:[Shares]])</f>
        <v>18</v>
      </c>
      <c r="K160" s="24">
        <f>DataTbl[[#This Row],[Engagement]]/DataTbl[[#This Row],[Views]]</f>
        <v>6.5934065934065936E-2</v>
      </c>
      <c r="L160" s="21">
        <f>SUM(DataTbl[[#This Row],[Profile Visits]:[New Followers]])</f>
        <v>20</v>
      </c>
    </row>
    <row r="161" spans="1:12" x14ac:dyDescent="0.3">
      <c r="A161" s="42">
        <v>45722</v>
      </c>
      <c r="B161" s="21">
        <v>247</v>
      </c>
      <c r="C161" s="21">
        <v>6669</v>
      </c>
      <c r="D161" s="21">
        <v>6</v>
      </c>
      <c r="E161" s="21">
        <v>2</v>
      </c>
      <c r="F161" s="21">
        <v>0</v>
      </c>
      <c r="G161" s="21">
        <v>0</v>
      </c>
      <c r="H161" s="21">
        <v>12</v>
      </c>
      <c r="I161" s="21">
        <v>2</v>
      </c>
      <c r="J161" s="21">
        <f>SUM(DataTbl[[#This Row],[Likes]:[Shares]])</f>
        <v>8</v>
      </c>
      <c r="K161" s="24">
        <f>DataTbl[[#This Row],[Engagement]]/DataTbl[[#This Row],[Views]]</f>
        <v>3.2388663967611336E-2</v>
      </c>
      <c r="L161" s="21">
        <f>SUM(DataTbl[[#This Row],[Profile Visits]:[New Followers]])</f>
        <v>14</v>
      </c>
    </row>
    <row r="162" spans="1:12" x14ac:dyDescent="0.3">
      <c r="A162" s="42">
        <v>45723</v>
      </c>
      <c r="B162" s="21">
        <v>414</v>
      </c>
      <c r="C162" s="21">
        <v>7866</v>
      </c>
      <c r="D162" s="21">
        <v>17</v>
      </c>
      <c r="E162" s="21">
        <v>6</v>
      </c>
      <c r="F162" s="21">
        <v>2</v>
      </c>
      <c r="G162" s="21">
        <v>3</v>
      </c>
      <c r="H162" s="21">
        <v>22</v>
      </c>
      <c r="I162" s="21">
        <v>7</v>
      </c>
      <c r="J162" s="21">
        <f>SUM(DataTbl[[#This Row],[Likes]:[Shares]])</f>
        <v>28</v>
      </c>
      <c r="K162" s="24">
        <f>DataTbl[[#This Row],[Engagement]]/DataTbl[[#This Row],[Views]]</f>
        <v>6.7632850241545889E-2</v>
      </c>
      <c r="L162" s="21">
        <f>SUM(DataTbl[[#This Row],[Profile Visits]:[New Followers]])</f>
        <v>29</v>
      </c>
    </row>
    <row r="163" spans="1:12" x14ac:dyDescent="0.3">
      <c r="A163" s="42">
        <v>45724</v>
      </c>
      <c r="B163" s="21">
        <v>590</v>
      </c>
      <c r="C163" s="21">
        <v>16520</v>
      </c>
      <c r="D163" s="21">
        <v>24</v>
      </c>
      <c r="E163" s="21">
        <v>12</v>
      </c>
      <c r="F163" s="21">
        <v>3</v>
      </c>
      <c r="G163" s="21">
        <v>3</v>
      </c>
      <c r="H163" s="21">
        <v>29</v>
      </c>
      <c r="I163" s="21">
        <v>9</v>
      </c>
      <c r="J163" s="21">
        <f>SUM(DataTbl[[#This Row],[Likes]:[Shares]])</f>
        <v>42</v>
      </c>
      <c r="K163" s="24">
        <f>DataTbl[[#This Row],[Engagement]]/DataTbl[[#This Row],[Views]]</f>
        <v>7.1186440677966104E-2</v>
      </c>
      <c r="L163" s="21">
        <f>SUM(DataTbl[[#This Row],[Profile Visits]:[New Followers]])</f>
        <v>38</v>
      </c>
    </row>
    <row r="164" spans="1:12" x14ac:dyDescent="0.3">
      <c r="A164" s="42">
        <v>45725</v>
      </c>
      <c r="B164" s="21">
        <v>335</v>
      </c>
      <c r="C164" s="21">
        <v>9715</v>
      </c>
      <c r="D164" s="21">
        <v>11</v>
      </c>
      <c r="E164" s="21">
        <v>5</v>
      </c>
      <c r="F164" s="21">
        <v>2</v>
      </c>
      <c r="G164" s="21">
        <v>2</v>
      </c>
      <c r="H164" s="21">
        <v>19</v>
      </c>
      <c r="I164" s="21">
        <v>2</v>
      </c>
      <c r="J164" s="21">
        <f>SUM(DataTbl[[#This Row],[Likes]:[Shares]])</f>
        <v>20</v>
      </c>
      <c r="K164" s="24">
        <f>DataTbl[[#This Row],[Engagement]]/DataTbl[[#This Row],[Views]]</f>
        <v>5.9701492537313432E-2</v>
      </c>
      <c r="L164" s="21">
        <f>SUM(DataTbl[[#This Row],[Profile Visits]:[New Followers]])</f>
        <v>21</v>
      </c>
    </row>
    <row r="165" spans="1:12" x14ac:dyDescent="0.3">
      <c r="A165" s="42">
        <v>45726</v>
      </c>
      <c r="B165" s="21">
        <v>219</v>
      </c>
      <c r="C165" s="21">
        <v>5475</v>
      </c>
      <c r="D165" s="21">
        <v>8</v>
      </c>
      <c r="E165" s="21">
        <v>3</v>
      </c>
      <c r="F165" s="21">
        <v>1</v>
      </c>
      <c r="G165" s="21">
        <v>1</v>
      </c>
      <c r="H165" s="21">
        <v>9</v>
      </c>
      <c r="I165" s="21">
        <v>1</v>
      </c>
      <c r="J165" s="21">
        <f>SUM(DataTbl[[#This Row],[Likes]:[Shares]])</f>
        <v>13</v>
      </c>
      <c r="K165" s="24">
        <f>DataTbl[[#This Row],[Engagement]]/DataTbl[[#This Row],[Views]]</f>
        <v>5.9360730593607303E-2</v>
      </c>
      <c r="L165" s="21">
        <f>SUM(DataTbl[[#This Row],[Profile Visits]:[New Followers]])</f>
        <v>10</v>
      </c>
    </row>
    <row r="166" spans="1:12" x14ac:dyDescent="0.3">
      <c r="A166" s="42">
        <v>45727</v>
      </c>
      <c r="B166" s="21">
        <v>258</v>
      </c>
      <c r="C166" s="21">
        <v>5676</v>
      </c>
      <c r="D166" s="21">
        <v>6</v>
      </c>
      <c r="E166" s="21">
        <v>3</v>
      </c>
      <c r="F166" s="21">
        <v>1</v>
      </c>
      <c r="G166" s="21">
        <v>1</v>
      </c>
      <c r="H166" s="21">
        <v>17</v>
      </c>
      <c r="I166" s="21">
        <v>3</v>
      </c>
      <c r="J166" s="21">
        <f>SUM(DataTbl[[#This Row],[Likes]:[Shares]])</f>
        <v>11</v>
      </c>
      <c r="K166" s="24">
        <f>DataTbl[[#This Row],[Engagement]]/DataTbl[[#This Row],[Views]]</f>
        <v>4.2635658914728682E-2</v>
      </c>
      <c r="L166" s="21">
        <f>SUM(DataTbl[[#This Row],[Profile Visits]:[New Followers]])</f>
        <v>20</v>
      </c>
    </row>
    <row r="167" spans="1:12" x14ac:dyDescent="0.3">
      <c r="A167" s="42">
        <v>45728</v>
      </c>
      <c r="B167" s="21">
        <v>208</v>
      </c>
      <c r="C167" s="21">
        <v>3952</v>
      </c>
      <c r="D167" s="21">
        <v>6</v>
      </c>
      <c r="E167" s="21">
        <v>2</v>
      </c>
      <c r="F167" s="21">
        <v>1</v>
      </c>
      <c r="G167" s="21">
        <v>1</v>
      </c>
      <c r="H167" s="21">
        <v>12</v>
      </c>
      <c r="I167" s="21">
        <v>1</v>
      </c>
      <c r="J167" s="21">
        <f>SUM(DataTbl[[#This Row],[Likes]:[Shares]])</f>
        <v>10</v>
      </c>
      <c r="K167" s="24">
        <f>DataTbl[[#This Row],[Engagement]]/DataTbl[[#This Row],[Views]]</f>
        <v>4.807692307692308E-2</v>
      </c>
      <c r="L167" s="21">
        <f>SUM(DataTbl[[#This Row],[Profile Visits]:[New Followers]])</f>
        <v>13</v>
      </c>
    </row>
    <row r="168" spans="1:12" x14ac:dyDescent="0.3">
      <c r="A168" s="42">
        <v>45729</v>
      </c>
      <c r="B168" s="21">
        <v>280</v>
      </c>
      <c r="C168" s="21">
        <v>6440</v>
      </c>
      <c r="D168" s="21">
        <v>10</v>
      </c>
      <c r="E168" s="21">
        <v>4</v>
      </c>
      <c r="F168" s="21">
        <v>1</v>
      </c>
      <c r="G168" s="21">
        <v>1</v>
      </c>
      <c r="H168" s="21">
        <v>13</v>
      </c>
      <c r="I168" s="21">
        <v>2</v>
      </c>
      <c r="J168" s="21">
        <f>SUM(DataTbl[[#This Row],[Likes]:[Shares]])</f>
        <v>16</v>
      </c>
      <c r="K168" s="24">
        <f>DataTbl[[#This Row],[Engagement]]/DataTbl[[#This Row],[Views]]</f>
        <v>5.7142857142857141E-2</v>
      </c>
      <c r="L168" s="21">
        <f>SUM(DataTbl[[#This Row],[Profile Visits]:[New Followers]])</f>
        <v>15</v>
      </c>
    </row>
    <row r="169" spans="1:12" x14ac:dyDescent="0.3">
      <c r="A169" s="42">
        <v>45730</v>
      </c>
      <c r="B169" s="21">
        <v>217</v>
      </c>
      <c r="C169" s="21">
        <v>5425</v>
      </c>
      <c r="D169" s="21">
        <v>5</v>
      </c>
      <c r="E169" s="21">
        <v>2</v>
      </c>
      <c r="F169" s="21">
        <v>1</v>
      </c>
      <c r="G169" s="21">
        <v>0</v>
      </c>
      <c r="H169" s="21">
        <v>9</v>
      </c>
      <c r="I169" s="21">
        <v>1</v>
      </c>
      <c r="J169" s="21">
        <f>SUM(DataTbl[[#This Row],[Likes]:[Shares]])</f>
        <v>8</v>
      </c>
      <c r="K169" s="24">
        <f>DataTbl[[#This Row],[Engagement]]/DataTbl[[#This Row],[Views]]</f>
        <v>3.6866359447004608E-2</v>
      </c>
      <c r="L169" s="21">
        <f>SUM(DataTbl[[#This Row],[Profile Visits]:[New Followers]])</f>
        <v>10</v>
      </c>
    </row>
    <row r="170" spans="1:12" x14ac:dyDescent="0.3">
      <c r="A170" s="42">
        <v>45731</v>
      </c>
      <c r="B170" s="21">
        <v>283</v>
      </c>
      <c r="C170" s="21">
        <v>7924</v>
      </c>
      <c r="D170" s="21">
        <v>11</v>
      </c>
      <c r="E170" s="21">
        <v>5</v>
      </c>
      <c r="F170" s="21">
        <v>1</v>
      </c>
      <c r="G170" s="21">
        <v>1</v>
      </c>
      <c r="H170" s="21">
        <v>16</v>
      </c>
      <c r="I170" s="21">
        <v>2</v>
      </c>
      <c r="J170" s="21">
        <f>SUM(DataTbl[[#This Row],[Likes]:[Shares]])</f>
        <v>18</v>
      </c>
      <c r="K170" s="24">
        <f>DataTbl[[#This Row],[Engagement]]/DataTbl[[#This Row],[Views]]</f>
        <v>6.3604240282685506E-2</v>
      </c>
      <c r="L170" s="21">
        <f>SUM(DataTbl[[#This Row],[Profile Visits]:[New Followers]])</f>
        <v>18</v>
      </c>
    </row>
    <row r="171" spans="1:12" x14ac:dyDescent="0.3">
      <c r="A171" s="42">
        <v>45732</v>
      </c>
      <c r="B171" s="21">
        <v>250</v>
      </c>
      <c r="C171" s="21">
        <v>7750</v>
      </c>
      <c r="D171" s="21">
        <v>8</v>
      </c>
      <c r="E171" s="21">
        <v>4</v>
      </c>
      <c r="F171" s="21">
        <v>1</v>
      </c>
      <c r="G171" s="21">
        <v>1</v>
      </c>
      <c r="H171" s="21">
        <v>20</v>
      </c>
      <c r="I171" s="21">
        <v>3</v>
      </c>
      <c r="J171" s="21">
        <f>SUM(DataTbl[[#This Row],[Likes]:[Shares]])</f>
        <v>14</v>
      </c>
      <c r="K171" s="24">
        <f>DataTbl[[#This Row],[Engagement]]/DataTbl[[#This Row],[Views]]</f>
        <v>5.6000000000000001E-2</v>
      </c>
      <c r="L171" s="21">
        <f>SUM(DataTbl[[#This Row],[Profile Visits]:[New Followers]])</f>
        <v>23</v>
      </c>
    </row>
    <row r="172" spans="1:12" x14ac:dyDescent="0.3">
      <c r="A172" s="42">
        <v>45733</v>
      </c>
      <c r="B172" s="21">
        <v>278</v>
      </c>
      <c r="C172" s="21">
        <v>9452</v>
      </c>
      <c r="D172" s="21">
        <v>11</v>
      </c>
      <c r="E172" s="21">
        <v>6</v>
      </c>
      <c r="F172" s="21">
        <v>1</v>
      </c>
      <c r="G172" s="21">
        <v>2</v>
      </c>
      <c r="H172" s="21">
        <v>21</v>
      </c>
      <c r="I172" s="21">
        <v>4</v>
      </c>
      <c r="J172" s="21">
        <f>SUM(DataTbl[[#This Row],[Likes]:[Shares]])</f>
        <v>20</v>
      </c>
      <c r="K172" s="24">
        <f>DataTbl[[#This Row],[Engagement]]/DataTbl[[#This Row],[Views]]</f>
        <v>7.1942446043165464E-2</v>
      </c>
      <c r="L172" s="21">
        <f>SUM(DataTbl[[#This Row],[Profile Visits]:[New Followers]])</f>
        <v>25</v>
      </c>
    </row>
    <row r="173" spans="1:12" x14ac:dyDescent="0.3">
      <c r="A173" s="42">
        <v>45734</v>
      </c>
      <c r="B173" s="21">
        <v>215</v>
      </c>
      <c r="C173" s="21">
        <v>7525</v>
      </c>
      <c r="D173" s="21">
        <v>7</v>
      </c>
      <c r="E173" s="21">
        <v>3</v>
      </c>
      <c r="F173" s="21">
        <v>1</v>
      </c>
      <c r="G173" s="21">
        <v>1</v>
      </c>
      <c r="H173" s="21">
        <v>9</v>
      </c>
      <c r="I173" s="21">
        <v>2</v>
      </c>
      <c r="J173" s="21">
        <f>SUM(DataTbl[[#This Row],[Likes]:[Shares]])</f>
        <v>12</v>
      </c>
      <c r="K173" s="24">
        <f>DataTbl[[#This Row],[Engagement]]/DataTbl[[#This Row],[Views]]</f>
        <v>5.5813953488372092E-2</v>
      </c>
      <c r="L173" s="21">
        <f>SUM(DataTbl[[#This Row],[Profile Visits]:[New Followers]])</f>
        <v>11</v>
      </c>
    </row>
    <row r="174" spans="1:12" x14ac:dyDescent="0.3">
      <c r="A174" s="42">
        <v>45735</v>
      </c>
      <c r="B174" s="21">
        <v>209</v>
      </c>
      <c r="C174" s="21">
        <v>6479</v>
      </c>
      <c r="D174" s="21">
        <v>7</v>
      </c>
      <c r="E174" s="21">
        <v>3</v>
      </c>
      <c r="F174" s="21">
        <v>1</v>
      </c>
      <c r="G174" s="21">
        <v>1</v>
      </c>
      <c r="H174" s="21">
        <v>12</v>
      </c>
      <c r="I174" s="21">
        <v>2</v>
      </c>
      <c r="J174" s="21">
        <f>SUM(DataTbl[[#This Row],[Likes]:[Shares]])</f>
        <v>12</v>
      </c>
      <c r="K174" s="24">
        <f>DataTbl[[#This Row],[Engagement]]/DataTbl[[#This Row],[Views]]</f>
        <v>5.7416267942583733E-2</v>
      </c>
      <c r="L174" s="21">
        <f>SUM(DataTbl[[#This Row],[Profile Visits]:[New Followers]])</f>
        <v>14</v>
      </c>
    </row>
    <row r="175" spans="1:12" x14ac:dyDescent="0.3">
      <c r="A175" s="42">
        <v>45736</v>
      </c>
      <c r="B175" s="21">
        <v>269</v>
      </c>
      <c r="C175" s="21">
        <v>7263</v>
      </c>
      <c r="D175" s="21">
        <v>10</v>
      </c>
      <c r="E175" s="21">
        <v>4</v>
      </c>
      <c r="F175" s="21">
        <v>1</v>
      </c>
      <c r="G175" s="21">
        <v>1</v>
      </c>
      <c r="H175" s="21">
        <v>15</v>
      </c>
      <c r="I175" s="21">
        <v>2</v>
      </c>
      <c r="J175" s="21">
        <f>SUM(DataTbl[[#This Row],[Likes]:[Shares]])</f>
        <v>16</v>
      </c>
      <c r="K175" s="24">
        <f>DataTbl[[#This Row],[Engagement]]/DataTbl[[#This Row],[Views]]</f>
        <v>5.9479553903345722E-2</v>
      </c>
      <c r="L175" s="21">
        <f>SUM(DataTbl[[#This Row],[Profile Visits]:[New Followers]])</f>
        <v>17</v>
      </c>
    </row>
    <row r="176" spans="1:12" x14ac:dyDescent="0.3">
      <c r="A176" s="42">
        <v>45737</v>
      </c>
      <c r="B176" s="21">
        <v>463</v>
      </c>
      <c r="C176" s="21">
        <v>14353</v>
      </c>
      <c r="D176" s="21">
        <v>14</v>
      </c>
      <c r="E176" s="21">
        <v>5</v>
      </c>
      <c r="F176" s="21">
        <v>1</v>
      </c>
      <c r="G176" s="21">
        <v>2</v>
      </c>
      <c r="H176" s="21">
        <v>20</v>
      </c>
      <c r="I176" s="21">
        <v>4</v>
      </c>
      <c r="J176" s="21">
        <f>SUM(DataTbl[[#This Row],[Likes]:[Shares]])</f>
        <v>22</v>
      </c>
      <c r="K176" s="24">
        <f>DataTbl[[#This Row],[Engagement]]/DataTbl[[#This Row],[Views]]</f>
        <v>4.7516198704103674E-2</v>
      </c>
      <c r="L176" s="21">
        <f>SUM(DataTbl[[#This Row],[Profile Visits]:[New Followers]])</f>
        <v>24</v>
      </c>
    </row>
    <row r="177" spans="1:12" x14ac:dyDescent="0.3">
      <c r="A177" s="42">
        <v>45738</v>
      </c>
      <c r="B177" s="21">
        <v>321</v>
      </c>
      <c r="C177" s="21">
        <v>10914</v>
      </c>
      <c r="D177" s="21">
        <v>9</v>
      </c>
      <c r="E177" s="21">
        <v>5</v>
      </c>
      <c r="F177" s="21">
        <v>1</v>
      </c>
      <c r="G177" s="21">
        <v>1</v>
      </c>
      <c r="H177" s="21">
        <v>22</v>
      </c>
      <c r="I177" s="21">
        <v>4</v>
      </c>
      <c r="J177" s="21">
        <f>SUM(DataTbl[[#This Row],[Likes]:[Shares]])</f>
        <v>16</v>
      </c>
      <c r="K177" s="24">
        <f>DataTbl[[#This Row],[Engagement]]/DataTbl[[#This Row],[Views]]</f>
        <v>4.9844236760124609E-2</v>
      </c>
      <c r="L177" s="21">
        <f>SUM(DataTbl[[#This Row],[Profile Visits]:[New Followers]])</f>
        <v>26</v>
      </c>
    </row>
    <row r="178" spans="1:12" x14ac:dyDescent="0.3">
      <c r="A178" s="42">
        <v>45739</v>
      </c>
      <c r="B178" s="21">
        <v>326</v>
      </c>
      <c r="C178" s="21">
        <v>7172</v>
      </c>
      <c r="D178" s="21">
        <v>14</v>
      </c>
      <c r="E178" s="21">
        <v>5</v>
      </c>
      <c r="F178" s="21">
        <v>2</v>
      </c>
      <c r="G178" s="21">
        <v>2</v>
      </c>
      <c r="H178" s="21">
        <v>17</v>
      </c>
      <c r="I178" s="21">
        <v>3</v>
      </c>
      <c r="J178" s="21">
        <f>SUM(DataTbl[[#This Row],[Likes]:[Shares]])</f>
        <v>23</v>
      </c>
      <c r="K178" s="24">
        <f>DataTbl[[#This Row],[Engagement]]/DataTbl[[#This Row],[Views]]</f>
        <v>7.0552147239263799E-2</v>
      </c>
      <c r="L178" s="21">
        <f>SUM(DataTbl[[#This Row],[Profile Visits]:[New Followers]])</f>
        <v>20</v>
      </c>
    </row>
    <row r="179" spans="1:12" x14ac:dyDescent="0.3">
      <c r="A179" s="42">
        <v>45740</v>
      </c>
      <c r="B179" s="21">
        <v>270</v>
      </c>
      <c r="C179" s="21">
        <v>5400</v>
      </c>
      <c r="D179" s="21">
        <v>9</v>
      </c>
      <c r="E179" s="21">
        <v>3</v>
      </c>
      <c r="F179" s="21">
        <v>1</v>
      </c>
      <c r="G179" s="21">
        <v>1</v>
      </c>
      <c r="H179" s="21">
        <v>16</v>
      </c>
      <c r="I179" s="21">
        <v>2</v>
      </c>
      <c r="J179" s="21">
        <f>SUM(DataTbl[[#This Row],[Likes]:[Shares]])</f>
        <v>14</v>
      </c>
      <c r="K179" s="24">
        <f>DataTbl[[#This Row],[Engagement]]/DataTbl[[#This Row],[Views]]</f>
        <v>5.185185185185185E-2</v>
      </c>
      <c r="L179" s="21">
        <f>SUM(DataTbl[[#This Row],[Profile Visits]:[New Followers]])</f>
        <v>18</v>
      </c>
    </row>
    <row r="180" spans="1:12" x14ac:dyDescent="0.3">
      <c r="A180" s="42">
        <v>45741</v>
      </c>
      <c r="B180" s="21">
        <v>271</v>
      </c>
      <c r="C180" s="21">
        <v>4878</v>
      </c>
      <c r="D180" s="21">
        <v>5</v>
      </c>
      <c r="E180" s="21">
        <v>2</v>
      </c>
      <c r="F180" s="21">
        <v>1</v>
      </c>
      <c r="G180" s="21">
        <v>1</v>
      </c>
      <c r="H180" s="21">
        <v>13</v>
      </c>
      <c r="I180" s="21">
        <v>2</v>
      </c>
      <c r="J180" s="21">
        <f>SUM(DataTbl[[#This Row],[Likes]:[Shares]])</f>
        <v>9</v>
      </c>
      <c r="K180" s="24">
        <f>DataTbl[[#This Row],[Engagement]]/DataTbl[[#This Row],[Views]]</f>
        <v>3.3210332103321034E-2</v>
      </c>
      <c r="L180" s="21">
        <f>SUM(DataTbl[[#This Row],[Profile Visits]:[New Followers]])</f>
        <v>15</v>
      </c>
    </row>
    <row r="181" spans="1:12" x14ac:dyDescent="0.3">
      <c r="A181" s="42">
        <v>45742</v>
      </c>
      <c r="B181" s="21">
        <v>250</v>
      </c>
      <c r="C181" s="21">
        <v>6250</v>
      </c>
      <c r="D181" s="21">
        <v>7</v>
      </c>
      <c r="E181" s="21">
        <v>3</v>
      </c>
      <c r="F181" s="21">
        <v>1</v>
      </c>
      <c r="G181" s="21">
        <v>1</v>
      </c>
      <c r="H181" s="21">
        <v>18</v>
      </c>
      <c r="I181" s="21">
        <v>4</v>
      </c>
      <c r="J181" s="21">
        <f>SUM(DataTbl[[#This Row],[Likes]:[Shares]])</f>
        <v>12</v>
      </c>
      <c r="K181" s="24">
        <f>DataTbl[[#This Row],[Engagement]]/DataTbl[[#This Row],[Views]]</f>
        <v>4.8000000000000001E-2</v>
      </c>
      <c r="L181" s="21">
        <f>SUM(DataTbl[[#This Row],[Profile Visits]:[New Followers]])</f>
        <v>22</v>
      </c>
    </row>
    <row r="182" spans="1:12" x14ac:dyDescent="0.3">
      <c r="A182" s="42">
        <v>45743</v>
      </c>
      <c r="B182" s="21">
        <v>300</v>
      </c>
      <c r="C182" s="21">
        <v>5700</v>
      </c>
      <c r="D182" s="21">
        <v>8</v>
      </c>
      <c r="E182" s="21">
        <v>3</v>
      </c>
      <c r="F182" s="21">
        <v>1</v>
      </c>
      <c r="G182" s="21">
        <v>1</v>
      </c>
      <c r="H182" s="21">
        <v>13</v>
      </c>
      <c r="I182" s="21">
        <v>2</v>
      </c>
      <c r="J182" s="21">
        <f>SUM(DataTbl[[#This Row],[Likes]:[Shares]])</f>
        <v>13</v>
      </c>
      <c r="K182" s="24">
        <f>DataTbl[[#This Row],[Engagement]]/DataTbl[[#This Row],[Views]]</f>
        <v>4.3333333333333335E-2</v>
      </c>
      <c r="L182" s="21">
        <f>SUM(DataTbl[[#This Row],[Profile Visits]:[New Followers]])</f>
        <v>15</v>
      </c>
    </row>
    <row r="183" spans="1:12" x14ac:dyDescent="0.3">
      <c r="A183" s="42">
        <v>45744</v>
      </c>
      <c r="B183" s="21">
        <v>284</v>
      </c>
      <c r="C183" s="21">
        <v>5112</v>
      </c>
      <c r="D183" s="21">
        <v>8</v>
      </c>
      <c r="E183" s="21">
        <v>3</v>
      </c>
      <c r="F183" s="21">
        <v>1</v>
      </c>
      <c r="G183" s="21">
        <v>1</v>
      </c>
      <c r="H183" s="21">
        <v>20</v>
      </c>
      <c r="I183" s="21">
        <v>3</v>
      </c>
      <c r="J183" s="21">
        <f>SUM(DataTbl[[#This Row],[Likes]:[Shares]])</f>
        <v>13</v>
      </c>
      <c r="K183" s="24">
        <f>DataTbl[[#This Row],[Engagement]]/DataTbl[[#This Row],[Views]]</f>
        <v>4.5774647887323945E-2</v>
      </c>
      <c r="L183" s="21">
        <f>SUM(DataTbl[[#This Row],[Profile Visits]:[New Followers]])</f>
        <v>23</v>
      </c>
    </row>
    <row r="184" spans="1:12" x14ac:dyDescent="0.3">
      <c r="A184" s="42">
        <v>45745</v>
      </c>
      <c r="B184" s="21">
        <v>304</v>
      </c>
      <c r="C184" s="21">
        <v>8816</v>
      </c>
      <c r="D184" s="21">
        <v>9</v>
      </c>
      <c r="E184" s="21">
        <v>4</v>
      </c>
      <c r="F184" s="21">
        <v>1</v>
      </c>
      <c r="G184" s="21">
        <v>1</v>
      </c>
      <c r="H184" s="21">
        <v>22</v>
      </c>
      <c r="I184" s="21">
        <v>2</v>
      </c>
      <c r="J184" s="21">
        <f>SUM(DataTbl[[#This Row],[Likes]:[Shares]])</f>
        <v>15</v>
      </c>
      <c r="K184" s="24">
        <f>DataTbl[[#This Row],[Engagement]]/DataTbl[[#This Row],[Views]]</f>
        <v>4.9342105263157895E-2</v>
      </c>
      <c r="L184" s="21">
        <f>SUM(DataTbl[[#This Row],[Profile Visits]:[New Followers]])</f>
        <v>24</v>
      </c>
    </row>
    <row r="185" spans="1:12" x14ac:dyDescent="0.3">
      <c r="A185" s="42">
        <v>45746</v>
      </c>
      <c r="B185" s="21">
        <v>355</v>
      </c>
      <c r="C185" s="21">
        <v>7100</v>
      </c>
      <c r="D185" s="21">
        <v>15</v>
      </c>
      <c r="E185" s="21">
        <v>5</v>
      </c>
      <c r="F185" s="21">
        <v>2</v>
      </c>
      <c r="G185" s="21">
        <v>2</v>
      </c>
      <c r="H185" s="21">
        <v>26</v>
      </c>
      <c r="I185" s="21">
        <v>3</v>
      </c>
      <c r="J185" s="21">
        <f>SUM(DataTbl[[#This Row],[Likes]:[Shares]])</f>
        <v>24</v>
      </c>
      <c r="K185" s="24">
        <f>DataTbl[[#This Row],[Engagement]]/DataTbl[[#This Row],[Views]]</f>
        <v>6.7605633802816895E-2</v>
      </c>
      <c r="L185" s="21">
        <f>SUM(DataTbl[[#This Row],[Profile Visits]:[New Followers]])</f>
        <v>29</v>
      </c>
    </row>
    <row r="186" spans="1:12" x14ac:dyDescent="0.3">
      <c r="A186" s="42">
        <v>45747</v>
      </c>
      <c r="B186" s="21">
        <v>308</v>
      </c>
      <c r="C186" s="21">
        <v>6160</v>
      </c>
      <c r="D186" s="21">
        <v>13</v>
      </c>
      <c r="E186" s="21">
        <v>5</v>
      </c>
      <c r="F186" s="21">
        <v>1</v>
      </c>
      <c r="G186" s="21">
        <v>2</v>
      </c>
      <c r="H186" s="21">
        <v>14</v>
      </c>
      <c r="I186" s="21">
        <v>2</v>
      </c>
      <c r="J186" s="21">
        <f>SUM(DataTbl[[#This Row],[Likes]:[Shares]])</f>
        <v>21</v>
      </c>
      <c r="K186" s="24">
        <f>DataTbl[[#This Row],[Engagement]]/DataTbl[[#This Row],[Views]]</f>
        <v>6.8181818181818177E-2</v>
      </c>
      <c r="L186" s="21">
        <f>SUM(DataTbl[[#This Row],[Profile Visits]:[New Followers]])</f>
        <v>16</v>
      </c>
    </row>
    <row r="187" spans="1:12" x14ac:dyDescent="0.3">
      <c r="A187" s="42">
        <v>45748</v>
      </c>
      <c r="B187" s="21">
        <v>231</v>
      </c>
      <c r="C187" s="21">
        <v>8085</v>
      </c>
      <c r="D187" s="21">
        <v>7</v>
      </c>
      <c r="E187" s="21">
        <v>2</v>
      </c>
      <c r="F187" s="21">
        <v>1</v>
      </c>
      <c r="G187" s="21">
        <v>1</v>
      </c>
      <c r="H187" s="21">
        <v>18</v>
      </c>
      <c r="I187" s="21">
        <v>3</v>
      </c>
      <c r="J187" s="21">
        <f>SUM(DataTbl[[#This Row],[Likes]:[Shares]])</f>
        <v>11</v>
      </c>
      <c r="K187" s="24">
        <f>DataTbl[[#This Row],[Engagement]]/DataTbl[[#This Row],[Views]]</f>
        <v>4.7619047619047616E-2</v>
      </c>
      <c r="L187" s="21">
        <f>SUM(DataTbl[[#This Row],[Profile Visits]:[New Followers]])</f>
        <v>21</v>
      </c>
    </row>
    <row r="188" spans="1:12" x14ac:dyDescent="0.3">
      <c r="A188" s="42">
        <v>45749</v>
      </c>
      <c r="B188" s="21">
        <v>269</v>
      </c>
      <c r="C188" s="21">
        <v>7801</v>
      </c>
      <c r="D188" s="21">
        <v>6</v>
      </c>
      <c r="E188" s="21">
        <v>2</v>
      </c>
      <c r="F188" s="21">
        <v>1</v>
      </c>
      <c r="G188" s="21">
        <v>1</v>
      </c>
      <c r="H188" s="21">
        <v>13</v>
      </c>
      <c r="I188" s="21">
        <v>2</v>
      </c>
      <c r="J188" s="21">
        <f>SUM(DataTbl[[#This Row],[Likes]:[Shares]])</f>
        <v>10</v>
      </c>
      <c r="K188" s="24">
        <f>DataTbl[[#This Row],[Engagement]]/DataTbl[[#This Row],[Views]]</f>
        <v>3.717472118959108E-2</v>
      </c>
      <c r="L188" s="21">
        <f>SUM(DataTbl[[#This Row],[Profile Visits]:[New Followers]])</f>
        <v>15</v>
      </c>
    </row>
    <row r="189" spans="1:12" x14ac:dyDescent="0.3">
      <c r="A189" s="42">
        <v>45750</v>
      </c>
      <c r="B189" s="21">
        <v>393</v>
      </c>
      <c r="C189" s="21">
        <v>11004</v>
      </c>
      <c r="D189" s="21">
        <v>16</v>
      </c>
      <c r="E189" s="21">
        <v>8</v>
      </c>
      <c r="F189" s="21">
        <v>2</v>
      </c>
      <c r="G189" s="21">
        <v>2</v>
      </c>
      <c r="H189" s="21">
        <v>23</v>
      </c>
      <c r="I189" s="21">
        <v>3</v>
      </c>
      <c r="J189" s="21">
        <f>SUM(DataTbl[[#This Row],[Likes]:[Shares]])</f>
        <v>28</v>
      </c>
      <c r="K189" s="24">
        <f>DataTbl[[#This Row],[Engagement]]/DataTbl[[#This Row],[Views]]</f>
        <v>7.124681933842239E-2</v>
      </c>
      <c r="L189" s="21">
        <f>SUM(DataTbl[[#This Row],[Profile Visits]:[New Followers]])</f>
        <v>26</v>
      </c>
    </row>
    <row r="190" spans="1:12" x14ac:dyDescent="0.3">
      <c r="A190" s="42">
        <v>45751</v>
      </c>
      <c r="B190" s="21">
        <v>330</v>
      </c>
      <c r="C190" s="21">
        <v>6930</v>
      </c>
      <c r="D190" s="21">
        <v>7</v>
      </c>
      <c r="E190" s="21">
        <v>3</v>
      </c>
      <c r="F190" s="21">
        <v>1</v>
      </c>
      <c r="G190" s="21">
        <v>1</v>
      </c>
      <c r="H190" s="21">
        <v>15</v>
      </c>
      <c r="I190" s="21">
        <v>3</v>
      </c>
      <c r="J190" s="21">
        <f>SUM(DataTbl[[#This Row],[Likes]:[Shares]])</f>
        <v>12</v>
      </c>
      <c r="K190" s="24">
        <f>DataTbl[[#This Row],[Engagement]]/DataTbl[[#This Row],[Views]]</f>
        <v>3.6363636363636362E-2</v>
      </c>
      <c r="L190" s="21">
        <f>SUM(DataTbl[[#This Row],[Profile Visits]:[New Followers]])</f>
        <v>18</v>
      </c>
    </row>
    <row r="191" spans="1:12" x14ac:dyDescent="0.3">
      <c r="A191" s="42">
        <v>45752</v>
      </c>
      <c r="B191" s="21">
        <v>402</v>
      </c>
      <c r="C191" s="21">
        <v>7236</v>
      </c>
      <c r="D191" s="21">
        <v>12</v>
      </c>
      <c r="E191" s="21">
        <v>5</v>
      </c>
      <c r="F191" s="21">
        <v>2</v>
      </c>
      <c r="G191" s="21">
        <v>1</v>
      </c>
      <c r="H191" s="21">
        <v>17</v>
      </c>
      <c r="I191" s="21">
        <v>2</v>
      </c>
      <c r="J191" s="21">
        <f>SUM(DataTbl[[#This Row],[Likes]:[Shares]])</f>
        <v>20</v>
      </c>
      <c r="K191" s="24">
        <f>DataTbl[[#This Row],[Engagement]]/DataTbl[[#This Row],[Views]]</f>
        <v>4.975124378109453E-2</v>
      </c>
      <c r="L191" s="21">
        <f>SUM(DataTbl[[#This Row],[Profile Visits]:[New Followers]])</f>
        <v>19</v>
      </c>
    </row>
    <row r="192" spans="1:12" x14ac:dyDescent="0.3">
      <c r="A192" s="42">
        <v>45753</v>
      </c>
      <c r="B192" s="21">
        <v>356</v>
      </c>
      <c r="C192" s="21">
        <v>8544</v>
      </c>
      <c r="D192" s="21">
        <v>15</v>
      </c>
      <c r="E192" s="21">
        <v>6</v>
      </c>
      <c r="F192" s="21">
        <v>1</v>
      </c>
      <c r="G192" s="21">
        <v>2</v>
      </c>
      <c r="H192" s="21">
        <v>17</v>
      </c>
      <c r="I192" s="21">
        <v>2</v>
      </c>
      <c r="J192" s="21">
        <f>SUM(DataTbl[[#This Row],[Likes]:[Shares]])</f>
        <v>24</v>
      </c>
      <c r="K192" s="24">
        <f>DataTbl[[#This Row],[Engagement]]/DataTbl[[#This Row],[Views]]</f>
        <v>6.741573033707865E-2</v>
      </c>
      <c r="L192" s="21">
        <f>SUM(DataTbl[[#This Row],[Profile Visits]:[New Followers]])</f>
        <v>19</v>
      </c>
    </row>
    <row r="193" spans="1:12" x14ac:dyDescent="0.3">
      <c r="A193" s="42">
        <v>45754</v>
      </c>
      <c r="B193" s="21">
        <v>308</v>
      </c>
      <c r="C193" s="21">
        <v>7700</v>
      </c>
      <c r="D193" s="21">
        <v>10</v>
      </c>
      <c r="E193" s="21">
        <v>4</v>
      </c>
      <c r="F193" s="21">
        <v>1</v>
      </c>
      <c r="G193" s="21">
        <v>1</v>
      </c>
      <c r="H193" s="21">
        <v>23</v>
      </c>
      <c r="I193" s="21">
        <v>3</v>
      </c>
      <c r="J193" s="21">
        <f>SUM(DataTbl[[#This Row],[Likes]:[Shares]])</f>
        <v>16</v>
      </c>
      <c r="K193" s="24">
        <f>DataTbl[[#This Row],[Engagement]]/DataTbl[[#This Row],[Views]]</f>
        <v>5.1948051948051951E-2</v>
      </c>
      <c r="L193" s="21">
        <f>SUM(DataTbl[[#This Row],[Profile Visits]:[New Followers]])</f>
        <v>26</v>
      </c>
    </row>
    <row r="194" spans="1:12" x14ac:dyDescent="0.3">
      <c r="A194" s="42">
        <v>45755</v>
      </c>
      <c r="B194" s="21">
        <v>287</v>
      </c>
      <c r="C194" s="21">
        <v>8897</v>
      </c>
      <c r="D194" s="21">
        <v>13</v>
      </c>
      <c r="E194" s="21">
        <v>5</v>
      </c>
      <c r="F194" s="21">
        <v>1</v>
      </c>
      <c r="G194" s="21">
        <v>2</v>
      </c>
      <c r="H194" s="21">
        <v>13</v>
      </c>
      <c r="I194" s="21">
        <v>2</v>
      </c>
      <c r="J194" s="21">
        <f>SUM(DataTbl[[#This Row],[Likes]:[Shares]])</f>
        <v>21</v>
      </c>
      <c r="K194" s="24">
        <f>DataTbl[[#This Row],[Engagement]]/DataTbl[[#This Row],[Views]]</f>
        <v>7.3170731707317069E-2</v>
      </c>
      <c r="L194" s="21">
        <f>SUM(DataTbl[[#This Row],[Profile Visits]:[New Followers]])</f>
        <v>15</v>
      </c>
    </row>
    <row r="195" spans="1:12" x14ac:dyDescent="0.3">
      <c r="A195" s="42">
        <v>45756</v>
      </c>
      <c r="B195" s="21">
        <v>300</v>
      </c>
      <c r="C195" s="21">
        <v>9300</v>
      </c>
      <c r="D195" s="21">
        <v>8</v>
      </c>
      <c r="E195" s="21">
        <v>4</v>
      </c>
      <c r="F195" s="21">
        <v>1</v>
      </c>
      <c r="G195" s="21">
        <v>1</v>
      </c>
      <c r="H195" s="21">
        <v>19</v>
      </c>
      <c r="I195" s="21">
        <v>2</v>
      </c>
      <c r="J195" s="21">
        <f>SUM(DataTbl[[#This Row],[Likes]:[Shares]])</f>
        <v>14</v>
      </c>
      <c r="K195" s="24">
        <f>DataTbl[[#This Row],[Engagement]]/DataTbl[[#This Row],[Views]]</f>
        <v>4.6666666666666669E-2</v>
      </c>
      <c r="L195" s="21">
        <f>SUM(DataTbl[[#This Row],[Profile Visits]:[New Followers]])</f>
        <v>21</v>
      </c>
    </row>
    <row r="196" spans="1:12" x14ac:dyDescent="0.3">
      <c r="A196" s="42">
        <v>45757</v>
      </c>
      <c r="B196" s="21">
        <v>341</v>
      </c>
      <c r="C196" s="21">
        <v>9548</v>
      </c>
      <c r="D196" s="21">
        <v>9</v>
      </c>
      <c r="E196" s="21">
        <v>4</v>
      </c>
      <c r="F196" s="21">
        <v>1</v>
      </c>
      <c r="G196" s="21">
        <v>1</v>
      </c>
      <c r="H196" s="21">
        <v>18</v>
      </c>
      <c r="I196" s="21">
        <v>2</v>
      </c>
      <c r="J196" s="21">
        <f>SUM(DataTbl[[#This Row],[Likes]:[Shares]])</f>
        <v>15</v>
      </c>
      <c r="K196" s="24">
        <f>DataTbl[[#This Row],[Engagement]]/DataTbl[[#This Row],[Views]]</f>
        <v>4.398826979472141E-2</v>
      </c>
      <c r="L196" s="21">
        <f>SUM(DataTbl[[#This Row],[Profile Visits]:[New Followers]])</f>
        <v>20</v>
      </c>
    </row>
    <row r="197" spans="1:12" x14ac:dyDescent="0.3">
      <c r="A197" s="42">
        <v>45758</v>
      </c>
      <c r="B197" s="21">
        <v>305</v>
      </c>
      <c r="C197" s="21">
        <v>6710</v>
      </c>
      <c r="D197" s="21">
        <v>13</v>
      </c>
      <c r="E197" s="21">
        <v>5</v>
      </c>
      <c r="F197" s="21">
        <v>2</v>
      </c>
      <c r="G197" s="21">
        <v>2</v>
      </c>
      <c r="H197" s="21">
        <v>14</v>
      </c>
      <c r="I197" s="21">
        <v>3</v>
      </c>
      <c r="J197" s="21">
        <f>SUM(DataTbl[[#This Row],[Likes]:[Shares]])</f>
        <v>22</v>
      </c>
      <c r="K197" s="24">
        <f>DataTbl[[#This Row],[Engagement]]/DataTbl[[#This Row],[Views]]</f>
        <v>7.2131147540983612E-2</v>
      </c>
      <c r="L197" s="21">
        <f>SUM(DataTbl[[#This Row],[Profile Visits]:[New Followers]])</f>
        <v>17</v>
      </c>
    </row>
    <row r="198" spans="1:12" x14ac:dyDescent="0.3">
      <c r="A198" s="42">
        <v>45759</v>
      </c>
      <c r="B198" s="21">
        <v>341</v>
      </c>
      <c r="C198" s="21">
        <v>7843</v>
      </c>
      <c r="D198" s="21">
        <v>9</v>
      </c>
      <c r="E198" s="21">
        <v>3</v>
      </c>
      <c r="F198" s="21">
        <v>1</v>
      </c>
      <c r="G198" s="21">
        <v>1</v>
      </c>
      <c r="H198" s="21">
        <v>22</v>
      </c>
      <c r="I198" s="21">
        <v>4</v>
      </c>
      <c r="J198" s="21">
        <f>SUM(DataTbl[[#This Row],[Likes]:[Shares]])</f>
        <v>14</v>
      </c>
      <c r="K198" s="24">
        <f>DataTbl[[#This Row],[Engagement]]/DataTbl[[#This Row],[Views]]</f>
        <v>4.1055718475073312E-2</v>
      </c>
      <c r="L198" s="21">
        <f>SUM(DataTbl[[#This Row],[Profile Visits]:[New Followers]])</f>
        <v>26</v>
      </c>
    </row>
    <row r="199" spans="1:12" x14ac:dyDescent="0.3">
      <c r="A199" s="42">
        <v>45760</v>
      </c>
      <c r="B199" s="21">
        <v>355</v>
      </c>
      <c r="C199" s="21">
        <v>9940</v>
      </c>
      <c r="D199" s="21">
        <v>14</v>
      </c>
      <c r="E199" s="21">
        <v>5</v>
      </c>
      <c r="F199" s="21">
        <v>2</v>
      </c>
      <c r="G199" s="21">
        <v>1</v>
      </c>
      <c r="H199" s="21">
        <v>20</v>
      </c>
      <c r="I199" s="21">
        <v>3</v>
      </c>
      <c r="J199" s="21">
        <f>SUM(DataTbl[[#This Row],[Likes]:[Shares]])</f>
        <v>22</v>
      </c>
      <c r="K199" s="24">
        <f>DataTbl[[#This Row],[Engagement]]/DataTbl[[#This Row],[Views]]</f>
        <v>6.1971830985915494E-2</v>
      </c>
      <c r="L199" s="21">
        <f>SUM(DataTbl[[#This Row],[Profile Visits]:[New Followers]])</f>
        <v>23</v>
      </c>
    </row>
    <row r="200" spans="1:12" x14ac:dyDescent="0.3">
      <c r="A200" s="42">
        <v>45761</v>
      </c>
      <c r="B200" s="21">
        <v>320</v>
      </c>
      <c r="C200" s="21">
        <v>8000</v>
      </c>
      <c r="D200" s="21">
        <v>15</v>
      </c>
      <c r="E200" s="21">
        <v>7</v>
      </c>
      <c r="F200" s="21">
        <v>1</v>
      </c>
      <c r="G200" s="21">
        <v>2</v>
      </c>
      <c r="H200" s="21">
        <v>16</v>
      </c>
      <c r="I200" s="21">
        <v>2</v>
      </c>
      <c r="J200" s="21">
        <f>SUM(DataTbl[[#This Row],[Likes]:[Shares]])</f>
        <v>25</v>
      </c>
      <c r="K200" s="24">
        <f>DataTbl[[#This Row],[Engagement]]/DataTbl[[#This Row],[Views]]</f>
        <v>7.8125E-2</v>
      </c>
      <c r="L200" s="21">
        <f>SUM(DataTbl[[#This Row],[Profile Visits]:[New Followers]])</f>
        <v>18</v>
      </c>
    </row>
    <row r="201" spans="1:12" x14ac:dyDescent="0.3">
      <c r="A201" s="42">
        <v>45762</v>
      </c>
      <c r="B201" s="21">
        <v>334</v>
      </c>
      <c r="C201" s="21">
        <v>7682</v>
      </c>
      <c r="D201" s="21">
        <v>11</v>
      </c>
      <c r="E201" s="21">
        <v>5</v>
      </c>
      <c r="F201" s="21">
        <v>2</v>
      </c>
      <c r="G201" s="21">
        <v>1</v>
      </c>
      <c r="H201" s="21">
        <v>16</v>
      </c>
      <c r="I201" s="21">
        <v>3</v>
      </c>
      <c r="J201" s="21">
        <f>SUM(DataTbl[[#This Row],[Likes]:[Shares]])</f>
        <v>19</v>
      </c>
      <c r="K201" s="24">
        <f>DataTbl[[#This Row],[Engagement]]/DataTbl[[#This Row],[Views]]</f>
        <v>5.6886227544910177E-2</v>
      </c>
      <c r="L201" s="21">
        <f>SUM(DataTbl[[#This Row],[Profile Visits]:[New Followers]])</f>
        <v>19</v>
      </c>
    </row>
    <row r="202" spans="1:12" x14ac:dyDescent="0.3">
      <c r="A202" s="42">
        <v>45763</v>
      </c>
      <c r="B202" s="21">
        <v>255</v>
      </c>
      <c r="C202" s="21">
        <v>7140</v>
      </c>
      <c r="D202" s="21">
        <v>5</v>
      </c>
      <c r="E202" s="21">
        <v>2</v>
      </c>
      <c r="F202" s="21">
        <v>1</v>
      </c>
      <c r="G202" s="21">
        <v>1</v>
      </c>
      <c r="H202" s="21">
        <v>19</v>
      </c>
      <c r="I202" s="21">
        <v>2</v>
      </c>
      <c r="J202" s="21">
        <f>SUM(DataTbl[[#This Row],[Likes]:[Shares]])</f>
        <v>9</v>
      </c>
      <c r="K202" s="24">
        <f>DataTbl[[#This Row],[Engagement]]/DataTbl[[#This Row],[Views]]</f>
        <v>3.5294117647058823E-2</v>
      </c>
      <c r="L202" s="21">
        <f>SUM(DataTbl[[#This Row],[Profile Visits]:[New Followers]])</f>
        <v>21</v>
      </c>
    </row>
    <row r="203" spans="1:12" x14ac:dyDescent="0.3">
      <c r="A203" s="42">
        <v>45764</v>
      </c>
      <c r="B203" s="21">
        <v>326</v>
      </c>
      <c r="C203" s="21">
        <v>7824</v>
      </c>
      <c r="D203" s="21">
        <v>9</v>
      </c>
      <c r="E203" s="21">
        <v>4</v>
      </c>
      <c r="F203" s="21">
        <v>1</v>
      </c>
      <c r="G203" s="21">
        <v>1</v>
      </c>
      <c r="H203" s="21">
        <v>18</v>
      </c>
      <c r="I203" s="21">
        <v>3</v>
      </c>
      <c r="J203" s="21">
        <f>SUM(DataTbl[[#This Row],[Likes]:[Shares]])</f>
        <v>15</v>
      </c>
      <c r="K203" s="24">
        <f>DataTbl[[#This Row],[Engagement]]/DataTbl[[#This Row],[Views]]</f>
        <v>4.6012269938650305E-2</v>
      </c>
      <c r="L203" s="21">
        <f>SUM(DataTbl[[#This Row],[Profile Visits]:[New Followers]])</f>
        <v>21</v>
      </c>
    </row>
    <row r="204" spans="1:12" x14ac:dyDescent="0.3">
      <c r="A204" s="42">
        <v>45765</v>
      </c>
      <c r="B204" s="21">
        <v>322</v>
      </c>
      <c r="C204" s="21">
        <v>7084</v>
      </c>
      <c r="D204" s="21">
        <v>11</v>
      </c>
      <c r="E204" s="21">
        <v>5</v>
      </c>
      <c r="F204" s="21">
        <v>1</v>
      </c>
      <c r="G204" s="21">
        <v>2</v>
      </c>
      <c r="H204" s="21">
        <v>21</v>
      </c>
      <c r="I204" s="21">
        <v>3</v>
      </c>
      <c r="J204" s="21">
        <f>SUM(DataTbl[[#This Row],[Likes]:[Shares]])</f>
        <v>19</v>
      </c>
      <c r="K204" s="24">
        <f>DataTbl[[#This Row],[Engagement]]/DataTbl[[#This Row],[Views]]</f>
        <v>5.9006211180124224E-2</v>
      </c>
      <c r="L204" s="21">
        <f>SUM(DataTbl[[#This Row],[Profile Visits]:[New Followers]])</f>
        <v>24</v>
      </c>
    </row>
    <row r="205" spans="1:12" x14ac:dyDescent="0.3">
      <c r="A205" s="42">
        <v>45766</v>
      </c>
      <c r="B205" s="21">
        <v>326</v>
      </c>
      <c r="C205" s="21">
        <v>11084</v>
      </c>
      <c r="D205" s="21">
        <v>13</v>
      </c>
      <c r="E205" s="21">
        <v>6</v>
      </c>
      <c r="F205" s="21">
        <v>2</v>
      </c>
      <c r="G205" s="21">
        <v>1</v>
      </c>
      <c r="H205" s="21">
        <v>19</v>
      </c>
      <c r="I205" s="21">
        <v>3</v>
      </c>
      <c r="J205" s="21">
        <f>SUM(DataTbl[[#This Row],[Likes]:[Shares]])</f>
        <v>22</v>
      </c>
      <c r="K205" s="24">
        <f>DataTbl[[#This Row],[Engagement]]/DataTbl[[#This Row],[Views]]</f>
        <v>6.7484662576687116E-2</v>
      </c>
      <c r="L205" s="21">
        <f>SUM(DataTbl[[#This Row],[Profile Visits]:[New Followers]])</f>
        <v>22</v>
      </c>
    </row>
    <row r="206" spans="1:12" x14ac:dyDescent="0.3">
      <c r="A206" s="42">
        <v>45767</v>
      </c>
      <c r="B206" s="21">
        <v>344</v>
      </c>
      <c r="C206" s="21">
        <v>8256</v>
      </c>
      <c r="D206" s="21">
        <v>13</v>
      </c>
      <c r="E206" s="21">
        <v>7</v>
      </c>
      <c r="F206" s="21">
        <v>2</v>
      </c>
      <c r="G206" s="21">
        <v>2</v>
      </c>
      <c r="H206" s="21">
        <v>14</v>
      </c>
      <c r="I206" s="21">
        <v>2</v>
      </c>
      <c r="J206" s="21">
        <f>SUM(DataTbl[[#This Row],[Likes]:[Shares]])</f>
        <v>24</v>
      </c>
      <c r="K206" s="24">
        <f>DataTbl[[#This Row],[Engagement]]/DataTbl[[#This Row],[Views]]</f>
        <v>6.9767441860465115E-2</v>
      </c>
      <c r="L206" s="21">
        <f>SUM(DataTbl[[#This Row],[Profile Visits]:[New Followers]])</f>
        <v>16</v>
      </c>
    </row>
    <row r="207" spans="1:12" x14ac:dyDescent="0.3">
      <c r="A207" s="42">
        <v>45768</v>
      </c>
      <c r="B207" s="21">
        <v>299</v>
      </c>
      <c r="C207" s="21">
        <v>6877</v>
      </c>
      <c r="D207" s="21">
        <v>8</v>
      </c>
      <c r="E207" s="21">
        <v>3</v>
      </c>
      <c r="F207" s="21">
        <v>1</v>
      </c>
      <c r="G207" s="21">
        <v>1</v>
      </c>
      <c r="H207" s="21">
        <v>12</v>
      </c>
      <c r="I207" s="21">
        <v>2</v>
      </c>
      <c r="J207" s="21">
        <f>SUM(DataTbl[[#This Row],[Likes]:[Shares]])</f>
        <v>13</v>
      </c>
      <c r="K207" s="24">
        <f>DataTbl[[#This Row],[Engagement]]/DataTbl[[#This Row],[Views]]</f>
        <v>4.3478260869565216E-2</v>
      </c>
      <c r="L207" s="21">
        <f>SUM(DataTbl[[#This Row],[Profile Visits]:[New Followers]])</f>
        <v>14</v>
      </c>
    </row>
    <row r="208" spans="1:12" x14ac:dyDescent="0.3">
      <c r="A208" s="42">
        <v>45769</v>
      </c>
      <c r="B208" s="21">
        <v>317</v>
      </c>
      <c r="C208" s="21">
        <v>9827</v>
      </c>
      <c r="D208" s="21">
        <v>14</v>
      </c>
      <c r="E208" s="21">
        <v>6</v>
      </c>
      <c r="F208" s="21">
        <v>2</v>
      </c>
      <c r="G208" s="21">
        <v>2</v>
      </c>
      <c r="H208" s="21">
        <v>16</v>
      </c>
      <c r="I208" s="21">
        <v>3</v>
      </c>
      <c r="J208" s="21">
        <f>SUM(DataTbl[[#This Row],[Likes]:[Shares]])</f>
        <v>24</v>
      </c>
      <c r="K208" s="24">
        <f>DataTbl[[#This Row],[Engagement]]/DataTbl[[#This Row],[Views]]</f>
        <v>7.5709779179810727E-2</v>
      </c>
      <c r="L208" s="21">
        <f>SUM(DataTbl[[#This Row],[Profile Visits]:[New Followers]])</f>
        <v>19</v>
      </c>
    </row>
    <row r="209" spans="1:12" x14ac:dyDescent="0.3">
      <c r="A209" s="42">
        <v>45770</v>
      </c>
      <c r="B209" s="21">
        <v>352</v>
      </c>
      <c r="C209" s="21">
        <v>7040</v>
      </c>
      <c r="D209" s="21">
        <v>13</v>
      </c>
      <c r="E209" s="21">
        <v>6</v>
      </c>
      <c r="F209" s="21">
        <v>2</v>
      </c>
      <c r="G209" s="21">
        <v>2</v>
      </c>
      <c r="H209" s="21">
        <v>25</v>
      </c>
      <c r="I209" s="21">
        <v>4</v>
      </c>
      <c r="J209" s="21">
        <f>SUM(DataTbl[[#This Row],[Likes]:[Shares]])</f>
        <v>23</v>
      </c>
      <c r="K209" s="24">
        <f>DataTbl[[#This Row],[Engagement]]/DataTbl[[#This Row],[Views]]</f>
        <v>6.5340909090909088E-2</v>
      </c>
      <c r="L209" s="21">
        <f>SUM(DataTbl[[#This Row],[Profile Visits]:[New Followers]])</f>
        <v>29</v>
      </c>
    </row>
    <row r="210" spans="1:12" x14ac:dyDescent="0.3">
      <c r="A210" s="42">
        <v>45771</v>
      </c>
      <c r="B210" s="21">
        <v>329</v>
      </c>
      <c r="C210" s="21">
        <v>6909</v>
      </c>
      <c r="D210" s="21">
        <v>9</v>
      </c>
      <c r="E210" s="21">
        <v>4</v>
      </c>
      <c r="F210" s="21">
        <v>1</v>
      </c>
      <c r="G210" s="21">
        <v>1</v>
      </c>
      <c r="H210" s="21">
        <v>16</v>
      </c>
      <c r="I210" s="21">
        <v>3</v>
      </c>
      <c r="J210" s="21">
        <f>SUM(DataTbl[[#This Row],[Likes]:[Shares]])</f>
        <v>15</v>
      </c>
      <c r="K210" s="24">
        <f>DataTbl[[#This Row],[Engagement]]/DataTbl[[#This Row],[Views]]</f>
        <v>4.5592705167173252E-2</v>
      </c>
      <c r="L210" s="21">
        <f>SUM(DataTbl[[#This Row],[Profile Visits]:[New Followers]])</f>
        <v>19</v>
      </c>
    </row>
    <row r="211" spans="1:12" x14ac:dyDescent="0.3">
      <c r="A211" s="42">
        <v>45772</v>
      </c>
      <c r="B211" s="21">
        <v>320</v>
      </c>
      <c r="C211" s="21">
        <v>10240</v>
      </c>
      <c r="D211" s="21">
        <v>11</v>
      </c>
      <c r="E211" s="21">
        <v>4</v>
      </c>
      <c r="F211" s="21">
        <v>1</v>
      </c>
      <c r="G211" s="21">
        <v>1</v>
      </c>
      <c r="H211" s="21">
        <v>15</v>
      </c>
      <c r="I211" s="21">
        <v>2</v>
      </c>
      <c r="J211" s="21">
        <f>SUM(DataTbl[[#This Row],[Likes]:[Shares]])</f>
        <v>17</v>
      </c>
      <c r="K211" s="24">
        <f>DataTbl[[#This Row],[Engagement]]/DataTbl[[#This Row],[Views]]</f>
        <v>5.3124999999999999E-2</v>
      </c>
      <c r="L211" s="21">
        <f>SUM(DataTbl[[#This Row],[Profile Visits]:[New Followers]])</f>
        <v>17</v>
      </c>
    </row>
    <row r="212" spans="1:12" x14ac:dyDescent="0.3">
      <c r="A212" s="42">
        <v>45773</v>
      </c>
      <c r="B212" s="21">
        <v>362</v>
      </c>
      <c r="C212" s="21">
        <v>11584</v>
      </c>
      <c r="D212" s="21">
        <v>15</v>
      </c>
      <c r="E212" s="21">
        <v>6</v>
      </c>
      <c r="F212" s="21">
        <v>2</v>
      </c>
      <c r="G212" s="21">
        <v>2</v>
      </c>
      <c r="H212" s="21">
        <v>15</v>
      </c>
      <c r="I212" s="21">
        <v>2</v>
      </c>
      <c r="J212" s="21">
        <f>SUM(DataTbl[[#This Row],[Likes]:[Shares]])</f>
        <v>25</v>
      </c>
      <c r="K212" s="24">
        <f>DataTbl[[#This Row],[Engagement]]/DataTbl[[#This Row],[Views]]</f>
        <v>6.9060773480662987E-2</v>
      </c>
      <c r="L212" s="21">
        <f>SUM(DataTbl[[#This Row],[Profile Visits]:[New Followers]])</f>
        <v>17</v>
      </c>
    </row>
    <row r="213" spans="1:12" x14ac:dyDescent="0.3">
      <c r="A213" s="42">
        <v>45774</v>
      </c>
      <c r="B213" s="21">
        <v>363</v>
      </c>
      <c r="C213" s="21">
        <v>7260</v>
      </c>
      <c r="D213" s="21">
        <v>10</v>
      </c>
      <c r="E213" s="21">
        <v>4</v>
      </c>
      <c r="F213" s="21">
        <v>1</v>
      </c>
      <c r="G213" s="21">
        <v>1</v>
      </c>
      <c r="H213" s="21">
        <v>21</v>
      </c>
      <c r="I213" s="21">
        <v>3</v>
      </c>
      <c r="J213" s="21">
        <f>SUM(DataTbl[[#This Row],[Likes]:[Shares]])</f>
        <v>16</v>
      </c>
      <c r="K213" s="24">
        <f>DataTbl[[#This Row],[Engagement]]/DataTbl[[#This Row],[Views]]</f>
        <v>4.4077134986225897E-2</v>
      </c>
      <c r="L213" s="21">
        <f>SUM(DataTbl[[#This Row],[Profile Visits]:[New Followers]])</f>
        <v>24</v>
      </c>
    </row>
    <row r="214" spans="1:12" x14ac:dyDescent="0.3">
      <c r="A214" s="42">
        <v>45775</v>
      </c>
      <c r="B214" s="21">
        <v>325</v>
      </c>
      <c r="C214" s="21">
        <v>9750</v>
      </c>
      <c r="D214" s="21">
        <v>15</v>
      </c>
      <c r="E214" s="21">
        <v>6</v>
      </c>
      <c r="F214" s="21">
        <v>2</v>
      </c>
      <c r="G214" s="21">
        <v>2</v>
      </c>
      <c r="H214" s="21">
        <v>20</v>
      </c>
      <c r="I214" s="21">
        <v>3</v>
      </c>
      <c r="J214" s="21">
        <f>SUM(DataTbl[[#This Row],[Likes]:[Shares]])</f>
        <v>25</v>
      </c>
      <c r="K214" s="24">
        <f>DataTbl[[#This Row],[Engagement]]/DataTbl[[#This Row],[Views]]</f>
        <v>7.6923076923076927E-2</v>
      </c>
      <c r="L214" s="21">
        <f>SUM(DataTbl[[#This Row],[Profile Visits]:[New Followers]])</f>
        <v>23</v>
      </c>
    </row>
    <row r="215" spans="1:12" x14ac:dyDescent="0.3">
      <c r="A215" s="42">
        <v>45776</v>
      </c>
      <c r="B215" s="21">
        <v>482</v>
      </c>
      <c r="C215" s="21">
        <v>16388</v>
      </c>
      <c r="D215" s="21">
        <v>16</v>
      </c>
      <c r="E215" s="21">
        <v>6</v>
      </c>
      <c r="F215" s="21">
        <v>2</v>
      </c>
      <c r="G215" s="21">
        <v>2</v>
      </c>
      <c r="H215" s="21">
        <v>29</v>
      </c>
      <c r="I215" s="21">
        <v>11</v>
      </c>
      <c r="J215" s="21">
        <f>SUM(DataTbl[[#This Row],[Likes]:[Shares]])</f>
        <v>26</v>
      </c>
      <c r="K215" s="24">
        <f>DataTbl[[#This Row],[Engagement]]/DataTbl[[#This Row],[Views]]</f>
        <v>5.3941908713692949E-2</v>
      </c>
      <c r="L215" s="21">
        <f>SUM(DataTbl[[#This Row],[Profile Visits]:[New Followers]])</f>
        <v>40</v>
      </c>
    </row>
    <row r="216" spans="1:12" x14ac:dyDescent="0.3">
      <c r="A216" s="42">
        <v>45777</v>
      </c>
      <c r="B216" s="21">
        <v>685</v>
      </c>
      <c r="C216" s="21">
        <v>17125</v>
      </c>
      <c r="D216" s="21">
        <v>18</v>
      </c>
      <c r="E216" s="21">
        <v>7</v>
      </c>
      <c r="F216" s="21">
        <v>2</v>
      </c>
      <c r="G216" s="21">
        <v>2</v>
      </c>
      <c r="H216" s="21">
        <v>30</v>
      </c>
      <c r="I216" s="21">
        <v>5</v>
      </c>
      <c r="J216" s="21">
        <f>SUM(DataTbl[[#This Row],[Likes]:[Shares]])</f>
        <v>29</v>
      </c>
      <c r="K216" s="24">
        <f>DataTbl[[#This Row],[Engagement]]/DataTbl[[#This Row],[Views]]</f>
        <v>4.2335766423357665E-2</v>
      </c>
      <c r="L216" s="21">
        <f>SUM(DataTbl[[#This Row],[Profile Visits]:[New Followers]])</f>
        <v>35</v>
      </c>
    </row>
    <row r="217" spans="1:12" x14ac:dyDescent="0.3">
      <c r="A217" s="42">
        <v>45778</v>
      </c>
      <c r="B217" s="21">
        <v>579</v>
      </c>
      <c r="C217" s="21">
        <v>18528</v>
      </c>
      <c r="D217" s="21">
        <v>23</v>
      </c>
      <c r="E217" s="21">
        <v>10</v>
      </c>
      <c r="F217" s="21">
        <v>4</v>
      </c>
      <c r="G217" s="21">
        <v>3</v>
      </c>
      <c r="H217" s="21">
        <v>25</v>
      </c>
      <c r="I217" s="21">
        <v>11</v>
      </c>
      <c r="J217" s="21">
        <f>SUM(DataTbl[[#This Row],[Likes]:[Shares]])</f>
        <v>40</v>
      </c>
      <c r="K217" s="24">
        <f>DataTbl[[#This Row],[Engagement]]/DataTbl[[#This Row],[Views]]</f>
        <v>6.9084628670120898E-2</v>
      </c>
      <c r="L217" s="21">
        <f>SUM(DataTbl[[#This Row],[Profile Visits]:[New Followers]])</f>
        <v>36</v>
      </c>
    </row>
    <row r="218" spans="1:12" x14ac:dyDescent="0.3">
      <c r="A218" s="42">
        <v>45779</v>
      </c>
      <c r="B218" s="21">
        <v>700</v>
      </c>
      <c r="C218" s="21">
        <v>15400</v>
      </c>
      <c r="D218" s="21">
        <v>27</v>
      </c>
      <c r="E218" s="21">
        <v>10</v>
      </c>
      <c r="F218" s="21">
        <v>5</v>
      </c>
      <c r="G218" s="21">
        <v>4</v>
      </c>
      <c r="H218" s="21">
        <v>53</v>
      </c>
      <c r="I218" s="21">
        <v>16</v>
      </c>
      <c r="J218" s="21">
        <f>SUM(DataTbl[[#This Row],[Likes]:[Shares]])</f>
        <v>46</v>
      </c>
      <c r="K218" s="24">
        <f>DataTbl[[#This Row],[Engagement]]/DataTbl[[#This Row],[Views]]</f>
        <v>6.5714285714285711E-2</v>
      </c>
      <c r="L218" s="21">
        <f>SUM(DataTbl[[#This Row],[Profile Visits]:[New Followers]])</f>
        <v>69</v>
      </c>
    </row>
    <row r="219" spans="1:12" x14ac:dyDescent="0.3">
      <c r="A219" s="42">
        <v>45780</v>
      </c>
      <c r="B219" s="21">
        <v>748</v>
      </c>
      <c r="C219" s="21">
        <v>26180</v>
      </c>
      <c r="D219" s="21">
        <v>17</v>
      </c>
      <c r="E219" s="21">
        <v>8</v>
      </c>
      <c r="F219" s="21">
        <v>2</v>
      </c>
      <c r="G219" s="21">
        <v>3</v>
      </c>
      <c r="H219" s="21">
        <v>58</v>
      </c>
      <c r="I219" s="21">
        <v>13</v>
      </c>
      <c r="J219" s="21">
        <f>SUM(DataTbl[[#This Row],[Likes]:[Shares]])</f>
        <v>30</v>
      </c>
      <c r="K219" s="24">
        <f>DataTbl[[#This Row],[Engagement]]/DataTbl[[#This Row],[Views]]</f>
        <v>4.0106951871657755E-2</v>
      </c>
      <c r="L219" s="21">
        <f>SUM(DataTbl[[#This Row],[Profile Visits]:[New Followers]])</f>
        <v>71</v>
      </c>
    </row>
    <row r="220" spans="1:12" x14ac:dyDescent="0.3">
      <c r="A220" s="42">
        <v>45781</v>
      </c>
      <c r="B220" s="21">
        <v>421</v>
      </c>
      <c r="C220" s="21">
        <v>7999</v>
      </c>
      <c r="D220" s="21">
        <v>13</v>
      </c>
      <c r="E220" s="21">
        <v>4</v>
      </c>
      <c r="F220" s="21">
        <v>1</v>
      </c>
      <c r="G220" s="21">
        <v>2</v>
      </c>
      <c r="H220" s="21">
        <v>34</v>
      </c>
      <c r="I220" s="21">
        <v>6</v>
      </c>
      <c r="J220" s="21">
        <f>SUM(DataTbl[[#This Row],[Likes]:[Shares]])</f>
        <v>20</v>
      </c>
      <c r="K220" s="24">
        <f>DataTbl[[#This Row],[Engagement]]/DataTbl[[#This Row],[Views]]</f>
        <v>4.7505938242280284E-2</v>
      </c>
      <c r="L220" s="21">
        <f>SUM(DataTbl[[#This Row],[Profile Visits]:[New Followers]])</f>
        <v>40</v>
      </c>
    </row>
    <row r="221" spans="1:12" x14ac:dyDescent="0.3">
      <c r="A221" s="42">
        <v>45782</v>
      </c>
      <c r="B221" s="21">
        <v>368</v>
      </c>
      <c r="C221" s="21">
        <v>11776</v>
      </c>
      <c r="D221" s="21">
        <v>16</v>
      </c>
      <c r="E221" s="21">
        <v>6</v>
      </c>
      <c r="F221" s="21">
        <v>2</v>
      </c>
      <c r="G221" s="21">
        <v>2</v>
      </c>
      <c r="H221" s="21">
        <v>21</v>
      </c>
      <c r="I221" s="21">
        <v>4</v>
      </c>
      <c r="J221" s="21">
        <f>SUM(DataTbl[[#This Row],[Likes]:[Shares]])</f>
        <v>26</v>
      </c>
      <c r="K221" s="24">
        <f>DataTbl[[#This Row],[Engagement]]/DataTbl[[#This Row],[Views]]</f>
        <v>7.0652173913043473E-2</v>
      </c>
      <c r="L221" s="21">
        <f>SUM(DataTbl[[#This Row],[Profile Visits]:[New Followers]])</f>
        <v>25</v>
      </c>
    </row>
    <row r="222" spans="1:12" x14ac:dyDescent="0.3">
      <c r="A222" s="42">
        <v>45783</v>
      </c>
      <c r="B222" s="21">
        <v>339</v>
      </c>
      <c r="C222" s="21">
        <v>6441</v>
      </c>
      <c r="D222" s="21">
        <v>9</v>
      </c>
      <c r="E222" s="21">
        <v>3</v>
      </c>
      <c r="F222" s="21">
        <v>1</v>
      </c>
      <c r="G222" s="21">
        <v>1</v>
      </c>
      <c r="H222" s="21">
        <v>22</v>
      </c>
      <c r="I222" s="21">
        <v>4</v>
      </c>
      <c r="J222" s="21">
        <f>SUM(DataTbl[[#This Row],[Likes]:[Shares]])</f>
        <v>14</v>
      </c>
      <c r="K222" s="24">
        <f>DataTbl[[#This Row],[Engagement]]/DataTbl[[#This Row],[Views]]</f>
        <v>4.1297935103244837E-2</v>
      </c>
      <c r="L222" s="21">
        <f>SUM(DataTbl[[#This Row],[Profile Visits]:[New Followers]])</f>
        <v>26</v>
      </c>
    </row>
    <row r="223" spans="1:12" x14ac:dyDescent="0.3">
      <c r="A223" s="42">
        <v>45784</v>
      </c>
      <c r="B223" s="21">
        <v>281</v>
      </c>
      <c r="C223" s="21">
        <v>8992</v>
      </c>
      <c r="D223" s="21">
        <v>6</v>
      </c>
      <c r="E223" s="21">
        <v>3</v>
      </c>
      <c r="F223" s="21">
        <v>1</v>
      </c>
      <c r="G223" s="21">
        <v>1</v>
      </c>
      <c r="H223" s="21">
        <v>12</v>
      </c>
      <c r="I223" s="21">
        <v>1</v>
      </c>
      <c r="J223" s="21">
        <f>SUM(DataTbl[[#This Row],[Likes]:[Shares]])</f>
        <v>11</v>
      </c>
      <c r="K223" s="24">
        <f>DataTbl[[#This Row],[Engagement]]/DataTbl[[#This Row],[Views]]</f>
        <v>3.9145907473309607E-2</v>
      </c>
      <c r="L223" s="21">
        <f>SUM(DataTbl[[#This Row],[Profile Visits]:[New Followers]])</f>
        <v>13</v>
      </c>
    </row>
    <row r="224" spans="1:12" x14ac:dyDescent="0.3">
      <c r="A224" s="42">
        <v>45785</v>
      </c>
      <c r="B224" s="21">
        <v>324</v>
      </c>
      <c r="C224" s="21">
        <v>6156</v>
      </c>
      <c r="D224" s="21">
        <v>14</v>
      </c>
      <c r="E224" s="21">
        <v>6</v>
      </c>
      <c r="F224" s="21">
        <v>1</v>
      </c>
      <c r="G224" s="21">
        <v>1</v>
      </c>
      <c r="H224" s="21">
        <v>17</v>
      </c>
      <c r="I224" s="21">
        <v>2</v>
      </c>
      <c r="J224" s="21">
        <f>SUM(DataTbl[[#This Row],[Likes]:[Shares]])</f>
        <v>22</v>
      </c>
      <c r="K224" s="24">
        <f>DataTbl[[#This Row],[Engagement]]/DataTbl[[#This Row],[Views]]</f>
        <v>6.7901234567901231E-2</v>
      </c>
      <c r="L224" s="21">
        <f>SUM(DataTbl[[#This Row],[Profile Visits]:[New Followers]])</f>
        <v>19</v>
      </c>
    </row>
    <row r="225" spans="1:12" x14ac:dyDescent="0.3">
      <c r="A225" s="42">
        <v>45786</v>
      </c>
      <c r="B225" s="21">
        <v>390</v>
      </c>
      <c r="C225" s="21">
        <v>13260</v>
      </c>
      <c r="D225" s="21">
        <v>14</v>
      </c>
      <c r="E225" s="21">
        <v>6</v>
      </c>
      <c r="F225" s="21">
        <v>1</v>
      </c>
      <c r="G225" s="21">
        <v>1</v>
      </c>
      <c r="H225" s="21">
        <v>30</v>
      </c>
      <c r="I225" s="21">
        <v>4</v>
      </c>
      <c r="J225" s="21">
        <f>SUM(DataTbl[[#This Row],[Likes]:[Shares]])</f>
        <v>22</v>
      </c>
      <c r="K225" s="24">
        <f>DataTbl[[#This Row],[Engagement]]/DataTbl[[#This Row],[Views]]</f>
        <v>5.6410256410256411E-2</v>
      </c>
      <c r="L225" s="21">
        <f>SUM(DataTbl[[#This Row],[Profile Visits]:[New Followers]])</f>
        <v>34</v>
      </c>
    </row>
    <row r="226" spans="1:12" x14ac:dyDescent="0.3">
      <c r="A226" s="42">
        <v>45787</v>
      </c>
      <c r="B226" s="21">
        <v>346</v>
      </c>
      <c r="C226" s="21">
        <v>6228</v>
      </c>
      <c r="D226" s="21">
        <v>8</v>
      </c>
      <c r="E226" s="21">
        <v>3</v>
      </c>
      <c r="F226" s="21">
        <v>1</v>
      </c>
      <c r="G226" s="21">
        <v>1</v>
      </c>
      <c r="H226" s="21">
        <v>21</v>
      </c>
      <c r="I226" s="21">
        <v>3</v>
      </c>
      <c r="J226" s="21">
        <f>SUM(DataTbl[[#This Row],[Likes]:[Shares]])</f>
        <v>13</v>
      </c>
      <c r="K226" s="24">
        <f>DataTbl[[#This Row],[Engagement]]/DataTbl[[#This Row],[Views]]</f>
        <v>3.7572254335260118E-2</v>
      </c>
      <c r="L226" s="21">
        <f>SUM(DataTbl[[#This Row],[Profile Visits]:[New Followers]])</f>
        <v>24</v>
      </c>
    </row>
    <row r="227" spans="1:12" x14ac:dyDescent="0.3">
      <c r="A227" s="42">
        <v>45788</v>
      </c>
      <c r="B227" s="21">
        <v>383</v>
      </c>
      <c r="C227" s="21">
        <v>9958</v>
      </c>
      <c r="D227" s="21">
        <v>16</v>
      </c>
      <c r="E227" s="21">
        <v>7</v>
      </c>
      <c r="F227" s="21">
        <v>2</v>
      </c>
      <c r="G227" s="21">
        <v>2</v>
      </c>
      <c r="H227" s="21">
        <v>20</v>
      </c>
      <c r="I227" s="21">
        <v>2</v>
      </c>
      <c r="J227" s="21">
        <f>SUM(DataTbl[[#This Row],[Likes]:[Shares]])</f>
        <v>27</v>
      </c>
      <c r="K227" s="24">
        <f>DataTbl[[#This Row],[Engagement]]/DataTbl[[#This Row],[Views]]</f>
        <v>7.0496083550913843E-2</v>
      </c>
      <c r="L227" s="21">
        <f>SUM(DataTbl[[#This Row],[Profile Visits]:[New Followers]])</f>
        <v>22</v>
      </c>
    </row>
    <row r="228" spans="1:12" x14ac:dyDescent="0.3">
      <c r="A228" s="42">
        <v>45789</v>
      </c>
      <c r="B228" s="21">
        <v>360</v>
      </c>
      <c r="C228" s="21">
        <v>12240</v>
      </c>
      <c r="D228" s="21">
        <v>10</v>
      </c>
      <c r="E228" s="21">
        <v>4</v>
      </c>
      <c r="F228" s="21">
        <v>1</v>
      </c>
      <c r="G228" s="21">
        <v>1</v>
      </c>
      <c r="H228" s="21">
        <v>18</v>
      </c>
      <c r="I228" s="21">
        <v>2</v>
      </c>
      <c r="J228" s="21">
        <f>SUM(DataTbl[[#This Row],[Likes]:[Shares]])</f>
        <v>16</v>
      </c>
      <c r="K228" s="24">
        <f>DataTbl[[#This Row],[Engagement]]/DataTbl[[#This Row],[Views]]</f>
        <v>4.4444444444444446E-2</v>
      </c>
      <c r="L228" s="21">
        <f>SUM(DataTbl[[#This Row],[Profile Visits]:[New Followers]])</f>
        <v>20</v>
      </c>
    </row>
    <row r="229" spans="1:12" x14ac:dyDescent="0.3">
      <c r="A229" s="42">
        <v>45790</v>
      </c>
      <c r="B229" s="21">
        <v>383</v>
      </c>
      <c r="C229" s="21">
        <v>7277</v>
      </c>
      <c r="D229" s="21">
        <v>11</v>
      </c>
      <c r="E229" s="21">
        <v>4</v>
      </c>
      <c r="F229" s="21">
        <v>2</v>
      </c>
      <c r="G229" s="21">
        <v>1</v>
      </c>
      <c r="H229" s="21">
        <v>26</v>
      </c>
      <c r="I229" s="21">
        <v>4</v>
      </c>
      <c r="J229" s="21">
        <f>SUM(DataTbl[[#This Row],[Likes]:[Shares]])</f>
        <v>18</v>
      </c>
      <c r="K229" s="24">
        <f>DataTbl[[#This Row],[Engagement]]/DataTbl[[#This Row],[Views]]</f>
        <v>4.6997389033942558E-2</v>
      </c>
      <c r="L229" s="21">
        <f>SUM(DataTbl[[#This Row],[Profile Visits]:[New Followers]])</f>
        <v>30</v>
      </c>
    </row>
    <row r="230" spans="1:12" x14ac:dyDescent="0.3">
      <c r="A230" s="42">
        <v>45791</v>
      </c>
      <c r="B230" s="21">
        <v>297</v>
      </c>
      <c r="C230" s="21">
        <v>6534</v>
      </c>
      <c r="D230" s="21">
        <v>9</v>
      </c>
      <c r="E230" s="21">
        <v>4</v>
      </c>
      <c r="F230" s="21">
        <v>1</v>
      </c>
      <c r="G230" s="21">
        <v>1</v>
      </c>
      <c r="H230" s="21">
        <v>13</v>
      </c>
      <c r="I230" s="21">
        <v>2</v>
      </c>
      <c r="J230" s="21">
        <f>SUM(DataTbl[[#This Row],[Likes]:[Shares]])</f>
        <v>15</v>
      </c>
      <c r="K230" s="24">
        <f>DataTbl[[#This Row],[Engagement]]/DataTbl[[#This Row],[Views]]</f>
        <v>5.0505050505050504E-2</v>
      </c>
      <c r="L230" s="21">
        <f>SUM(DataTbl[[#This Row],[Profile Visits]:[New Followers]])</f>
        <v>15</v>
      </c>
    </row>
    <row r="231" spans="1:12" x14ac:dyDescent="0.3">
      <c r="A231" s="42">
        <v>45792</v>
      </c>
      <c r="B231" s="21">
        <v>371</v>
      </c>
      <c r="C231" s="21">
        <v>9275</v>
      </c>
      <c r="D231" s="21">
        <v>12</v>
      </c>
      <c r="E231" s="21">
        <v>4</v>
      </c>
      <c r="F231" s="21">
        <v>1</v>
      </c>
      <c r="G231" s="21">
        <v>1</v>
      </c>
      <c r="H231" s="21">
        <v>20</v>
      </c>
      <c r="I231" s="21">
        <v>2</v>
      </c>
      <c r="J231" s="21">
        <f>SUM(DataTbl[[#This Row],[Likes]:[Shares]])</f>
        <v>18</v>
      </c>
      <c r="K231" s="24">
        <f>DataTbl[[#This Row],[Engagement]]/DataTbl[[#This Row],[Views]]</f>
        <v>4.8517520215633422E-2</v>
      </c>
      <c r="L231" s="21">
        <f>SUM(DataTbl[[#This Row],[Profile Visits]:[New Followers]])</f>
        <v>22</v>
      </c>
    </row>
    <row r="232" spans="1:12" x14ac:dyDescent="0.3">
      <c r="A232" s="42">
        <v>45793</v>
      </c>
      <c r="B232" s="21">
        <v>314</v>
      </c>
      <c r="C232" s="21">
        <v>5652</v>
      </c>
      <c r="D232" s="21">
        <v>12</v>
      </c>
      <c r="E232" s="21">
        <v>5</v>
      </c>
      <c r="F232" s="21">
        <v>2</v>
      </c>
      <c r="G232" s="21">
        <v>1</v>
      </c>
      <c r="H232" s="21">
        <v>13</v>
      </c>
      <c r="I232" s="21">
        <v>2</v>
      </c>
      <c r="J232" s="21">
        <f>SUM(DataTbl[[#This Row],[Likes]:[Shares]])</f>
        <v>20</v>
      </c>
      <c r="K232" s="24">
        <f>DataTbl[[#This Row],[Engagement]]/DataTbl[[#This Row],[Views]]</f>
        <v>6.3694267515923567E-2</v>
      </c>
      <c r="L232" s="21">
        <f>SUM(DataTbl[[#This Row],[Profile Visits]:[New Followers]])</f>
        <v>15</v>
      </c>
    </row>
    <row r="233" spans="1:12" x14ac:dyDescent="0.3">
      <c r="A233" s="42">
        <v>45794</v>
      </c>
      <c r="B233" s="21">
        <v>401</v>
      </c>
      <c r="C233" s="21">
        <v>7218</v>
      </c>
      <c r="D233" s="21">
        <v>18</v>
      </c>
      <c r="E233" s="21">
        <v>6</v>
      </c>
      <c r="F233" s="21">
        <v>3</v>
      </c>
      <c r="G233" s="21">
        <v>3</v>
      </c>
      <c r="H233" s="21">
        <v>24</v>
      </c>
      <c r="I233" s="21">
        <v>3</v>
      </c>
      <c r="J233" s="21">
        <f>SUM(DataTbl[[#This Row],[Likes]:[Shares]])</f>
        <v>30</v>
      </c>
      <c r="K233" s="24">
        <f>DataTbl[[#This Row],[Engagement]]/DataTbl[[#This Row],[Views]]</f>
        <v>7.4812967581047385E-2</v>
      </c>
      <c r="L233" s="21">
        <f>SUM(DataTbl[[#This Row],[Profile Visits]:[New Followers]])</f>
        <v>27</v>
      </c>
    </row>
    <row r="234" spans="1:12" x14ac:dyDescent="0.3">
      <c r="A234" s="42">
        <v>45795</v>
      </c>
      <c r="B234" s="21">
        <v>413</v>
      </c>
      <c r="C234" s="21">
        <v>13216</v>
      </c>
      <c r="D234" s="21">
        <v>18</v>
      </c>
      <c r="E234" s="21">
        <v>7</v>
      </c>
      <c r="F234" s="21">
        <v>2</v>
      </c>
      <c r="G234" s="21">
        <v>2</v>
      </c>
      <c r="H234" s="21">
        <v>32</v>
      </c>
      <c r="I234" s="21">
        <v>4</v>
      </c>
      <c r="J234" s="21">
        <f>SUM(DataTbl[[#This Row],[Likes]:[Shares]])</f>
        <v>29</v>
      </c>
      <c r="K234" s="24">
        <f>DataTbl[[#This Row],[Engagement]]/DataTbl[[#This Row],[Views]]</f>
        <v>7.0217917675544791E-2</v>
      </c>
      <c r="L234" s="21">
        <f>SUM(DataTbl[[#This Row],[Profile Visits]:[New Followers]])</f>
        <v>36</v>
      </c>
    </row>
    <row r="235" spans="1:12" x14ac:dyDescent="0.3">
      <c r="A235" s="42">
        <v>45796</v>
      </c>
      <c r="B235" s="21">
        <v>708</v>
      </c>
      <c r="C235" s="21">
        <v>17700</v>
      </c>
      <c r="D235" s="21">
        <v>21</v>
      </c>
      <c r="E235" s="21">
        <v>8</v>
      </c>
      <c r="F235" s="21">
        <v>2</v>
      </c>
      <c r="G235" s="21">
        <v>3</v>
      </c>
      <c r="H235" s="21">
        <v>41</v>
      </c>
      <c r="I235" s="21">
        <v>11</v>
      </c>
      <c r="J235" s="21">
        <f>SUM(DataTbl[[#This Row],[Likes]:[Shares]])</f>
        <v>34</v>
      </c>
      <c r="K235" s="24">
        <f>DataTbl[[#This Row],[Engagement]]/DataTbl[[#This Row],[Views]]</f>
        <v>4.8022598870056499E-2</v>
      </c>
      <c r="L235" s="21">
        <f>SUM(DataTbl[[#This Row],[Profile Visits]:[New Followers]])</f>
        <v>52</v>
      </c>
    </row>
    <row r="236" spans="1:12" x14ac:dyDescent="0.3">
      <c r="A236" s="42">
        <v>45797</v>
      </c>
      <c r="B236" s="21">
        <v>845</v>
      </c>
      <c r="C236" s="21">
        <v>17745</v>
      </c>
      <c r="D236" s="21">
        <v>18</v>
      </c>
      <c r="E236" s="21">
        <v>9</v>
      </c>
      <c r="F236" s="21">
        <v>3</v>
      </c>
      <c r="G236" s="21">
        <v>3</v>
      </c>
      <c r="H236" s="21">
        <v>38</v>
      </c>
      <c r="I236" s="21">
        <v>11</v>
      </c>
      <c r="J236" s="21">
        <f>SUM(DataTbl[[#This Row],[Likes]:[Shares]])</f>
        <v>33</v>
      </c>
      <c r="K236" s="24">
        <f>DataTbl[[#This Row],[Engagement]]/DataTbl[[#This Row],[Views]]</f>
        <v>3.9053254437869819E-2</v>
      </c>
      <c r="L236" s="21">
        <f>SUM(DataTbl[[#This Row],[Profile Visits]:[New Followers]])</f>
        <v>49</v>
      </c>
    </row>
    <row r="237" spans="1:12" x14ac:dyDescent="0.3">
      <c r="A237" s="42">
        <v>45798</v>
      </c>
      <c r="B237" s="21">
        <v>795</v>
      </c>
      <c r="C237" s="21">
        <v>21465</v>
      </c>
      <c r="D237" s="21">
        <v>24</v>
      </c>
      <c r="E237" s="21">
        <v>9</v>
      </c>
      <c r="F237" s="21">
        <v>3</v>
      </c>
      <c r="G237" s="21">
        <v>4</v>
      </c>
      <c r="H237" s="21">
        <v>34</v>
      </c>
      <c r="I237" s="21">
        <v>6</v>
      </c>
      <c r="J237" s="21">
        <f>SUM(DataTbl[[#This Row],[Likes]:[Shares]])</f>
        <v>40</v>
      </c>
      <c r="K237" s="24">
        <f>DataTbl[[#This Row],[Engagement]]/DataTbl[[#This Row],[Views]]</f>
        <v>5.0314465408805034E-2</v>
      </c>
      <c r="L237" s="21">
        <f>SUM(DataTbl[[#This Row],[Profile Visits]:[New Followers]])</f>
        <v>40</v>
      </c>
    </row>
    <row r="238" spans="1:12" x14ac:dyDescent="0.3">
      <c r="A238" s="42">
        <v>45799</v>
      </c>
      <c r="B238" s="21">
        <v>311</v>
      </c>
      <c r="C238" s="21">
        <v>6842</v>
      </c>
      <c r="D238" s="21">
        <v>7</v>
      </c>
      <c r="E238" s="21">
        <v>3</v>
      </c>
      <c r="F238" s="21">
        <v>1</v>
      </c>
      <c r="G238" s="21">
        <v>1</v>
      </c>
      <c r="H238" s="21">
        <v>20</v>
      </c>
      <c r="I238" s="21">
        <v>3</v>
      </c>
      <c r="J238" s="21">
        <f>SUM(DataTbl[[#This Row],[Likes]:[Shares]])</f>
        <v>12</v>
      </c>
      <c r="K238" s="24">
        <f>DataTbl[[#This Row],[Engagement]]/DataTbl[[#This Row],[Views]]</f>
        <v>3.8585209003215437E-2</v>
      </c>
      <c r="L238" s="21">
        <f>SUM(DataTbl[[#This Row],[Profile Visits]:[New Followers]])</f>
        <v>23</v>
      </c>
    </row>
    <row r="239" spans="1:12" x14ac:dyDescent="0.3">
      <c r="A239" s="42">
        <v>45800</v>
      </c>
      <c r="B239" s="21">
        <v>308</v>
      </c>
      <c r="C239" s="21">
        <v>10164</v>
      </c>
      <c r="D239" s="21">
        <v>8</v>
      </c>
      <c r="E239" s="21">
        <v>3</v>
      </c>
      <c r="F239" s="21">
        <v>1</v>
      </c>
      <c r="G239" s="21">
        <v>1</v>
      </c>
      <c r="H239" s="21">
        <v>12</v>
      </c>
      <c r="I239" s="21">
        <v>2</v>
      </c>
      <c r="J239" s="21">
        <f>SUM(DataTbl[[#This Row],[Likes]:[Shares]])</f>
        <v>13</v>
      </c>
      <c r="K239" s="24">
        <f>DataTbl[[#This Row],[Engagement]]/DataTbl[[#This Row],[Views]]</f>
        <v>4.2207792207792208E-2</v>
      </c>
      <c r="L239" s="21">
        <f>SUM(DataTbl[[#This Row],[Profile Visits]:[New Followers]])</f>
        <v>14</v>
      </c>
    </row>
    <row r="240" spans="1:12" x14ac:dyDescent="0.3">
      <c r="A240" s="42">
        <v>45801</v>
      </c>
      <c r="B240" s="21">
        <v>524</v>
      </c>
      <c r="C240" s="21">
        <v>13100</v>
      </c>
      <c r="D240" s="21">
        <v>19</v>
      </c>
      <c r="E240" s="21">
        <v>8</v>
      </c>
      <c r="F240" s="21">
        <v>3</v>
      </c>
      <c r="G240" s="21">
        <v>3</v>
      </c>
      <c r="H240" s="21">
        <v>41</v>
      </c>
      <c r="I240" s="21">
        <v>4</v>
      </c>
      <c r="J240" s="21">
        <f>SUM(DataTbl[[#This Row],[Likes]:[Shares]])</f>
        <v>33</v>
      </c>
      <c r="K240" s="24">
        <f>DataTbl[[#This Row],[Engagement]]/DataTbl[[#This Row],[Views]]</f>
        <v>6.2977099236641215E-2</v>
      </c>
      <c r="L240" s="21">
        <f>SUM(DataTbl[[#This Row],[Profile Visits]:[New Followers]])</f>
        <v>45</v>
      </c>
    </row>
    <row r="241" spans="1:12" x14ac:dyDescent="0.3">
      <c r="A241" s="42">
        <v>45802</v>
      </c>
      <c r="B241" s="21">
        <v>374</v>
      </c>
      <c r="C241" s="21">
        <v>10098</v>
      </c>
      <c r="D241" s="21">
        <v>9</v>
      </c>
      <c r="E241" s="21">
        <v>4</v>
      </c>
      <c r="F241" s="21">
        <v>1</v>
      </c>
      <c r="G241" s="21">
        <v>1</v>
      </c>
      <c r="H241" s="21">
        <v>24</v>
      </c>
      <c r="I241" s="21">
        <v>3</v>
      </c>
      <c r="J241" s="21">
        <f>SUM(DataTbl[[#This Row],[Likes]:[Shares]])</f>
        <v>15</v>
      </c>
      <c r="K241" s="24">
        <f>DataTbl[[#This Row],[Engagement]]/DataTbl[[#This Row],[Views]]</f>
        <v>4.0106951871657755E-2</v>
      </c>
      <c r="L241" s="21">
        <f>SUM(DataTbl[[#This Row],[Profile Visits]:[New Followers]])</f>
        <v>27</v>
      </c>
    </row>
    <row r="242" spans="1:12" x14ac:dyDescent="0.3">
      <c r="A242" s="42">
        <v>45803</v>
      </c>
      <c r="B242" s="21">
        <v>409</v>
      </c>
      <c r="C242" s="21">
        <v>11043</v>
      </c>
      <c r="D242" s="21">
        <v>18</v>
      </c>
      <c r="E242" s="21">
        <v>8</v>
      </c>
      <c r="F242" s="21">
        <v>3</v>
      </c>
      <c r="G242" s="21">
        <v>2</v>
      </c>
      <c r="H242" s="21">
        <v>17</v>
      </c>
      <c r="I242" s="21">
        <v>3</v>
      </c>
      <c r="J242" s="21">
        <f>SUM(DataTbl[[#This Row],[Likes]:[Shares]])</f>
        <v>31</v>
      </c>
      <c r="K242" s="24">
        <f>DataTbl[[#This Row],[Engagement]]/DataTbl[[#This Row],[Views]]</f>
        <v>7.5794621026894868E-2</v>
      </c>
      <c r="L242" s="21">
        <f>SUM(DataTbl[[#This Row],[Profile Visits]:[New Followers]])</f>
        <v>20</v>
      </c>
    </row>
    <row r="243" spans="1:12" x14ac:dyDescent="0.3">
      <c r="A243" s="42">
        <v>45804</v>
      </c>
      <c r="B243" s="21">
        <v>316</v>
      </c>
      <c r="C243" s="21">
        <v>8216</v>
      </c>
      <c r="D243" s="21">
        <v>7</v>
      </c>
      <c r="E243" s="21">
        <v>4</v>
      </c>
      <c r="F243" s="21">
        <v>1</v>
      </c>
      <c r="G243" s="21">
        <v>1</v>
      </c>
      <c r="H243" s="21">
        <v>23</v>
      </c>
      <c r="I243" s="21">
        <v>4</v>
      </c>
      <c r="J243" s="21">
        <f>SUM(DataTbl[[#This Row],[Likes]:[Shares]])</f>
        <v>13</v>
      </c>
      <c r="K243" s="24">
        <f>DataTbl[[#This Row],[Engagement]]/DataTbl[[#This Row],[Views]]</f>
        <v>4.1139240506329111E-2</v>
      </c>
      <c r="L243" s="21">
        <f>SUM(DataTbl[[#This Row],[Profile Visits]:[New Followers]])</f>
        <v>27</v>
      </c>
    </row>
    <row r="244" spans="1:12" x14ac:dyDescent="0.3">
      <c r="A244" s="42">
        <v>45805</v>
      </c>
      <c r="B244" s="21">
        <v>320</v>
      </c>
      <c r="C244" s="21">
        <v>6080</v>
      </c>
      <c r="D244" s="21">
        <v>11</v>
      </c>
      <c r="E244" s="21">
        <v>5</v>
      </c>
      <c r="F244" s="21">
        <v>2</v>
      </c>
      <c r="G244" s="21">
        <v>1</v>
      </c>
      <c r="H244" s="21">
        <v>13</v>
      </c>
      <c r="I244" s="21">
        <v>2</v>
      </c>
      <c r="J244" s="21">
        <f>SUM(DataTbl[[#This Row],[Likes]:[Shares]])</f>
        <v>19</v>
      </c>
      <c r="K244" s="24">
        <f>DataTbl[[#This Row],[Engagement]]/DataTbl[[#This Row],[Views]]</f>
        <v>5.9374999999999997E-2</v>
      </c>
      <c r="L244" s="21">
        <f>SUM(DataTbl[[#This Row],[Profile Visits]:[New Followers]])</f>
        <v>15</v>
      </c>
    </row>
    <row r="245" spans="1:12" x14ac:dyDescent="0.3">
      <c r="A245" s="42">
        <v>45806</v>
      </c>
      <c r="B245" s="21">
        <v>378</v>
      </c>
      <c r="C245" s="21">
        <v>11340</v>
      </c>
      <c r="D245" s="21">
        <v>13</v>
      </c>
      <c r="E245" s="21">
        <v>5</v>
      </c>
      <c r="F245" s="21">
        <v>2</v>
      </c>
      <c r="G245" s="21">
        <v>2</v>
      </c>
      <c r="H245" s="21">
        <v>22</v>
      </c>
      <c r="I245" s="21">
        <v>4</v>
      </c>
      <c r="J245" s="21">
        <f>SUM(DataTbl[[#This Row],[Likes]:[Shares]])</f>
        <v>22</v>
      </c>
      <c r="K245" s="24">
        <f>DataTbl[[#This Row],[Engagement]]/DataTbl[[#This Row],[Views]]</f>
        <v>5.8201058201058198E-2</v>
      </c>
      <c r="L245" s="21">
        <f>SUM(DataTbl[[#This Row],[Profile Visits]:[New Followers]])</f>
        <v>26</v>
      </c>
    </row>
    <row r="246" spans="1:12" x14ac:dyDescent="0.3">
      <c r="A246" s="42">
        <v>45807</v>
      </c>
      <c r="B246" s="21">
        <v>561</v>
      </c>
      <c r="C246" s="21">
        <v>10659</v>
      </c>
      <c r="D246" s="21">
        <v>15</v>
      </c>
      <c r="E246" s="21">
        <v>8</v>
      </c>
      <c r="F246" s="21">
        <v>2</v>
      </c>
      <c r="G246" s="21">
        <v>2</v>
      </c>
      <c r="H246" s="21">
        <v>26</v>
      </c>
      <c r="I246" s="21">
        <v>4</v>
      </c>
      <c r="J246" s="21">
        <f>SUM(DataTbl[[#This Row],[Likes]:[Shares]])</f>
        <v>27</v>
      </c>
      <c r="K246" s="24">
        <f>DataTbl[[#This Row],[Engagement]]/DataTbl[[#This Row],[Views]]</f>
        <v>4.8128342245989303E-2</v>
      </c>
      <c r="L246" s="21">
        <f>SUM(DataTbl[[#This Row],[Profile Visits]:[New Followers]])</f>
        <v>30</v>
      </c>
    </row>
    <row r="247" spans="1:12" x14ac:dyDescent="0.3">
      <c r="A247" s="42">
        <v>45808</v>
      </c>
      <c r="B247" s="21">
        <v>784</v>
      </c>
      <c r="C247" s="21">
        <v>21952</v>
      </c>
      <c r="D247" s="21">
        <v>24</v>
      </c>
      <c r="E247" s="21">
        <v>12</v>
      </c>
      <c r="F247" s="21">
        <v>3</v>
      </c>
      <c r="G247" s="21">
        <v>4</v>
      </c>
      <c r="H247" s="21">
        <v>51</v>
      </c>
      <c r="I247" s="21">
        <v>16</v>
      </c>
      <c r="J247" s="21">
        <f>SUM(DataTbl[[#This Row],[Likes]:[Shares]])</f>
        <v>43</v>
      </c>
      <c r="K247" s="24">
        <f>DataTbl[[#This Row],[Engagement]]/DataTbl[[#This Row],[Views]]</f>
        <v>5.4846938775510203E-2</v>
      </c>
      <c r="L247" s="21">
        <f>SUM(DataTbl[[#This Row],[Profile Visits]:[New Followers]])</f>
        <v>67</v>
      </c>
    </row>
    <row r="248" spans="1:12" x14ac:dyDescent="0.3">
      <c r="A248" s="42">
        <v>45809</v>
      </c>
      <c r="B248" s="21">
        <v>577</v>
      </c>
      <c r="C248" s="21">
        <v>10963</v>
      </c>
      <c r="D248" s="21">
        <v>15</v>
      </c>
      <c r="E248" s="21">
        <v>7</v>
      </c>
      <c r="F248" s="21">
        <v>2</v>
      </c>
      <c r="G248" s="21">
        <v>1</v>
      </c>
      <c r="H248" s="21">
        <v>35</v>
      </c>
      <c r="I248" s="21">
        <v>5</v>
      </c>
      <c r="J248" s="21">
        <f>SUM(DataTbl[[#This Row],[Likes]:[Shares]])</f>
        <v>25</v>
      </c>
      <c r="K248" s="24">
        <f>DataTbl[[#This Row],[Engagement]]/DataTbl[[#This Row],[Views]]</f>
        <v>4.3327556325823226E-2</v>
      </c>
      <c r="L248" s="21">
        <f>SUM(DataTbl[[#This Row],[Profile Visits]:[New Followers]])</f>
        <v>40</v>
      </c>
    </row>
    <row r="249" spans="1:12" x14ac:dyDescent="0.3">
      <c r="A249" s="42">
        <v>45810</v>
      </c>
      <c r="B249" s="21">
        <v>403</v>
      </c>
      <c r="C249" s="21">
        <v>9269</v>
      </c>
      <c r="D249" s="21">
        <v>12</v>
      </c>
      <c r="E249" s="21">
        <v>5</v>
      </c>
      <c r="F249" s="21">
        <v>2</v>
      </c>
      <c r="G249" s="21">
        <v>2</v>
      </c>
      <c r="H249" s="21">
        <v>21</v>
      </c>
      <c r="I249" s="21">
        <v>4</v>
      </c>
      <c r="J249" s="21">
        <f>SUM(DataTbl[[#This Row],[Likes]:[Shares]])</f>
        <v>21</v>
      </c>
      <c r="K249" s="24">
        <f>DataTbl[[#This Row],[Engagement]]/DataTbl[[#This Row],[Views]]</f>
        <v>5.2109181141439205E-2</v>
      </c>
      <c r="L249" s="21">
        <f>SUM(DataTbl[[#This Row],[Profile Visits]:[New Followers]])</f>
        <v>25</v>
      </c>
    </row>
    <row r="250" spans="1:12" x14ac:dyDescent="0.3">
      <c r="A250" s="42">
        <v>45811</v>
      </c>
      <c r="B250" s="21">
        <v>340</v>
      </c>
      <c r="C250" s="21">
        <v>11220</v>
      </c>
      <c r="D250" s="21">
        <v>15</v>
      </c>
      <c r="E250" s="21">
        <v>6</v>
      </c>
      <c r="F250" s="21">
        <v>1</v>
      </c>
      <c r="G250" s="21">
        <v>2</v>
      </c>
      <c r="H250" s="21">
        <v>25</v>
      </c>
      <c r="I250" s="21">
        <v>4</v>
      </c>
      <c r="J250" s="21">
        <f>SUM(DataTbl[[#This Row],[Likes]:[Shares]])</f>
        <v>24</v>
      </c>
      <c r="K250" s="24">
        <f>DataTbl[[#This Row],[Engagement]]/DataTbl[[#This Row],[Views]]</f>
        <v>7.0588235294117646E-2</v>
      </c>
      <c r="L250" s="21">
        <f>SUM(DataTbl[[#This Row],[Profile Visits]:[New Followers]])</f>
        <v>29</v>
      </c>
    </row>
    <row r="251" spans="1:12" x14ac:dyDescent="0.3">
      <c r="A251" s="42">
        <v>45812</v>
      </c>
      <c r="B251" s="21">
        <v>328</v>
      </c>
      <c r="C251" s="21">
        <v>6560</v>
      </c>
      <c r="D251" s="21">
        <v>10</v>
      </c>
      <c r="E251" s="21">
        <v>4</v>
      </c>
      <c r="F251" s="21">
        <v>1</v>
      </c>
      <c r="G251" s="21">
        <v>1</v>
      </c>
      <c r="H251" s="21">
        <v>22</v>
      </c>
      <c r="I251" s="21">
        <v>3</v>
      </c>
      <c r="J251" s="21">
        <f>SUM(DataTbl[[#This Row],[Likes]:[Shares]])</f>
        <v>16</v>
      </c>
      <c r="K251" s="24">
        <f>DataTbl[[#This Row],[Engagement]]/DataTbl[[#This Row],[Views]]</f>
        <v>4.878048780487805E-2</v>
      </c>
      <c r="L251" s="21">
        <f>SUM(DataTbl[[#This Row],[Profile Visits]:[New Followers]])</f>
        <v>25</v>
      </c>
    </row>
    <row r="252" spans="1:12" x14ac:dyDescent="0.3">
      <c r="A252" s="42">
        <v>45813</v>
      </c>
      <c r="B252" s="21">
        <v>1176</v>
      </c>
      <c r="C252" s="21">
        <v>24696</v>
      </c>
      <c r="D252" s="21">
        <v>39</v>
      </c>
      <c r="E252" s="21">
        <v>14</v>
      </c>
      <c r="F252" s="21">
        <v>5</v>
      </c>
      <c r="G252" s="21">
        <v>3</v>
      </c>
      <c r="H252" s="21">
        <v>72</v>
      </c>
      <c r="I252" s="21">
        <v>11</v>
      </c>
      <c r="J252" s="21">
        <f>SUM(DataTbl[[#This Row],[Likes]:[Shares]])</f>
        <v>61</v>
      </c>
      <c r="K252" s="24">
        <f>DataTbl[[#This Row],[Engagement]]/DataTbl[[#This Row],[Views]]</f>
        <v>5.187074829931973E-2</v>
      </c>
      <c r="L252" s="21">
        <f>SUM(DataTbl[[#This Row],[Profile Visits]:[New Followers]])</f>
        <v>83</v>
      </c>
    </row>
    <row r="253" spans="1:12" x14ac:dyDescent="0.3">
      <c r="A253" s="42">
        <v>45814</v>
      </c>
      <c r="B253" s="21">
        <v>357</v>
      </c>
      <c r="C253" s="21">
        <v>9996</v>
      </c>
      <c r="D253" s="21">
        <v>14</v>
      </c>
      <c r="E253" s="21">
        <v>7</v>
      </c>
      <c r="F253" s="21">
        <v>2</v>
      </c>
      <c r="G253" s="21">
        <v>2</v>
      </c>
      <c r="H253" s="21">
        <v>16</v>
      </c>
      <c r="I253" s="21">
        <v>3</v>
      </c>
      <c r="J253" s="21">
        <f>SUM(DataTbl[[#This Row],[Likes]:[Shares]])</f>
        <v>25</v>
      </c>
      <c r="K253" s="24">
        <f>DataTbl[[#This Row],[Engagement]]/DataTbl[[#This Row],[Views]]</f>
        <v>7.0028011204481794E-2</v>
      </c>
      <c r="L253" s="21">
        <f>SUM(DataTbl[[#This Row],[Profile Visits]:[New Followers]])</f>
        <v>19</v>
      </c>
    </row>
    <row r="254" spans="1:12" x14ac:dyDescent="0.3">
      <c r="A254" s="42">
        <v>45815</v>
      </c>
      <c r="B254" s="21">
        <v>501</v>
      </c>
      <c r="C254" s="21">
        <v>12024</v>
      </c>
      <c r="D254" s="21">
        <v>17</v>
      </c>
      <c r="E254" s="21">
        <v>7</v>
      </c>
      <c r="F254" s="21">
        <v>2</v>
      </c>
      <c r="G254" s="21">
        <v>2</v>
      </c>
      <c r="H254" s="21">
        <v>38</v>
      </c>
      <c r="I254" s="21">
        <v>5</v>
      </c>
      <c r="J254" s="21">
        <f>SUM(DataTbl[[#This Row],[Likes]:[Shares]])</f>
        <v>28</v>
      </c>
      <c r="K254" s="24">
        <f>DataTbl[[#This Row],[Engagement]]/DataTbl[[#This Row],[Views]]</f>
        <v>5.588822355289421E-2</v>
      </c>
      <c r="L254" s="21">
        <f>SUM(DataTbl[[#This Row],[Profile Visits]:[New Followers]])</f>
        <v>43</v>
      </c>
    </row>
    <row r="255" spans="1:12" x14ac:dyDescent="0.3">
      <c r="A255" s="42">
        <v>45816</v>
      </c>
      <c r="B255" s="21">
        <v>509</v>
      </c>
      <c r="C255" s="21">
        <v>14252</v>
      </c>
      <c r="D255" s="21">
        <v>12</v>
      </c>
      <c r="E255" s="21">
        <v>5</v>
      </c>
      <c r="F255" s="21">
        <v>2</v>
      </c>
      <c r="G255" s="21">
        <v>1</v>
      </c>
      <c r="H255" s="21">
        <v>26</v>
      </c>
      <c r="I255" s="21">
        <v>5</v>
      </c>
      <c r="J255" s="21">
        <f>SUM(DataTbl[[#This Row],[Likes]:[Shares]])</f>
        <v>20</v>
      </c>
      <c r="K255" s="24">
        <f>DataTbl[[#This Row],[Engagement]]/DataTbl[[#This Row],[Views]]</f>
        <v>3.9292730844793712E-2</v>
      </c>
      <c r="L255" s="21">
        <f>SUM(DataTbl[[#This Row],[Profile Visits]:[New Followers]])</f>
        <v>31</v>
      </c>
    </row>
    <row r="256" spans="1:12" x14ac:dyDescent="0.3">
      <c r="A256" s="42">
        <v>45817</v>
      </c>
      <c r="B256" s="21">
        <v>384</v>
      </c>
      <c r="C256" s="21">
        <v>11136</v>
      </c>
      <c r="D256" s="21">
        <v>15</v>
      </c>
      <c r="E256" s="21">
        <v>7</v>
      </c>
      <c r="F256" s="21">
        <v>3</v>
      </c>
      <c r="G256" s="21">
        <v>2</v>
      </c>
      <c r="H256" s="21">
        <v>28</v>
      </c>
      <c r="I256" s="21">
        <v>5</v>
      </c>
      <c r="J256" s="21">
        <f>SUM(DataTbl[[#This Row],[Likes]:[Shares]])</f>
        <v>27</v>
      </c>
      <c r="K256" s="24">
        <f>DataTbl[[#This Row],[Engagement]]/DataTbl[[#This Row],[Views]]</f>
        <v>7.03125E-2</v>
      </c>
      <c r="L256" s="21">
        <f>SUM(DataTbl[[#This Row],[Profile Visits]:[New Followers]])</f>
        <v>33</v>
      </c>
    </row>
    <row r="257" spans="1:12" x14ac:dyDescent="0.3">
      <c r="A257" s="42">
        <v>45818</v>
      </c>
      <c r="B257" s="21">
        <v>419</v>
      </c>
      <c r="C257" s="21">
        <v>10056</v>
      </c>
      <c r="D257" s="21">
        <v>14</v>
      </c>
      <c r="E257" s="21">
        <v>5</v>
      </c>
      <c r="F257" s="21">
        <v>2</v>
      </c>
      <c r="G257" s="21">
        <v>1</v>
      </c>
      <c r="H257" s="21">
        <v>22</v>
      </c>
      <c r="I257" s="21">
        <v>3</v>
      </c>
      <c r="J257" s="21">
        <f>SUM(DataTbl[[#This Row],[Likes]:[Shares]])</f>
        <v>22</v>
      </c>
      <c r="K257" s="24">
        <f>DataTbl[[#This Row],[Engagement]]/DataTbl[[#This Row],[Views]]</f>
        <v>5.2505966587112173E-2</v>
      </c>
      <c r="L257" s="21">
        <f>SUM(DataTbl[[#This Row],[Profile Visits]:[New Followers]])</f>
        <v>25</v>
      </c>
    </row>
    <row r="258" spans="1:12" x14ac:dyDescent="0.3">
      <c r="A258" s="42">
        <v>45819</v>
      </c>
      <c r="B258" s="21">
        <v>436</v>
      </c>
      <c r="C258" s="21">
        <v>10900</v>
      </c>
      <c r="D258" s="21">
        <v>9</v>
      </c>
      <c r="E258" s="21">
        <v>4</v>
      </c>
      <c r="F258" s="21">
        <v>1</v>
      </c>
      <c r="G258" s="21">
        <v>1</v>
      </c>
      <c r="H258" s="21">
        <v>17</v>
      </c>
      <c r="I258" s="21">
        <v>3</v>
      </c>
      <c r="J258" s="21">
        <f>SUM(DataTbl[[#This Row],[Likes]:[Shares]])</f>
        <v>15</v>
      </c>
      <c r="K258" s="24">
        <f>DataTbl[[#This Row],[Engagement]]/DataTbl[[#This Row],[Views]]</f>
        <v>3.4403669724770644E-2</v>
      </c>
      <c r="L258" s="21">
        <f>SUM(DataTbl[[#This Row],[Profile Visits]:[New Followers]])</f>
        <v>20</v>
      </c>
    </row>
    <row r="259" spans="1:12" x14ac:dyDescent="0.3">
      <c r="A259" s="42">
        <v>45820</v>
      </c>
      <c r="B259" s="21">
        <v>431</v>
      </c>
      <c r="C259" s="21">
        <v>11637</v>
      </c>
      <c r="D259" s="21">
        <v>11</v>
      </c>
      <c r="E259" s="21">
        <v>6</v>
      </c>
      <c r="F259" s="21">
        <v>2</v>
      </c>
      <c r="G259" s="21">
        <v>1</v>
      </c>
      <c r="H259" s="21">
        <v>23</v>
      </c>
      <c r="I259" s="21">
        <v>4</v>
      </c>
      <c r="J259" s="21">
        <f>SUM(DataTbl[[#This Row],[Likes]:[Shares]])</f>
        <v>20</v>
      </c>
      <c r="K259" s="24">
        <f>DataTbl[[#This Row],[Engagement]]/DataTbl[[#This Row],[Views]]</f>
        <v>4.6403712296983757E-2</v>
      </c>
      <c r="L259" s="21">
        <f>SUM(DataTbl[[#This Row],[Profile Visits]:[New Followers]])</f>
        <v>27</v>
      </c>
    </row>
    <row r="260" spans="1:12" x14ac:dyDescent="0.3">
      <c r="A260" s="42">
        <v>45821</v>
      </c>
      <c r="B260" s="21">
        <v>424</v>
      </c>
      <c r="C260" s="21">
        <v>10600</v>
      </c>
      <c r="D260" s="21">
        <v>10</v>
      </c>
      <c r="E260" s="21">
        <v>4</v>
      </c>
      <c r="F260" s="21">
        <v>1</v>
      </c>
      <c r="G260" s="21">
        <v>1</v>
      </c>
      <c r="H260" s="21">
        <v>24</v>
      </c>
      <c r="I260" s="21">
        <v>3</v>
      </c>
      <c r="J260" s="21">
        <f>SUM(DataTbl[[#This Row],[Likes]:[Shares]])</f>
        <v>16</v>
      </c>
      <c r="K260" s="24">
        <f>DataTbl[[#This Row],[Engagement]]/DataTbl[[#This Row],[Views]]</f>
        <v>3.7735849056603772E-2</v>
      </c>
      <c r="L260" s="21">
        <f>SUM(DataTbl[[#This Row],[Profile Visits]:[New Followers]])</f>
        <v>27</v>
      </c>
    </row>
    <row r="261" spans="1:12" x14ac:dyDescent="0.3">
      <c r="A261" s="42">
        <v>45822</v>
      </c>
      <c r="B261" s="21">
        <v>501</v>
      </c>
      <c r="C261" s="21">
        <v>12024</v>
      </c>
      <c r="D261" s="21">
        <v>21</v>
      </c>
      <c r="E261" s="21">
        <v>10</v>
      </c>
      <c r="F261" s="21">
        <v>2</v>
      </c>
      <c r="G261" s="21">
        <v>2</v>
      </c>
      <c r="H261" s="21">
        <v>36</v>
      </c>
      <c r="I261" s="21">
        <v>5</v>
      </c>
      <c r="J261" s="21">
        <f>SUM(DataTbl[[#This Row],[Likes]:[Shares]])</f>
        <v>35</v>
      </c>
      <c r="K261" s="24">
        <f>DataTbl[[#This Row],[Engagement]]/DataTbl[[#This Row],[Views]]</f>
        <v>6.9860279441117765E-2</v>
      </c>
      <c r="L261" s="21">
        <f>SUM(DataTbl[[#This Row],[Profile Visits]:[New Followers]])</f>
        <v>41</v>
      </c>
    </row>
    <row r="262" spans="1:12" x14ac:dyDescent="0.3">
      <c r="A262" s="42">
        <v>45823</v>
      </c>
      <c r="B262" s="21">
        <v>532</v>
      </c>
      <c r="C262" s="21">
        <v>13832</v>
      </c>
      <c r="D262" s="21">
        <v>22</v>
      </c>
      <c r="E262" s="21">
        <v>8</v>
      </c>
      <c r="F262" s="21">
        <v>2</v>
      </c>
      <c r="G262" s="21">
        <v>3</v>
      </c>
      <c r="H262" s="21">
        <v>25</v>
      </c>
      <c r="I262" s="21">
        <v>4</v>
      </c>
      <c r="J262" s="21">
        <f>SUM(DataTbl[[#This Row],[Likes]:[Shares]])</f>
        <v>35</v>
      </c>
      <c r="K262" s="24">
        <f>DataTbl[[#This Row],[Engagement]]/DataTbl[[#This Row],[Views]]</f>
        <v>6.5789473684210523E-2</v>
      </c>
      <c r="L262" s="21">
        <f>SUM(DataTbl[[#This Row],[Profile Visits]:[New Followers]])</f>
        <v>29</v>
      </c>
    </row>
    <row r="263" spans="1:12" x14ac:dyDescent="0.3">
      <c r="A263" s="42">
        <v>45824</v>
      </c>
      <c r="B263" s="21">
        <v>985</v>
      </c>
      <c r="C263" s="21">
        <v>29550</v>
      </c>
      <c r="D263" s="21">
        <v>30</v>
      </c>
      <c r="E263" s="21">
        <v>13</v>
      </c>
      <c r="F263" s="21">
        <v>4</v>
      </c>
      <c r="G263" s="21">
        <v>3</v>
      </c>
      <c r="H263" s="21">
        <v>42</v>
      </c>
      <c r="I263" s="21">
        <v>11</v>
      </c>
      <c r="J263" s="21">
        <f>SUM(DataTbl[[#This Row],[Likes]:[Shares]])</f>
        <v>50</v>
      </c>
      <c r="K263" s="24">
        <f>DataTbl[[#This Row],[Engagement]]/DataTbl[[#This Row],[Views]]</f>
        <v>5.0761421319796954E-2</v>
      </c>
      <c r="L263" s="21">
        <f>SUM(DataTbl[[#This Row],[Profile Visits]:[New Followers]])</f>
        <v>53</v>
      </c>
    </row>
    <row r="264" spans="1:12" x14ac:dyDescent="0.3">
      <c r="A264" s="42">
        <v>45825</v>
      </c>
      <c r="B264" s="21">
        <v>856</v>
      </c>
      <c r="C264" s="21">
        <v>18832</v>
      </c>
      <c r="D264" s="21">
        <v>28</v>
      </c>
      <c r="E264" s="21">
        <v>13</v>
      </c>
      <c r="F264" s="21">
        <v>3</v>
      </c>
      <c r="G264" s="21">
        <v>3</v>
      </c>
      <c r="H264" s="21">
        <v>42</v>
      </c>
      <c r="I264" s="21">
        <v>9</v>
      </c>
      <c r="J264" s="21">
        <f>SUM(DataTbl[[#This Row],[Likes]:[Shares]])</f>
        <v>47</v>
      </c>
      <c r="K264" s="24">
        <f>DataTbl[[#This Row],[Engagement]]/DataTbl[[#This Row],[Views]]</f>
        <v>5.4906542056074766E-2</v>
      </c>
      <c r="L264" s="21">
        <f>SUM(DataTbl[[#This Row],[Profile Visits]:[New Followers]])</f>
        <v>51</v>
      </c>
    </row>
    <row r="265" spans="1:12" x14ac:dyDescent="0.3">
      <c r="A265" s="42">
        <v>45826</v>
      </c>
      <c r="B265" s="21">
        <v>1220</v>
      </c>
      <c r="C265" s="21">
        <v>29280</v>
      </c>
      <c r="D265" s="21">
        <v>30</v>
      </c>
      <c r="E265" s="21">
        <v>13</v>
      </c>
      <c r="F265" s="21">
        <v>3</v>
      </c>
      <c r="G265" s="21">
        <v>4</v>
      </c>
      <c r="H265" s="21">
        <v>82</v>
      </c>
      <c r="I265" s="21">
        <v>14</v>
      </c>
      <c r="J265" s="21">
        <f>SUM(DataTbl[[#This Row],[Likes]:[Shares]])</f>
        <v>50</v>
      </c>
      <c r="K265" s="24">
        <f>DataTbl[[#This Row],[Engagement]]/DataTbl[[#This Row],[Views]]</f>
        <v>4.0983606557377046E-2</v>
      </c>
      <c r="L265" s="21">
        <f>SUM(DataTbl[[#This Row],[Profile Visits]:[New Followers]])</f>
        <v>96</v>
      </c>
    </row>
    <row r="266" spans="1:12" x14ac:dyDescent="0.3">
      <c r="A266" s="42">
        <v>45827</v>
      </c>
      <c r="B266" s="21">
        <v>859</v>
      </c>
      <c r="C266" s="21">
        <v>20616</v>
      </c>
      <c r="D266" s="21">
        <v>21</v>
      </c>
      <c r="E266" s="21">
        <v>9</v>
      </c>
      <c r="F266" s="21">
        <v>3</v>
      </c>
      <c r="G266" s="21">
        <v>3</v>
      </c>
      <c r="H266" s="21">
        <v>44</v>
      </c>
      <c r="I266" s="21">
        <v>6</v>
      </c>
      <c r="J266" s="21">
        <f>SUM(DataTbl[[#This Row],[Likes]:[Shares]])</f>
        <v>36</v>
      </c>
      <c r="K266" s="24">
        <f>DataTbl[[#This Row],[Engagement]]/DataTbl[[#This Row],[Views]]</f>
        <v>4.190919674039581E-2</v>
      </c>
      <c r="L266" s="21">
        <f>SUM(DataTbl[[#This Row],[Profile Visits]:[New Followers]])</f>
        <v>50</v>
      </c>
    </row>
    <row r="267" spans="1:12" x14ac:dyDescent="0.3">
      <c r="A267" s="42">
        <v>45828</v>
      </c>
      <c r="B267" s="21">
        <v>464</v>
      </c>
      <c r="C267" s="21">
        <v>14848</v>
      </c>
      <c r="D267" s="21">
        <v>12</v>
      </c>
      <c r="E267" s="21">
        <v>6</v>
      </c>
      <c r="F267" s="21">
        <v>1</v>
      </c>
      <c r="G267" s="21">
        <v>2</v>
      </c>
      <c r="H267" s="21">
        <v>35</v>
      </c>
      <c r="I267" s="21">
        <v>6</v>
      </c>
      <c r="J267" s="21">
        <f>SUM(DataTbl[[#This Row],[Likes]:[Shares]])</f>
        <v>21</v>
      </c>
      <c r="K267" s="24">
        <f>DataTbl[[#This Row],[Engagement]]/DataTbl[[#This Row],[Views]]</f>
        <v>4.5258620689655173E-2</v>
      </c>
      <c r="L267" s="21">
        <f>SUM(DataTbl[[#This Row],[Profile Visits]:[New Followers]])</f>
        <v>41</v>
      </c>
    </row>
    <row r="268" spans="1:12" x14ac:dyDescent="0.3">
      <c r="A268" s="42">
        <v>45829</v>
      </c>
      <c r="B268" s="21">
        <v>567</v>
      </c>
      <c r="C268" s="21">
        <v>13041</v>
      </c>
      <c r="D268" s="21">
        <v>18</v>
      </c>
      <c r="E268" s="21">
        <v>8</v>
      </c>
      <c r="F268" s="21">
        <v>3</v>
      </c>
      <c r="G268" s="21">
        <v>2</v>
      </c>
      <c r="H268" s="21">
        <v>36</v>
      </c>
      <c r="I268" s="21">
        <v>6</v>
      </c>
      <c r="J268" s="21">
        <f>SUM(DataTbl[[#This Row],[Likes]:[Shares]])</f>
        <v>31</v>
      </c>
      <c r="K268" s="24">
        <f>DataTbl[[#This Row],[Engagement]]/DataTbl[[#This Row],[Views]]</f>
        <v>5.4673721340388004E-2</v>
      </c>
      <c r="L268" s="21">
        <f>SUM(DataTbl[[#This Row],[Profile Visits]:[New Followers]])</f>
        <v>42</v>
      </c>
    </row>
    <row r="269" spans="1:12" x14ac:dyDescent="0.3">
      <c r="A269" s="42">
        <v>45830</v>
      </c>
      <c r="B269" s="21">
        <v>479</v>
      </c>
      <c r="C269" s="21">
        <v>14849</v>
      </c>
      <c r="D269" s="21">
        <v>19</v>
      </c>
      <c r="E269" s="21">
        <v>10</v>
      </c>
      <c r="F269" s="21">
        <v>3</v>
      </c>
      <c r="G269" s="21">
        <v>2</v>
      </c>
      <c r="H269" s="21">
        <v>20</v>
      </c>
      <c r="I269" s="21">
        <v>2</v>
      </c>
      <c r="J269" s="21">
        <f>SUM(DataTbl[[#This Row],[Likes]:[Shares]])</f>
        <v>34</v>
      </c>
      <c r="K269" s="24">
        <f>DataTbl[[#This Row],[Engagement]]/DataTbl[[#This Row],[Views]]</f>
        <v>7.0981210855949897E-2</v>
      </c>
      <c r="L269" s="21">
        <f>SUM(DataTbl[[#This Row],[Profile Visits]:[New Followers]])</f>
        <v>22</v>
      </c>
    </row>
    <row r="270" spans="1:12" x14ac:dyDescent="0.3">
      <c r="A270" s="42">
        <v>45831</v>
      </c>
      <c r="B270" s="21">
        <v>482</v>
      </c>
      <c r="C270" s="21">
        <v>13496</v>
      </c>
      <c r="D270" s="21">
        <v>20</v>
      </c>
      <c r="E270" s="21">
        <v>9</v>
      </c>
      <c r="F270" s="21">
        <v>3</v>
      </c>
      <c r="G270" s="21">
        <v>2</v>
      </c>
      <c r="H270" s="21">
        <v>19</v>
      </c>
      <c r="I270" s="21">
        <v>2</v>
      </c>
      <c r="J270" s="21">
        <f>SUM(DataTbl[[#This Row],[Likes]:[Shares]])</f>
        <v>34</v>
      </c>
      <c r="K270" s="24">
        <f>DataTbl[[#This Row],[Engagement]]/DataTbl[[#This Row],[Views]]</f>
        <v>7.0539419087136929E-2</v>
      </c>
      <c r="L270" s="21">
        <f>SUM(DataTbl[[#This Row],[Profile Visits]:[New Followers]])</f>
        <v>21</v>
      </c>
    </row>
    <row r="271" spans="1:12" x14ac:dyDescent="0.3">
      <c r="A271" s="42">
        <v>45832</v>
      </c>
      <c r="B271" s="21">
        <v>413</v>
      </c>
      <c r="C271" s="21">
        <v>12390</v>
      </c>
      <c r="D271" s="21">
        <v>13</v>
      </c>
      <c r="E271" s="21">
        <v>6</v>
      </c>
      <c r="F271" s="21">
        <v>2</v>
      </c>
      <c r="G271" s="21">
        <v>1</v>
      </c>
      <c r="H271" s="21">
        <v>20</v>
      </c>
      <c r="I271" s="21">
        <v>3</v>
      </c>
      <c r="J271" s="21">
        <f>SUM(DataTbl[[#This Row],[Likes]:[Shares]])</f>
        <v>22</v>
      </c>
      <c r="K271" s="24">
        <f>DataTbl[[#This Row],[Engagement]]/DataTbl[[#This Row],[Views]]</f>
        <v>5.3268765133171914E-2</v>
      </c>
      <c r="L271" s="21">
        <f>SUM(DataTbl[[#This Row],[Profile Visits]:[New Followers]])</f>
        <v>23</v>
      </c>
    </row>
    <row r="272" spans="1:12" x14ac:dyDescent="0.3">
      <c r="A272" s="42">
        <v>45833</v>
      </c>
      <c r="B272" s="21">
        <v>411</v>
      </c>
      <c r="C272" s="21">
        <v>11919</v>
      </c>
      <c r="D272" s="21">
        <v>17</v>
      </c>
      <c r="E272" s="21">
        <v>7</v>
      </c>
      <c r="F272" s="21">
        <v>2</v>
      </c>
      <c r="G272" s="21">
        <v>2</v>
      </c>
      <c r="H272" s="21">
        <v>22</v>
      </c>
      <c r="I272" s="21">
        <v>3</v>
      </c>
      <c r="J272" s="21">
        <f>SUM(DataTbl[[#This Row],[Likes]:[Shares]])</f>
        <v>28</v>
      </c>
      <c r="K272" s="24">
        <f>DataTbl[[#This Row],[Engagement]]/DataTbl[[#This Row],[Views]]</f>
        <v>6.8126520681265207E-2</v>
      </c>
      <c r="L272" s="21">
        <f>SUM(DataTbl[[#This Row],[Profile Visits]:[New Followers]])</f>
        <v>25</v>
      </c>
    </row>
    <row r="273" spans="1:12" x14ac:dyDescent="0.3">
      <c r="A273" s="42">
        <v>45834</v>
      </c>
      <c r="B273" s="21">
        <v>495</v>
      </c>
      <c r="C273" s="21">
        <v>12375</v>
      </c>
      <c r="D273" s="21">
        <v>11</v>
      </c>
      <c r="E273" s="21">
        <v>6</v>
      </c>
      <c r="F273" s="21">
        <v>2</v>
      </c>
      <c r="G273" s="21">
        <v>1</v>
      </c>
      <c r="H273" s="21">
        <v>39</v>
      </c>
      <c r="I273" s="21">
        <v>4</v>
      </c>
      <c r="J273" s="21">
        <f>SUM(DataTbl[[#This Row],[Likes]:[Shares]])</f>
        <v>20</v>
      </c>
      <c r="K273" s="24">
        <f>DataTbl[[#This Row],[Engagement]]/DataTbl[[#This Row],[Views]]</f>
        <v>4.0404040404040407E-2</v>
      </c>
      <c r="L273" s="21">
        <f>SUM(DataTbl[[#This Row],[Profile Visits]:[New Followers]])</f>
        <v>43</v>
      </c>
    </row>
    <row r="274" spans="1:12" x14ac:dyDescent="0.3">
      <c r="A274" s="42">
        <v>45835</v>
      </c>
      <c r="B274" s="21">
        <v>424</v>
      </c>
      <c r="C274" s="21">
        <v>11024</v>
      </c>
      <c r="D274" s="21">
        <v>15</v>
      </c>
      <c r="E274" s="21">
        <v>7</v>
      </c>
      <c r="F274" s="21">
        <v>2</v>
      </c>
      <c r="G274" s="21">
        <v>2</v>
      </c>
      <c r="H274" s="21">
        <v>21</v>
      </c>
      <c r="I274" s="21">
        <v>4</v>
      </c>
      <c r="J274" s="21">
        <f>SUM(DataTbl[[#This Row],[Likes]:[Shares]])</f>
        <v>26</v>
      </c>
      <c r="K274" s="24">
        <f>DataTbl[[#This Row],[Engagement]]/DataTbl[[#This Row],[Views]]</f>
        <v>6.1320754716981132E-2</v>
      </c>
      <c r="L274" s="21">
        <f>SUM(DataTbl[[#This Row],[Profile Visits]:[New Followers]])</f>
        <v>25</v>
      </c>
    </row>
    <row r="275" spans="1:12" x14ac:dyDescent="0.3">
      <c r="A275" s="42">
        <v>45836</v>
      </c>
      <c r="B275" s="21">
        <v>558</v>
      </c>
      <c r="C275" s="21">
        <v>16182</v>
      </c>
      <c r="D275" s="21">
        <v>13</v>
      </c>
      <c r="E275" s="21">
        <v>6</v>
      </c>
      <c r="F275" s="21">
        <v>1</v>
      </c>
      <c r="G275" s="21">
        <v>1</v>
      </c>
      <c r="H275" s="21">
        <v>25</v>
      </c>
      <c r="I275" s="21">
        <v>4</v>
      </c>
      <c r="J275" s="21">
        <f>SUM(DataTbl[[#This Row],[Likes]:[Shares]])</f>
        <v>21</v>
      </c>
      <c r="K275" s="24">
        <f>DataTbl[[#This Row],[Engagement]]/DataTbl[[#This Row],[Views]]</f>
        <v>3.7634408602150539E-2</v>
      </c>
      <c r="L275" s="21">
        <f>SUM(DataTbl[[#This Row],[Profile Visits]:[New Followers]])</f>
        <v>29</v>
      </c>
    </row>
    <row r="276" spans="1:12" x14ac:dyDescent="0.3">
      <c r="A276" s="42">
        <v>45837</v>
      </c>
      <c r="B276" s="21">
        <v>508</v>
      </c>
      <c r="C276" s="21">
        <v>14224</v>
      </c>
      <c r="D276" s="21">
        <v>18</v>
      </c>
      <c r="E276" s="21">
        <v>9</v>
      </c>
      <c r="F276" s="21">
        <v>3</v>
      </c>
      <c r="G276" s="21">
        <v>3</v>
      </c>
      <c r="H276" s="21">
        <v>29</v>
      </c>
      <c r="I276" s="21">
        <v>3</v>
      </c>
      <c r="J276" s="21">
        <f>SUM(DataTbl[[#This Row],[Likes]:[Shares]])</f>
        <v>33</v>
      </c>
      <c r="K276" s="24">
        <f>DataTbl[[#This Row],[Engagement]]/DataTbl[[#This Row],[Views]]</f>
        <v>6.4960629921259838E-2</v>
      </c>
      <c r="L276" s="21">
        <f>SUM(DataTbl[[#This Row],[Profile Visits]:[New Followers]])</f>
        <v>32</v>
      </c>
    </row>
    <row r="277" spans="1:12" x14ac:dyDescent="0.3">
      <c r="A277" s="42">
        <v>45838</v>
      </c>
      <c r="B277" s="21">
        <v>387</v>
      </c>
      <c r="C277" s="21">
        <v>6966</v>
      </c>
      <c r="D277" s="21">
        <v>12</v>
      </c>
      <c r="E277" s="21">
        <v>5</v>
      </c>
      <c r="F277" s="21">
        <v>2</v>
      </c>
      <c r="G277" s="21">
        <v>1</v>
      </c>
      <c r="H277" s="21">
        <v>29</v>
      </c>
      <c r="I277" s="21">
        <v>3</v>
      </c>
      <c r="J277" s="21">
        <f>SUM(DataTbl[[#This Row],[Likes]:[Shares]])</f>
        <v>20</v>
      </c>
      <c r="K277" s="24">
        <f>DataTbl[[#This Row],[Engagement]]/DataTbl[[#This Row],[Views]]</f>
        <v>5.1679586563307491E-2</v>
      </c>
      <c r="L277" s="21">
        <f>SUM(DataTbl[[#This Row],[Profile Visits]:[New Followers]])</f>
        <v>32</v>
      </c>
    </row>
    <row r="278" spans="1:12" x14ac:dyDescent="0.3">
      <c r="A278" s="42">
        <v>45839</v>
      </c>
      <c r="B278" s="21">
        <v>426</v>
      </c>
      <c r="C278" s="21">
        <v>11502</v>
      </c>
      <c r="D278" s="21">
        <v>19</v>
      </c>
      <c r="E278" s="21">
        <v>7</v>
      </c>
      <c r="F278" s="21">
        <v>2</v>
      </c>
      <c r="G278" s="21">
        <v>3</v>
      </c>
      <c r="H278" s="21">
        <v>28</v>
      </c>
      <c r="I278" s="21">
        <v>5</v>
      </c>
      <c r="J278" s="21">
        <f>SUM(DataTbl[[#This Row],[Likes]:[Shares]])</f>
        <v>31</v>
      </c>
      <c r="K278" s="24">
        <f>DataTbl[[#This Row],[Engagement]]/DataTbl[[#This Row],[Views]]</f>
        <v>7.2769953051643188E-2</v>
      </c>
      <c r="L278" s="21">
        <f>SUM(DataTbl[[#This Row],[Profile Visits]:[New Followers]])</f>
        <v>33</v>
      </c>
    </row>
    <row r="279" spans="1:12" x14ac:dyDescent="0.3">
      <c r="A279" s="42">
        <v>45840</v>
      </c>
      <c r="B279" s="21">
        <v>409</v>
      </c>
      <c r="C279" s="21">
        <v>9816</v>
      </c>
      <c r="D279" s="21">
        <v>12</v>
      </c>
      <c r="E279" s="21">
        <v>5</v>
      </c>
      <c r="F279" s="21">
        <v>1</v>
      </c>
      <c r="G279" s="21">
        <v>1</v>
      </c>
      <c r="H279" s="21">
        <v>26</v>
      </c>
      <c r="I279" s="21">
        <v>5</v>
      </c>
      <c r="J279" s="21">
        <f>SUM(DataTbl[[#This Row],[Likes]:[Shares]])</f>
        <v>19</v>
      </c>
      <c r="K279" s="24">
        <f>DataTbl[[#This Row],[Engagement]]/DataTbl[[#This Row],[Views]]</f>
        <v>4.6454767726161368E-2</v>
      </c>
      <c r="L279" s="21">
        <f>SUM(DataTbl[[#This Row],[Profile Visits]:[New Followers]])</f>
        <v>31</v>
      </c>
    </row>
    <row r="280" spans="1:12" x14ac:dyDescent="0.3">
      <c r="A280" s="42">
        <v>45841</v>
      </c>
      <c r="B280" s="21">
        <v>503</v>
      </c>
      <c r="C280" s="21">
        <v>16096</v>
      </c>
      <c r="D280" s="21">
        <v>18</v>
      </c>
      <c r="E280" s="21">
        <v>7</v>
      </c>
      <c r="F280" s="21">
        <v>3</v>
      </c>
      <c r="G280" s="21">
        <v>2</v>
      </c>
      <c r="H280" s="21">
        <v>36</v>
      </c>
      <c r="I280" s="21">
        <v>6</v>
      </c>
      <c r="J280" s="21">
        <f>SUM(DataTbl[[#This Row],[Likes]:[Shares]])</f>
        <v>30</v>
      </c>
      <c r="K280" s="24">
        <f>DataTbl[[#This Row],[Engagement]]/DataTbl[[#This Row],[Views]]</f>
        <v>5.9642147117296221E-2</v>
      </c>
      <c r="L280" s="21">
        <f>SUM(DataTbl[[#This Row],[Profile Visits]:[New Followers]])</f>
        <v>42</v>
      </c>
    </row>
    <row r="281" spans="1:12" x14ac:dyDescent="0.3">
      <c r="A281" s="42">
        <v>45842</v>
      </c>
      <c r="B281" s="21">
        <v>485</v>
      </c>
      <c r="C281" s="21">
        <v>14550</v>
      </c>
      <c r="D281" s="21">
        <v>19</v>
      </c>
      <c r="E281" s="21">
        <v>10</v>
      </c>
      <c r="F281" s="21">
        <v>3</v>
      </c>
      <c r="G281" s="21">
        <v>2</v>
      </c>
      <c r="H281" s="21">
        <v>26</v>
      </c>
      <c r="I281" s="21">
        <v>4</v>
      </c>
      <c r="J281" s="21">
        <f>SUM(DataTbl[[#This Row],[Likes]:[Shares]])</f>
        <v>34</v>
      </c>
      <c r="K281" s="24">
        <f>DataTbl[[#This Row],[Engagement]]/DataTbl[[#This Row],[Views]]</f>
        <v>7.0103092783505155E-2</v>
      </c>
      <c r="L281" s="21">
        <f>SUM(DataTbl[[#This Row],[Profile Visits]:[New Followers]])</f>
        <v>30</v>
      </c>
    </row>
    <row r="282" spans="1:12" x14ac:dyDescent="0.3">
      <c r="A282" s="42">
        <v>45843</v>
      </c>
      <c r="B282" s="21">
        <v>576</v>
      </c>
      <c r="C282" s="21">
        <v>17856</v>
      </c>
      <c r="D282" s="21">
        <v>22</v>
      </c>
      <c r="E282" s="21">
        <v>9</v>
      </c>
      <c r="F282" s="21">
        <v>3</v>
      </c>
      <c r="G282" s="21">
        <v>3</v>
      </c>
      <c r="H282" s="21">
        <v>29</v>
      </c>
      <c r="I282" s="21">
        <v>3</v>
      </c>
      <c r="J282" s="21">
        <f>SUM(DataTbl[[#This Row],[Likes]:[Shares]])</f>
        <v>37</v>
      </c>
      <c r="K282" s="24">
        <f>DataTbl[[#This Row],[Engagement]]/DataTbl[[#This Row],[Views]]</f>
        <v>6.4236111111111105E-2</v>
      </c>
      <c r="L282" s="21">
        <f>SUM(DataTbl[[#This Row],[Profile Visits]:[New Followers]])</f>
        <v>32</v>
      </c>
    </row>
    <row r="283" spans="1:12" x14ac:dyDescent="0.3">
      <c r="A283" s="42">
        <v>45844</v>
      </c>
      <c r="B283" s="21">
        <v>534</v>
      </c>
      <c r="C283" s="21">
        <v>17622</v>
      </c>
      <c r="D283" s="21">
        <v>21</v>
      </c>
      <c r="E283" s="21">
        <v>8</v>
      </c>
      <c r="F283" s="21">
        <v>2</v>
      </c>
      <c r="G283" s="21">
        <v>3</v>
      </c>
      <c r="H283" s="21">
        <v>40</v>
      </c>
      <c r="I283" s="21">
        <v>7</v>
      </c>
      <c r="J283" s="21">
        <f>SUM(DataTbl[[#This Row],[Likes]:[Shares]])</f>
        <v>34</v>
      </c>
      <c r="K283" s="24">
        <f>DataTbl[[#This Row],[Engagement]]/DataTbl[[#This Row],[Views]]</f>
        <v>6.3670411985018729E-2</v>
      </c>
      <c r="L283" s="21">
        <f>SUM(DataTbl[[#This Row],[Profile Visits]:[New Followers]])</f>
        <v>47</v>
      </c>
    </row>
    <row r="284" spans="1:12" x14ac:dyDescent="0.3">
      <c r="A284" s="42">
        <v>45845</v>
      </c>
      <c r="B284" s="21">
        <v>452</v>
      </c>
      <c r="C284" s="21">
        <v>8588</v>
      </c>
      <c r="D284" s="21">
        <v>11</v>
      </c>
      <c r="E284" s="21">
        <v>5</v>
      </c>
      <c r="F284" s="21">
        <v>1</v>
      </c>
      <c r="G284" s="21">
        <v>1</v>
      </c>
      <c r="H284" s="21">
        <v>24</v>
      </c>
      <c r="I284" s="21">
        <v>5</v>
      </c>
      <c r="J284" s="21">
        <f>SUM(DataTbl[[#This Row],[Likes]:[Shares]])</f>
        <v>18</v>
      </c>
      <c r="K284" s="24">
        <f>DataTbl[[#This Row],[Engagement]]/DataTbl[[#This Row],[Views]]</f>
        <v>3.9823008849557522E-2</v>
      </c>
      <c r="L284" s="21">
        <f>SUM(DataTbl[[#This Row],[Profile Visits]:[New Followers]])</f>
        <v>29</v>
      </c>
    </row>
    <row r="285" spans="1:12" x14ac:dyDescent="0.3">
      <c r="A285" s="42">
        <v>45846</v>
      </c>
      <c r="B285" s="21">
        <v>389</v>
      </c>
      <c r="C285" s="21">
        <v>9336</v>
      </c>
      <c r="D285" s="21">
        <v>13</v>
      </c>
      <c r="E285" s="21">
        <v>6</v>
      </c>
      <c r="F285" s="21">
        <v>2</v>
      </c>
      <c r="G285" s="21">
        <v>1</v>
      </c>
      <c r="H285" s="21">
        <v>19</v>
      </c>
      <c r="I285" s="21">
        <v>2</v>
      </c>
      <c r="J285" s="21">
        <f>SUM(DataTbl[[#This Row],[Likes]:[Shares]])</f>
        <v>22</v>
      </c>
      <c r="K285" s="24">
        <f>DataTbl[[#This Row],[Engagement]]/DataTbl[[#This Row],[Views]]</f>
        <v>5.6555269922879174E-2</v>
      </c>
      <c r="L285" s="21">
        <f>SUM(DataTbl[[#This Row],[Profile Visits]:[New Followers]])</f>
        <v>21</v>
      </c>
    </row>
    <row r="286" spans="1:12" x14ac:dyDescent="0.3">
      <c r="A286" s="42">
        <v>45847</v>
      </c>
      <c r="B286" s="21">
        <v>493</v>
      </c>
      <c r="C286" s="21">
        <v>11339</v>
      </c>
      <c r="D286" s="21">
        <v>16</v>
      </c>
      <c r="E286" s="21">
        <v>7</v>
      </c>
      <c r="F286" s="21">
        <v>2</v>
      </c>
      <c r="G286" s="21">
        <v>2</v>
      </c>
      <c r="H286" s="21">
        <v>34</v>
      </c>
      <c r="I286" s="21">
        <v>6</v>
      </c>
      <c r="J286" s="21">
        <f>SUM(DataTbl[[#This Row],[Likes]:[Shares]])</f>
        <v>27</v>
      </c>
      <c r="K286" s="24">
        <f>DataTbl[[#This Row],[Engagement]]/DataTbl[[#This Row],[Views]]</f>
        <v>5.4766734279918863E-2</v>
      </c>
      <c r="L286" s="21">
        <f>SUM(DataTbl[[#This Row],[Profile Visits]:[New Followers]])</f>
        <v>40</v>
      </c>
    </row>
    <row r="287" spans="1:12" x14ac:dyDescent="0.3">
      <c r="A287" s="42">
        <v>45848</v>
      </c>
      <c r="B287" s="21">
        <v>455</v>
      </c>
      <c r="C287" s="21">
        <v>15470</v>
      </c>
      <c r="D287" s="21">
        <v>11</v>
      </c>
      <c r="E287" s="21">
        <v>5</v>
      </c>
      <c r="F287" s="21">
        <v>2</v>
      </c>
      <c r="G287" s="21">
        <v>2</v>
      </c>
      <c r="H287" s="21">
        <v>22</v>
      </c>
      <c r="I287" s="21">
        <v>2</v>
      </c>
      <c r="J287" s="21">
        <f>SUM(DataTbl[[#This Row],[Likes]:[Shares]])</f>
        <v>20</v>
      </c>
      <c r="K287" s="24">
        <f>DataTbl[[#This Row],[Engagement]]/DataTbl[[#This Row],[Views]]</f>
        <v>4.3956043956043959E-2</v>
      </c>
      <c r="L287" s="21">
        <f>SUM(DataTbl[[#This Row],[Profile Visits]:[New Followers]])</f>
        <v>24</v>
      </c>
    </row>
    <row r="288" spans="1:12" x14ac:dyDescent="0.3">
      <c r="A288" s="42">
        <v>45849</v>
      </c>
      <c r="B288" s="21">
        <v>488</v>
      </c>
      <c r="C288" s="21">
        <v>14152</v>
      </c>
      <c r="D288" s="21">
        <v>19</v>
      </c>
      <c r="E288" s="21">
        <v>7</v>
      </c>
      <c r="F288" s="21">
        <v>2</v>
      </c>
      <c r="G288" s="21">
        <v>2</v>
      </c>
      <c r="H288" s="21">
        <v>31</v>
      </c>
      <c r="I288" s="21">
        <v>3</v>
      </c>
      <c r="J288" s="21">
        <f>SUM(DataTbl[[#This Row],[Likes]:[Shares]])</f>
        <v>30</v>
      </c>
      <c r="K288" s="24">
        <f>DataTbl[[#This Row],[Engagement]]/DataTbl[[#This Row],[Views]]</f>
        <v>6.1475409836065573E-2</v>
      </c>
      <c r="L288" s="21">
        <f>SUM(DataTbl[[#This Row],[Profile Visits]:[New Followers]])</f>
        <v>34</v>
      </c>
    </row>
    <row r="289" spans="1:12" x14ac:dyDescent="0.3">
      <c r="A289" s="42">
        <v>45850</v>
      </c>
      <c r="B289" s="21">
        <v>586</v>
      </c>
      <c r="C289" s="21">
        <v>14064</v>
      </c>
      <c r="D289" s="21">
        <v>18</v>
      </c>
      <c r="E289" s="21">
        <v>8</v>
      </c>
      <c r="F289" s="21">
        <v>2</v>
      </c>
      <c r="G289" s="21">
        <v>2</v>
      </c>
      <c r="H289" s="21">
        <v>36</v>
      </c>
      <c r="I289" s="21">
        <v>7</v>
      </c>
      <c r="J289" s="21">
        <f>SUM(DataTbl[[#This Row],[Likes]:[Shares]])</f>
        <v>30</v>
      </c>
      <c r="K289" s="24">
        <f>DataTbl[[#This Row],[Engagement]]/DataTbl[[#This Row],[Views]]</f>
        <v>5.1194539249146756E-2</v>
      </c>
      <c r="L289" s="21">
        <f>SUM(DataTbl[[#This Row],[Profile Visits]:[New Followers]])</f>
        <v>43</v>
      </c>
    </row>
    <row r="290" spans="1:12" x14ac:dyDescent="0.3">
      <c r="A290" s="42">
        <v>45851</v>
      </c>
      <c r="B290" s="21">
        <v>470</v>
      </c>
      <c r="C290" s="21">
        <v>8460</v>
      </c>
      <c r="D290" s="21">
        <v>16</v>
      </c>
      <c r="E290" s="21">
        <v>7</v>
      </c>
      <c r="F290" s="21">
        <v>3</v>
      </c>
      <c r="G290" s="21">
        <v>2</v>
      </c>
      <c r="H290" s="21">
        <v>19</v>
      </c>
      <c r="I290" s="21">
        <v>3</v>
      </c>
      <c r="J290" s="21">
        <f>SUM(DataTbl[[#This Row],[Likes]:[Shares]])</f>
        <v>28</v>
      </c>
      <c r="K290" s="24">
        <f>DataTbl[[#This Row],[Engagement]]/DataTbl[[#This Row],[Views]]</f>
        <v>5.9574468085106386E-2</v>
      </c>
      <c r="L290" s="21">
        <f>SUM(DataTbl[[#This Row],[Profile Visits]:[New Followers]])</f>
        <v>22</v>
      </c>
    </row>
    <row r="291" spans="1:12" x14ac:dyDescent="0.3">
      <c r="A291" s="42">
        <v>45852</v>
      </c>
      <c r="B291" s="21">
        <v>518</v>
      </c>
      <c r="C291" s="21">
        <v>13986</v>
      </c>
      <c r="D291" s="21">
        <v>18</v>
      </c>
      <c r="E291" s="21">
        <v>6</v>
      </c>
      <c r="F291" s="21">
        <v>2</v>
      </c>
      <c r="G291" s="21">
        <v>3</v>
      </c>
      <c r="H291" s="21">
        <v>29</v>
      </c>
      <c r="I291" s="21">
        <v>4</v>
      </c>
      <c r="J291" s="21">
        <f>SUM(DataTbl[[#This Row],[Likes]:[Shares]])</f>
        <v>29</v>
      </c>
      <c r="K291" s="24">
        <f>DataTbl[[#This Row],[Engagement]]/DataTbl[[#This Row],[Views]]</f>
        <v>5.5984555984555984E-2</v>
      </c>
      <c r="L291" s="21">
        <f>SUM(DataTbl[[#This Row],[Profile Visits]:[New Followers]])</f>
        <v>33</v>
      </c>
    </row>
    <row r="292" spans="1:12" x14ac:dyDescent="0.3">
      <c r="A292" s="42">
        <v>45853</v>
      </c>
      <c r="B292" s="21">
        <v>440</v>
      </c>
      <c r="C292" s="21">
        <v>10560</v>
      </c>
      <c r="D292" s="21">
        <v>12</v>
      </c>
      <c r="E292" s="21">
        <v>4</v>
      </c>
      <c r="F292" s="21">
        <v>2</v>
      </c>
      <c r="G292" s="21">
        <v>2</v>
      </c>
      <c r="H292" s="21">
        <v>24</v>
      </c>
      <c r="I292" s="21">
        <v>3</v>
      </c>
      <c r="J292" s="21">
        <f>SUM(DataTbl[[#This Row],[Likes]:[Shares]])</f>
        <v>20</v>
      </c>
      <c r="K292" s="24">
        <f>DataTbl[[#This Row],[Engagement]]/DataTbl[[#This Row],[Views]]</f>
        <v>4.5454545454545456E-2</v>
      </c>
      <c r="L292" s="21">
        <f>SUM(DataTbl[[#This Row],[Profile Visits]:[New Followers]])</f>
        <v>27</v>
      </c>
    </row>
    <row r="293" spans="1:12" x14ac:dyDescent="0.3">
      <c r="A293" s="42">
        <v>45854</v>
      </c>
      <c r="B293" s="21">
        <v>452</v>
      </c>
      <c r="C293" s="21">
        <v>14012</v>
      </c>
      <c r="D293" s="21">
        <v>9</v>
      </c>
      <c r="E293" s="21">
        <v>3</v>
      </c>
      <c r="F293" s="21">
        <v>1</v>
      </c>
      <c r="G293" s="21">
        <v>1</v>
      </c>
      <c r="H293" s="21">
        <v>34</v>
      </c>
      <c r="I293" s="21">
        <v>5</v>
      </c>
      <c r="J293" s="21">
        <f>SUM(DataTbl[[#This Row],[Likes]:[Shares]])</f>
        <v>14</v>
      </c>
      <c r="K293" s="24">
        <f>DataTbl[[#This Row],[Engagement]]/DataTbl[[#This Row],[Views]]</f>
        <v>3.0973451327433628E-2</v>
      </c>
      <c r="L293" s="21">
        <f>SUM(DataTbl[[#This Row],[Profile Visits]:[New Followers]])</f>
        <v>39</v>
      </c>
    </row>
    <row r="294" spans="1:12" x14ac:dyDescent="0.3">
      <c r="A294" s="42">
        <v>45855</v>
      </c>
      <c r="B294" s="21">
        <v>504</v>
      </c>
      <c r="C294" s="21">
        <v>14616</v>
      </c>
      <c r="D294" s="21">
        <v>22</v>
      </c>
      <c r="E294" s="21">
        <v>9</v>
      </c>
      <c r="F294" s="21">
        <v>3</v>
      </c>
      <c r="G294" s="21">
        <v>3</v>
      </c>
      <c r="H294" s="21">
        <v>22</v>
      </c>
      <c r="I294" s="21">
        <v>3</v>
      </c>
      <c r="J294" s="21">
        <f>SUM(DataTbl[[#This Row],[Likes]:[Shares]])</f>
        <v>37</v>
      </c>
      <c r="K294" s="24">
        <f>DataTbl[[#This Row],[Engagement]]/DataTbl[[#This Row],[Views]]</f>
        <v>7.3412698412698416E-2</v>
      </c>
      <c r="L294" s="21">
        <f>SUM(DataTbl[[#This Row],[Profile Visits]:[New Followers]])</f>
        <v>25</v>
      </c>
    </row>
    <row r="295" spans="1:12" x14ac:dyDescent="0.3">
      <c r="A295" s="42">
        <v>45856</v>
      </c>
      <c r="B295" s="21">
        <v>417</v>
      </c>
      <c r="C295" s="21">
        <v>10842</v>
      </c>
      <c r="D295" s="21">
        <v>10</v>
      </c>
      <c r="E295" s="21">
        <v>3</v>
      </c>
      <c r="F295" s="21">
        <v>1</v>
      </c>
      <c r="G295" s="21">
        <v>1</v>
      </c>
      <c r="H295" s="21">
        <v>26</v>
      </c>
      <c r="I295" s="21">
        <v>4</v>
      </c>
      <c r="J295" s="21">
        <f>SUM(DataTbl[[#This Row],[Likes]:[Shares]])</f>
        <v>15</v>
      </c>
      <c r="K295" s="24">
        <f>DataTbl[[#This Row],[Engagement]]/DataTbl[[#This Row],[Views]]</f>
        <v>3.5971223021582732E-2</v>
      </c>
      <c r="L295" s="21">
        <f>SUM(DataTbl[[#This Row],[Profile Visits]:[New Followers]])</f>
        <v>30</v>
      </c>
    </row>
    <row r="296" spans="1:12" x14ac:dyDescent="0.3">
      <c r="A296" s="42">
        <v>45857</v>
      </c>
      <c r="B296" s="21">
        <v>508</v>
      </c>
      <c r="C296" s="21">
        <v>10160</v>
      </c>
      <c r="D296" s="21">
        <v>11</v>
      </c>
      <c r="E296" s="21">
        <v>4</v>
      </c>
      <c r="F296" s="21">
        <v>2</v>
      </c>
      <c r="G296" s="21">
        <v>2</v>
      </c>
      <c r="H296" s="21">
        <v>23</v>
      </c>
      <c r="I296" s="21">
        <v>3</v>
      </c>
      <c r="J296" s="21">
        <f>SUM(DataTbl[[#This Row],[Likes]:[Shares]])</f>
        <v>19</v>
      </c>
      <c r="K296" s="24">
        <f>DataTbl[[#This Row],[Engagement]]/DataTbl[[#This Row],[Views]]</f>
        <v>3.7401574803149609E-2</v>
      </c>
      <c r="L296" s="21">
        <f>SUM(DataTbl[[#This Row],[Profile Visits]:[New Followers]])</f>
        <v>26</v>
      </c>
    </row>
    <row r="297" spans="1:12" x14ac:dyDescent="0.3">
      <c r="A297" s="42">
        <v>45858</v>
      </c>
      <c r="B297" s="21">
        <v>634</v>
      </c>
      <c r="C297" s="21">
        <v>13948</v>
      </c>
      <c r="D297" s="21">
        <v>18</v>
      </c>
      <c r="E297" s="21">
        <v>8</v>
      </c>
      <c r="F297" s="21">
        <v>2</v>
      </c>
      <c r="G297" s="21">
        <v>3</v>
      </c>
      <c r="H297" s="21">
        <v>40</v>
      </c>
      <c r="I297" s="21">
        <v>7</v>
      </c>
      <c r="J297" s="21">
        <f>SUM(DataTbl[[#This Row],[Likes]:[Shares]])</f>
        <v>31</v>
      </c>
      <c r="K297" s="24">
        <f>DataTbl[[#This Row],[Engagement]]/DataTbl[[#This Row],[Views]]</f>
        <v>4.8895899053627762E-2</v>
      </c>
      <c r="L297" s="21">
        <f>SUM(DataTbl[[#This Row],[Profile Visits]:[New Followers]])</f>
        <v>47</v>
      </c>
    </row>
    <row r="298" spans="1:12" x14ac:dyDescent="0.3">
      <c r="A298" s="42">
        <v>45859</v>
      </c>
      <c r="B298" s="21">
        <v>489</v>
      </c>
      <c r="C298" s="21">
        <v>10758</v>
      </c>
      <c r="D298" s="21">
        <v>21</v>
      </c>
      <c r="E298" s="21">
        <v>7</v>
      </c>
      <c r="F298" s="21">
        <v>2</v>
      </c>
      <c r="G298" s="21">
        <v>3</v>
      </c>
      <c r="H298" s="21">
        <v>22</v>
      </c>
      <c r="I298" s="21">
        <v>4</v>
      </c>
      <c r="J298" s="21">
        <f>SUM(DataTbl[[#This Row],[Likes]:[Shares]])</f>
        <v>33</v>
      </c>
      <c r="K298" s="24">
        <f>DataTbl[[#This Row],[Engagement]]/DataTbl[[#This Row],[Views]]</f>
        <v>6.7484662576687116E-2</v>
      </c>
      <c r="L298" s="21">
        <f>SUM(DataTbl[[#This Row],[Profile Visits]:[New Followers]])</f>
        <v>26</v>
      </c>
    </row>
    <row r="299" spans="1:12" x14ac:dyDescent="0.3">
      <c r="A299" s="42">
        <v>45860</v>
      </c>
      <c r="B299" s="21">
        <v>543</v>
      </c>
      <c r="C299" s="21">
        <v>15747</v>
      </c>
      <c r="D299" s="21">
        <v>20</v>
      </c>
      <c r="E299" s="21">
        <v>9</v>
      </c>
      <c r="F299" s="21">
        <v>2</v>
      </c>
      <c r="G299" s="21">
        <v>3</v>
      </c>
      <c r="H299" s="21">
        <v>37</v>
      </c>
      <c r="I299" s="21">
        <v>4</v>
      </c>
      <c r="J299" s="21">
        <f>SUM(DataTbl[[#This Row],[Likes]:[Shares]])</f>
        <v>34</v>
      </c>
      <c r="K299" s="24">
        <f>DataTbl[[#This Row],[Engagement]]/DataTbl[[#This Row],[Views]]</f>
        <v>6.2615101289134445E-2</v>
      </c>
      <c r="L299" s="21">
        <f>SUM(DataTbl[[#This Row],[Profile Visits]:[New Followers]])</f>
        <v>41</v>
      </c>
    </row>
    <row r="300" spans="1:12" x14ac:dyDescent="0.3">
      <c r="A300" s="42">
        <v>45861</v>
      </c>
      <c r="B300" s="21">
        <v>515</v>
      </c>
      <c r="C300" s="21">
        <v>14935</v>
      </c>
      <c r="D300" s="21">
        <v>17</v>
      </c>
      <c r="E300" s="21">
        <v>6</v>
      </c>
      <c r="F300" s="21">
        <v>2</v>
      </c>
      <c r="G300" s="21">
        <v>3</v>
      </c>
      <c r="H300" s="21">
        <v>24</v>
      </c>
      <c r="I300" s="21">
        <v>3</v>
      </c>
      <c r="J300" s="21">
        <f>SUM(DataTbl[[#This Row],[Likes]:[Shares]])</f>
        <v>28</v>
      </c>
      <c r="K300" s="24">
        <f>DataTbl[[#This Row],[Engagement]]/DataTbl[[#This Row],[Views]]</f>
        <v>5.4368932038834951E-2</v>
      </c>
      <c r="L300" s="21">
        <f>SUM(DataTbl[[#This Row],[Profile Visits]:[New Followers]])</f>
        <v>27</v>
      </c>
    </row>
    <row r="301" spans="1:12" x14ac:dyDescent="0.3">
      <c r="A301" s="42">
        <v>45862</v>
      </c>
      <c r="B301" s="21">
        <v>531</v>
      </c>
      <c r="C301" s="21">
        <v>10089</v>
      </c>
      <c r="D301" s="21">
        <v>21</v>
      </c>
      <c r="E301" s="21">
        <v>7</v>
      </c>
      <c r="F301" s="21">
        <v>2</v>
      </c>
      <c r="G301" s="21">
        <v>2</v>
      </c>
      <c r="H301" s="21">
        <v>23</v>
      </c>
      <c r="I301" s="21">
        <v>4</v>
      </c>
      <c r="J301" s="21">
        <f>SUM(DataTbl[[#This Row],[Likes]:[Shares]])</f>
        <v>32</v>
      </c>
      <c r="K301" s="24">
        <f>DataTbl[[#This Row],[Engagement]]/DataTbl[[#This Row],[Views]]</f>
        <v>6.0263653483992465E-2</v>
      </c>
      <c r="L301" s="21">
        <f>SUM(DataTbl[[#This Row],[Profile Visits]:[New Followers]])</f>
        <v>27</v>
      </c>
    </row>
    <row r="302" spans="1:12" x14ac:dyDescent="0.3">
      <c r="A302" s="42">
        <v>45863</v>
      </c>
      <c r="B302" s="21">
        <v>456</v>
      </c>
      <c r="C302" s="21">
        <v>12312</v>
      </c>
      <c r="D302" s="21">
        <v>19</v>
      </c>
      <c r="E302" s="21">
        <v>6</v>
      </c>
      <c r="F302" s="21">
        <v>3</v>
      </c>
      <c r="G302" s="21">
        <v>3</v>
      </c>
      <c r="H302" s="21">
        <v>26</v>
      </c>
      <c r="I302" s="21">
        <v>4</v>
      </c>
      <c r="J302" s="21">
        <f>SUM(DataTbl[[#This Row],[Likes]:[Shares]])</f>
        <v>31</v>
      </c>
      <c r="K302" s="24">
        <f>DataTbl[[#This Row],[Engagement]]/DataTbl[[#This Row],[Views]]</f>
        <v>6.798245614035088E-2</v>
      </c>
      <c r="L302" s="21">
        <f>SUM(DataTbl[[#This Row],[Profile Visits]:[New Followers]])</f>
        <v>30</v>
      </c>
    </row>
    <row r="303" spans="1:12" x14ac:dyDescent="0.3">
      <c r="A303" s="42">
        <v>45864</v>
      </c>
      <c r="B303" s="21">
        <v>498</v>
      </c>
      <c r="C303" s="21">
        <v>17430</v>
      </c>
      <c r="D303" s="21">
        <v>21</v>
      </c>
      <c r="E303" s="21">
        <v>7</v>
      </c>
      <c r="F303" s="21">
        <v>2</v>
      </c>
      <c r="G303" s="21">
        <v>3</v>
      </c>
      <c r="H303" s="21">
        <v>23</v>
      </c>
      <c r="I303" s="21">
        <v>4</v>
      </c>
      <c r="J303" s="21">
        <f>SUM(DataTbl[[#This Row],[Likes]:[Shares]])</f>
        <v>33</v>
      </c>
      <c r="K303" s="24">
        <f>DataTbl[[#This Row],[Engagement]]/DataTbl[[#This Row],[Views]]</f>
        <v>6.6265060240963861E-2</v>
      </c>
      <c r="L303" s="21">
        <f>SUM(DataTbl[[#This Row],[Profile Visits]:[New Followers]])</f>
        <v>27</v>
      </c>
    </row>
    <row r="304" spans="1:12" x14ac:dyDescent="0.3">
      <c r="A304" s="42">
        <v>45865</v>
      </c>
      <c r="B304" s="21">
        <v>624</v>
      </c>
      <c r="C304" s="21">
        <v>18720</v>
      </c>
      <c r="D304" s="21">
        <v>19</v>
      </c>
      <c r="E304" s="21">
        <v>8</v>
      </c>
      <c r="F304" s="21">
        <v>3</v>
      </c>
      <c r="G304" s="21">
        <v>3</v>
      </c>
      <c r="H304" s="21">
        <v>44</v>
      </c>
      <c r="I304" s="21">
        <v>7</v>
      </c>
      <c r="J304" s="21">
        <f>SUM(DataTbl[[#This Row],[Likes]:[Shares]])</f>
        <v>33</v>
      </c>
      <c r="K304" s="24">
        <f>DataTbl[[#This Row],[Engagement]]/DataTbl[[#This Row],[Views]]</f>
        <v>5.2884615384615384E-2</v>
      </c>
      <c r="L304" s="21">
        <f>SUM(DataTbl[[#This Row],[Profile Visits]:[New Followers]])</f>
        <v>51</v>
      </c>
    </row>
    <row r="305" spans="1:12" x14ac:dyDescent="0.3">
      <c r="A305" s="42">
        <v>45866</v>
      </c>
      <c r="B305" s="21">
        <v>530</v>
      </c>
      <c r="C305" s="21">
        <v>17490</v>
      </c>
      <c r="D305" s="21">
        <v>19</v>
      </c>
      <c r="E305" s="21">
        <v>9</v>
      </c>
      <c r="F305" s="21">
        <v>3</v>
      </c>
      <c r="G305" s="21">
        <v>2</v>
      </c>
      <c r="H305" s="21">
        <v>26</v>
      </c>
      <c r="I305" s="21">
        <v>3</v>
      </c>
      <c r="J305" s="21">
        <f>SUM(DataTbl[[#This Row],[Likes]:[Shares]])</f>
        <v>33</v>
      </c>
      <c r="K305" s="24">
        <f>DataTbl[[#This Row],[Engagement]]/DataTbl[[#This Row],[Views]]</f>
        <v>6.2264150943396226E-2</v>
      </c>
      <c r="L305" s="21">
        <f>SUM(DataTbl[[#This Row],[Profile Visits]:[New Followers]])</f>
        <v>29</v>
      </c>
    </row>
    <row r="306" spans="1:12" x14ac:dyDescent="0.3">
      <c r="A306" s="42">
        <v>45867</v>
      </c>
      <c r="B306" s="21">
        <v>571</v>
      </c>
      <c r="C306" s="21">
        <v>17701</v>
      </c>
      <c r="D306" s="21">
        <v>23</v>
      </c>
      <c r="E306" s="21">
        <v>11</v>
      </c>
      <c r="F306" s="21">
        <v>2</v>
      </c>
      <c r="G306" s="21">
        <v>2</v>
      </c>
      <c r="H306" s="21">
        <v>24</v>
      </c>
      <c r="I306" s="21">
        <v>4</v>
      </c>
      <c r="J306" s="21">
        <f>SUM(DataTbl[[#This Row],[Likes]:[Shares]])</f>
        <v>38</v>
      </c>
      <c r="K306" s="24">
        <f>DataTbl[[#This Row],[Engagement]]/DataTbl[[#This Row],[Views]]</f>
        <v>6.6549912434325745E-2</v>
      </c>
      <c r="L306" s="21">
        <f>SUM(DataTbl[[#This Row],[Profile Visits]:[New Followers]])</f>
        <v>28</v>
      </c>
    </row>
    <row r="307" spans="1:12" x14ac:dyDescent="0.3">
      <c r="A307" s="42">
        <v>45868</v>
      </c>
      <c r="B307" s="21">
        <v>477</v>
      </c>
      <c r="C307" s="21">
        <v>14310</v>
      </c>
      <c r="D307" s="21">
        <v>10</v>
      </c>
      <c r="E307" s="21">
        <v>5</v>
      </c>
      <c r="F307" s="21">
        <v>1</v>
      </c>
      <c r="G307" s="21">
        <v>1</v>
      </c>
      <c r="H307" s="21">
        <v>38</v>
      </c>
      <c r="I307" s="21">
        <v>6</v>
      </c>
      <c r="J307" s="21">
        <f>SUM(DataTbl[[#This Row],[Likes]:[Shares]])</f>
        <v>17</v>
      </c>
      <c r="K307" s="24">
        <f>DataTbl[[#This Row],[Engagement]]/DataTbl[[#This Row],[Views]]</f>
        <v>3.5639412997903561E-2</v>
      </c>
      <c r="L307" s="21">
        <f>SUM(DataTbl[[#This Row],[Profile Visits]:[New Followers]])</f>
        <v>44</v>
      </c>
    </row>
    <row r="308" spans="1:12" x14ac:dyDescent="0.3">
      <c r="A308" s="42">
        <v>45869</v>
      </c>
      <c r="B308" s="21">
        <v>562</v>
      </c>
      <c r="C308" s="21">
        <v>19108</v>
      </c>
      <c r="D308" s="21">
        <v>18</v>
      </c>
      <c r="E308" s="21">
        <v>8</v>
      </c>
      <c r="F308" s="21">
        <v>2</v>
      </c>
      <c r="G308" s="21">
        <v>3</v>
      </c>
      <c r="H308" s="21">
        <v>31</v>
      </c>
      <c r="I308" s="21">
        <v>4</v>
      </c>
      <c r="J308" s="21">
        <f>SUM(DataTbl[[#This Row],[Likes]:[Shares]])</f>
        <v>31</v>
      </c>
      <c r="K308" s="24">
        <f>DataTbl[[#This Row],[Engagement]]/DataTbl[[#This Row],[Views]]</f>
        <v>5.5160142348754451E-2</v>
      </c>
      <c r="L308" s="21">
        <f>SUM(DataTbl[[#This Row],[Profile Visits]:[New Followers]])</f>
        <v>35</v>
      </c>
    </row>
    <row r="309" spans="1:12" x14ac:dyDescent="0.3">
      <c r="A309" s="42">
        <v>45870</v>
      </c>
      <c r="B309" s="21">
        <v>580</v>
      </c>
      <c r="C309" s="21">
        <v>15080</v>
      </c>
      <c r="D309" s="21">
        <v>17</v>
      </c>
      <c r="E309" s="21">
        <v>6</v>
      </c>
      <c r="F309" s="21">
        <v>2</v>
      </c>
      <c r="G309" s="21">
        <v>2</v>
      </c>
      <c r="H309" s="21">
        <v>29</v>
      </c>
      <c r="I309" s="21">
        <v>4</v>
      </c>
      <c r="J309" s="21">
        <f>SUM(DataTbl[[#This Row],[Likes]:[Shares]])</f>
        <v>27</v>
      </c>
      <c r="K309" s="24">
        <f>DataTbl[[#This Row],[Engagement]]/DataTbl[[#This Row],[Views]]</f>
        <v>4.6551724137931037E-2</v>
      </c>
      <c r="L309" s="21">
        <f>SUM(DataTbl[[#This Row],[Profile Visits]:[New Followers]])</f>
        <v>33</v>
      </c>
    </row>
    <row r="310" spans="1:12" x14ac:dyDescent="0.3">
      <c r="A310" s="42">
        <v>45871</v>
      </c>
      <c r="B310" s="21">
        <v>593</v>
      </c>
      <c r="C310" s="21">
        <v>13639</v>
      </c>
      <c r="D310" s="21">
        <v>20</v>
      </c>
      <c r="E310" s="21">
        <v>10</v>
      </c>
      <c r="F310" s="21">
        <v>2</v>
      </c>
      <c r="G310" s="21">
        <v>3</v>
      </c>
      <c r="H310" s="21">
        <v>34</v>
      </c>
      <c r="I310" s="21">
        <v>4</v>
      </c>
      <c r="J310" s="21">
        <f>SUM(DataTbl[[#This Row],[Likes]:[Shares]])</f>
        <v>35</v>
      </c>
      <c r="K310" s="24">
        <f>DataTbl[[#This Row],[Engagement]]/DataTbl[[#This Row],[Views]]</f>
        <v>5.9021922428330521E-2</v>
      </c>
      <c r="L310" s="21">
        <f>SUM(DataTbl[[#This Row],[Profile Visits]:[New Followers]])</f>
        <v>38</v>
      </c>
    </row>
    <row r="311" spans="1:12" x14ac:dyDescent="0.3">
      <c r="A311" s="42">
        <v>45872</v>
      </c>
      <c r="B311" s="21">
        <v>603</v>
      </c>
      <c r="C311" s="21">
        <v>13266</v>
      </c>
      <c r="D311" s="21">
        <v>26</v>
      </c>
      <c r="E311" s="21">
        <v>10</v>
      </c>
      <c r="F311" s="21">
        <v>4</v>
      </c>
      <c r="G311" s="21">
        <v>4</v>
      </c>
      <c r="H311" s="21">
        <v>27</v>
      </c>
      <c r="I311" s="21">
        <v>4</v>
      </c>
      <c r="J311" s="21">
        <f>SUM(DataTbl[[#This Row],[Likes]:[Shares]])</f>
        <v>44</v>
      </c>
      <c r="K311" s="24">
        <f>DataTbl[[#This Row],[Engagement]]/DataTbl[[#This Row],[Views]]</f>
        <v>7.2968490878938641E-2</v>
      </c>
      <c r="L311" s="21">
        <f>SUM(DataTbl[[#This Row],[Profile Visits]:[New Followers]])</f>
        <v>31</v>
      </c>
    </row>
    <row r="312" spans="1:12" x14ac:dyDescent="0.3">
      <c r="A312" s="42">
        <v>45873</v>
      </c>
      <c r="B312" s="21">
        <v>475</v>
      </c>
      <c r="C312" s="21">
        <v>9500</v>
      </c>
      <c r="D312" s="21">
        <v>18</v>
      </c>
      <c r="E312" s="21">
        <v>8</v>
      </c>
      <c r="F312" s="21">
        <v>2</v>
      </c>
      <c r="G312" s="21">
        <v>2</v>
      </c>
      <c r="H312" s="21">
        <v>27</v>
      </c>
      <c r="I312" s="21">
        <v>4</v>
      </c>
      <c r="J312" s="21">
        <f>SUM(DataTbl[[#This Row],[Likes]:[Shares]])</f>
        <v>30</v>
      </c>
      <c r="K312" s="24">
        <f>DataTbl[[#This Row],[Engagement]]/DataTbl[[#This Row],[Views]]</f>
        <v>6.3157894736842107E-2</v>
      </c>
      <c r="L312" s="21">
        <f>SUM(DataTbl[[#This Row],[Profile Visits]:[New Followers]])</f>
        <v>31</v>
      </c>
    </row>
    <row r="313" spans="1:12" x14ac:dyDescent="0.3">
      <c r="A313" s="42">
        <v>45874</v>
      </c>
      <c r="B313" s="21">
        <v>535</v>
      </c>
      <c r="C313" s="21">
        <v>18190</v>
      </c>
      <c r="D313" s="21">
        <v>22</v>
      </c>
      <c r="E313" s="21">
        <v>9</v>
      </c>
      <c r="F313" s="21">
        <v>2</v>
      </c>
      <c r="G313" s="21">
        <v>3</v>
      </c>
      <c r="H313" s="21">
        <v>24</v>
      </c>
      <c r="I313" s="21">
        <v>3</v>
      </c>
      <c r="J313" s="21">
        <f>SUM(DataTbl[[#This Row],[Likes]:[Shares]])</f>
        <v>36</v>
      </c>
      <c r="K313" s="24">
        <f>DataTbl[[#This Row],[Engagement]]/DataTbl[[#This Row],[Views]]</f>
        <v>6.7289719626168226E-2</v>
      </c>
      <c r="L313" s="21">
        <f>SUM(DataTbl[[#This Row],[Profile Visits]:[New Followers]])</f>
        <v>27</v>
      </c>
    </row>
    <row r="314" spans="1:12" x14ac:dyDescent="0.3">
      <c r="A314" s="42">
        <v>45875</v>
      </c>
      <c r="B314" s="21">
        <v>588</v>
      </c>
      <c r="C314" s="21">
        <v>15876</v>
      </c>
      <c r="D314" s="21">
        <v>16</v>
      </c>
      <c r="E314" s="21">
        <v>8</v>
      </c>
      <c r="F314" s="21">
        <v>2</v>
      </c>
      <c r="G314" s="21">
        <v>2</v>
      </c>
      <c r="H314" s="21">
        <v>27</v>
      </c>
      <c r="I314" s="21">
        <v>3</v>
      </c>
      <c r="J314" s="21">
        <f>SUM(DataTbl[[#This Row],[Likes]:[Shares]])</f>
        <v>28</v>
      </c>
      <c r="K314" s="24">
        <f>DataTbl[[#This Row],[Engagement]]/DataTbl[[#This Row],[Views]]</f>
        <v>4.7619047619047616E-2</v>
      </c>
      <c r="L314" s="21">
        <f>SUM(DataTbl[[#This Row],[Profile Visits]:[New Followers]])</f>
        <v>30</v>
      </c>
    </row>
    <row r="315" spans="1:12" x14ac:dyDescent="0.3">
      <c r="A315" s="42">
        <v>45876</v>
      </c>
      <c r="B315" s="21">
        <v>463</v>
      </c>
      <c r="C315" s="21">
        <v>12038</v>
      </c>
      <c r="D315" s="21">
        <v>14</v>
      </c>
      <c r="E315" s="21">
        <v>5</v>
      </c>
      <c r="F315" s="21">
        <v>2</v>
      </c>
      <c r="G315" s="21">
        <v>2</v>
      </c>
      <c r="H315" s="21">
        <v>22</v>
      </c>
      <c r="I315" s="21">
        <v>4</v>
      </c>
      <c r="J315" s="21">
        <f>SUM(DataTbl[[#This Row],[Likes]:[Shares]])</f>
        <v>23</v>
      </c>
      <c r="K315" s="24">
        <f>DataTbl[[#This Row],[Engagement]]/DataTbl[[#This Row],[Views]]</f>
        <v>4.9676025917926567E-2</v>
      </c>
      <c r="L315" s="21">
        <f>SUM(DataTbl[[#This Row],[Profile Visits]:[New Followers]])</f>
        <v>26</v>
      </c>
    </row>
    <row r="316" spans="1:12" x14ac:dyDescent="0.3">
      <c r="A316" s="42">
        <v>45877</v>
      </c>
      <c r="B316" s="21">
        <v>608</v>
      </c>
      <c r="C316" s="21">
        <v>12160</v>
      </c>
      <c r="D316" s="21">
        <v>27</v>
      </c>
      <c r="E316" s="21">
        <v>12</v>
      </c>
      <c r="F316" s="21">
        <v>3</v>
      </c>
      <c r="G316" s="21">
        <v>2</v>
      </c>
      <c r="H316" s="21">
        <v>47</v>
      </c>
      <c r="I316" s="21">
        <v>6</v>
      </c>
      <c r="J316" s="21">
        <f>SUM(DataTbl[[#This Row],[Likes]:[Shares]])</f>
        <v>44</v>
      </c>
      <c r="K316" s="24">
        <f>DataTbl[[#This Row],[Engagement]]/DataTbl[[#This Row],[Views]]</f>
        <v>7.2368421052631582E-2</v>
      </c>
      <c r="L316" s="21">
        <f>SUM(DataTbl[[#This Row],[Profile Visits]:[New Followers]])</f>
        <v>53</v>
      </c>
    </row>
    <row r="317" spans="1:12" x14ac:dyDescent="0.3">
      <c r="A317" s="42">
        <v>45878</v>
      </c>
      <c r="B317" s="21">
        <v>580</v>
      </c>
      <c r="C317" s="21">
        <v>11020</v>
      </c>
      <c r="D317" s="21">
        <v>18</v>
      </c>
      <c r="E317" s="21">
        <v>7</v>
      </c>
      <c r="F317" s="21">
        <v>1</v>
      </c>
      <c r="G317" s="21">
        <v>3</v>
      </c>
      <c r="H317" s="21">
        <v>46</v>
      </c>
      <c r="I317" s="21">
        <v>5</v>
      </c>
      <c r="J317" s="21">
        <f>SUM(DataTbl[[#This Row],[Likes]:[Shares]])</f>
        <v>29</v>
      </c>
      <c r="K317" s="24">
        <f>DataTbl[[#This Row],[Engagement]]/DataTbl[[#This Row],[Views]]</f>
        <v>0.05</v>
      </c>
      <c r="L317" s="21">
        <f>SUM(DataTbl[[#This Row],[Profile Visits]:[New Followers]])</f>
        <v>51</v>
      </c>
    </row>
    <row r="318" spans="1:12" x14ac:dyDescent="0.3">
      <c r="A318" s="42">
        <v>45879</v>
      </c>
      <c r="B318" s="21">
        <v>620</v>
      </c>
      <c r="C318" s="21">
        <v>16740</v>
      </c>
      <c r="D318" s="21">
        <v>15</v>
      </c>
      <c r="E318" s="21">
        <v>7</v>
      </c>
      <c r="F318" s="21">
        <v>2</v>
      </c>
      <c r="G318" s="21">
        <v>2</v>
      </c>
      <c r="H318" s="21">
        <v>42</v>
      </c>
      <c r="I318" s="21">
        <v>7</v>
      </c>
      <c r="J318" s="21">
        <f>SUM(DataTbl[[#This Row],[Likes]:[Shares]])</f>
        <v>26</v>
      </c>
      <c r="K318" s="24">
        <f>DataTbl[[#This Row],[Engagement]]/DataTbl[[#This Row],[Views]]</f>
        <v>4.1935483870967745E-2</v>
      </c>
      <c r="L318" s="21">
        <f>SUM(DataTbl[[#This Row],[Profile Visits]:[New Followers]])</f>
        <v>49</v>
      </c>
    </row>
    <row r="319" spans="1:12" x14ac:dyDescent="0.3">
      <c r="A319" s="42">
        <v>45880</v>
      </c>
      <c r="B319" s="21">
        <v>609</v>
      </c>
      <c r="C319" s="21">
        <v>15834</v>
      </c>
      <c r="D319" s="21">
        <v>28</v>
      </c>
      <c r="E319" s="21">
        <v>12</v>
      </c>
      <c r="F319" s="21">
        <v>4</v>
      </c>
      <c r="G319" s="21">
        <v>3</v>
      </c>
      <c r="H319" s="21">
        <v>46</v>
      </c>
      <c r="I319" s="21">
        <v>8</v>
      </c>
      <c r="J319" s="21">
        <f>SUM(DataTbl[[#This Row],[Likes]:[Shares]])</f>
        <v>47</v>
      </c>
      <c r="K319" s="24">
        <f>DataTbl[[#This Row],[Engagement]]/DataTbl[[#This Row],[Views]]</f>
        <v>7.7175697865353041E-2</v>
      </c>
      <c r="L319" s="21">
        <f>SUM(DataTbl[[#This Row],[Profile Visits]:[New Followers]])</f>
        <v>54</v>
      </c>
    </row>
    <row r="320" spans="1:12" x14ac:dyDescent="0.3">
      <c r="A320" s="42">
        <v>45881</v>
      </c>
      <c r="B320" s="21">
        <v>463</v>
      </c>
      <c r="C320" s="21">
        <v>9260</v>
      </c>
      <c r="D320" s="21">
        <v>17</v>
      </c>
      <c r="E320" s="21">
        <v>7</v>
      </c>
      <c r="F320" s="21">
        <v>2</v>
      </c>
      <c r="G320" s="21">
        <v>3</v>
      </c>
      <c r="H320" s="21">
        <v>19</v>
      </c>
      <c r="I320" s="21">
        <v>3</v>
      </c>
      <c r="J320" s="21">
        <f>SUM(DataTbl[[#This Row],[Likes]:[Shares]])</f>
        <v>29</v>
      </c>
      <c r="K320" s="24">
        <f>DataTbl[[#This Row],[Engagement]]/DataTbl[[#This Row],[Views]]</f>
        <v>6.2634989200863925E-2</v>
      </c>
      <c r="L320" s="21">
        <f>SUM(DataTbl[[#This Row],[Profile Visits]:[New Followers]])</f>
        <v>22</v>
      </c>
    </row>
    <row r="321" spans="1:12" x14ac:dyDescent="0.3">
      <c r="A321" s="42">
        <v>45882</v>
      </c>
      <c r="B321" s="21">
        <v>461</v>
      </c>
      <c r="C321" s="21">
        <v>9220</v>
      </c>
      <c r="D321" s="21">
        <v>15</v>
      </c>
      <c r="E321" s="21">
        <v>8</v>
      </c>
      <c r="F321" s="21">
        <v>3</v>
      </c>
      <c r="G321" s="21">
        <v>2</v>
      </c>
      <c r="H321" s="21">
        <v>30</v>
      </c>
      <c r="I321" s="21">
        <v>4</v>
      </c>
      <c r="J321" s="21">
        <f>SUM(DataTbl[[#This Row],[Likes]:[Shares]])</f>
        <v>28</v>
      </c>
      <c r="K321" s="24">
        <f>DataTbl[[#This Row],[Engagement]]/DataTbl[[#This Row],[Views]]</f>
        <v>6.0737527114967459E-2</v>
      </c>
      <c r="L321" s="21">
        <f>SUM(DataTbl[[#This Row],[Profile Visits]:[New Followers]])</f>
        <v>34</v>
      </c>
    </row>
    <row r="322" spans="1:12" x14ac:dyDescent="0.3">
      <c r="A322" s="42">
        <v>45883</v>
      </c>
      <c r="B322" s="21">
        <v>473</v>
      </c>
      <c r="C322" s="21">
        <v>13717</v>
      </c>
      <c r="D322" s="21">
        <v>17</v>
      </c>
      <c r="E322" s="21">
        <v>7</v>
      </c>
      <c r="F322" s="21">
        <v>2</v>
      </c>
      <c r="G322" s="21">
        <v>2</v>
      </c>
      <c r="H322" s="21">
        <v>32</v>
      </c>
      <c r="I322" s="21">
        <v>4</v>
      </c>
      <c r="J322" s="21">
        <f>SUM(DataTbl[[#This Row],[Likes]:[Shares]])</f>
        <v>28</v>
      </c>
      <c r="K322" s="24">
        <f>DataTbl[[#This Row],[Engagement]]/DataTbl[[#This Row],[Views]]</f>
        <v>5.9196617336152217E-2</v>
      </c>
      <c r="L322" s="21">
        <f>SUM(DataTbl[[#This Row],[Profile Visits]:[New Followers]])</f>
        <v>36</v>
      </c>
    </row>
    <row r="323" spans="1:12" x14ac:dyDescent="0.3">
      <c r="A323" s="42">
        <v>45884</v>
      </c>
      <c r="B323" s="21">
        <v>451</v>
      </c>
      <c r="C323" s="21">
        <v>9020</v>
      </c>
      <c r="D323" s="21">
        <v>11</v>
      </c>
      <c r="E323" s="21">
        <v>5</v>
      </c>
      <c r="F323" s="21">
        <v>2</v>
      </c>
      <c r="G323" s="21">
        <v>1</v>
      </c>
      <c r="H323" s="21">
        <v>28</v>
      </c>
      <c r="I323" s="21">
        <v>5</v>
      </c>
      <c r="J323" s="21">
        <f>SUM(DataTbl[[#This Row],[Likes]:[Shares]])</f>
        <v>19</v>
      </c>
      <c r="K323" s="24">
        <f>DataTbl[[#This Row],[Engagement]]/DataTbl[[#This Row],[Views]]</f>
        <v>4.2128603104212861E-2</v>
      </c>
      <c r="L323" s="21">
        <f>SUM(DataTbl[[#This Row],[Profile Visits]:[New Followers]])</f>
        <v>33</v>
      </c>
    </row>
    <row r="324" spans="1:12" x14ac:dyDescent="0.3">
      <c r="A324" s="42">
        <v>45885</v>
      </c>
      <c r="B324" s="21">
        <v>702</v>
      </c>
      <c r="C324" s="21">
        <v>14742</v>
      </c>
      <c r="D324" s="21">
        <v>29</v>
      </c>
      <c r="E324" s="21">
        <v>13</v>
      </c>
      <c r="F324" s="21">
        <v>4</v>
      </c>
      <c r="G324" s="21">
        <v>3</v>
      </c>
      <c r="H324" s="21">
        <v>28</v>
      </c>
      <c r="I324" s="21">
        <v>4</v>
      </c>
      <c r="J324" s="21">
        <f>SUM(DataTbl[[#This Row],[Likes]:[Shares]])</f>
        <v>49</v>
      </c>
      <c r="K324" s="24">
        <f>DataTbl[[#This Row],[Engagement]]/DataTbl[[#This Row],[Views]]</f>
        <v>6.9800569800569798E-2</v>
      </c>
      <c r="L324" s="21">
        <f>SUM(DataTbl[[#This Row],[Profile Visits]:[New Followers]])</f>
        <v>32</v>
      </c>
    </row>
    <row r="325" spans="1:12" x14ac:dyDescent="0.3">
      <c r="A325" s="42">
        <v>45886</v>
      </c>
      <c r="B325" s="21">
        <v>699</v>
      </c>
      <c r="C325" s="21">
        <v>23766</v>
      </c>
      <c r="D325" s="21">
        <v>26</v>
      </c>
      <c r="E325" s="21">
        <v>10</v>
      </c>
      <c r="F325" s="21">
        <v>4</v>
      </c>
      <c r="G325" s="21">
        <v>4</v>
      </c>
      <c r="H325" s="21">
        <v>36</v>
      </c>
      <c r="I325" s="21">
        <v>7</v>
      </c>
      <c r="J325" s="21">
        <f>SUM(DataTbl[[#This Row],[Likes]:[Shares]])</f>
        <v>44</v>
      </c>
      <c r="K325" s="24">
        <f>DataTbl[[#This Row],[Engagement]]/DataTbl[[#This Row],[Views]]</f>
        <v>6.2947067238912732E-2</v>
      </c>
      <c r="L325" s="21">
        <f>SUM(DataTbl[[#This Row],[Profile Visits]:[New Followers]])</f>
        <v>43</v>
      </c>
    </row>
    <row r="326" spans="1:12" x14ac:dyDescent="0.3">
      <c r="A326" s="42">
        <v>45887</v>
      </c>
      <c r="B326" s="21">
        <v>512</v>
      </c>
      <c r="C326" s="21">
        <v>11264</v>
      </c>
      <c r="D326" s="21">
        <v>19</v>
      </c>
      <c r="E326" s="21">
        <v>9</v>
      </c>
      <c r="F326" s="21">
        <v>2</v>
      </c>
      <c r="G326" s="21">
        <v>2</v>
      </c>
      <c r="H326" s="21">
        <v>22</v>
      </c>
      <c r="I326" s="21">
        <v>4</v>
      </c>
      <c r="J326" s="21">
        <f>SUM(DataTbl[[#This Row],[Likes]:[Shares]])</f>
        <v>32</v>
      </c>
      <c r="K326" s="24">
        <f>DataTbl[[#This Row],[Engagement]]/DataTbl[[#This Row],[Views]]</f>
        <v>6.25E-2</v>
      </c>
      <c r="L326" s="21">
        <f>SUM(DataTbl[[#This Row],[Profile Visits]:[New Followers]])</f>
        <v>26</v>
      </c>
    </row>
    <row r="327" spans="1:12" x14ac:dyDescent="0.3">
      <c r="A327" s="42">
        <v>45888</v>
      </c>
      <c r="B327" s="21">
        <v>564</v>
      </c>
      <c r="C327" s="21">
        <v>12972</v>
      </c>
      <c r="D327" s="21">
        <v>15</v>
      </c>
      <c r="E327" s="21">
        <v>6</v>
      </c>
      <c r="F327" s="21">
        <v>1</v>
      </c>
      <c r="G327" s="21">
        <v>2</v>
      </c>
      <c r="H327" s="21">
        <v>23</v>
      </c>
      <c r="I327" s="21">
        <v>4</v>
      </c>
      <c r="J327" s="21">
        <f>SUM(DataTbl[[#This Row],[Likes]:[Shares]])</f>
        <v>24</v>
      </c>
      <c r="K327" s="24">
        <f>DataTbl[[#This Row],[Engagement]]/DataTbl[[#This Row],[Views]]</f>
        <v>4.2553191489361701E-2</v>
      </c>
      <c r="L327" s="21">
        <f>SUM(DataTbl[[#This Row],[Profile Visits]:[New Followers]])</f>
        <v>27</v>
      </c>
    </row>
    <row r="328" spans="1:12" x14ac:dyDescent="0.3">
      <c r="A328" s="42">
        <v>45889</v>
      </c>
      <c r="B328" s="21">
        <v>531</v>
      </c>
      <c r="C328" s="21">
        <v>17523</v>
      </c>
      <c r="D328" s="21">
        <v>15</v>
      </c>
      <c r="E328" s="21">
        <v>5</v>
      </c>
      <c r="F328" s="21">
        <v>2</v>
      </c>
      <c r="G328" s="21">
        <v>2</v>
      </c>
      <c r="H328" s="21">
        <v>40</v>
      </c>
      <c r="I328" s="21">
        <v>6</v>
      </c>
      <c r="J328" s="21">
        <f>SUM(DataTbl[[#This Row],[Likes]:[Shares]])</f>
        <v>24</v>
      </c>
      <c r="K328" s="24">
        <f>DataTbl[[#This Row],[Engagement]]/DataTbl[[#This Row],[Views]]</f>
        <v>4.519774011299435E-2</v>
      </c>
      <c r="L328" s="21">
        <f>SUM(DataTbl[[#This Row],[Profile Visits]:[New Followers]])</f>
        <v>46</v>
      </c>
    </row>
    <row r="329" spans="1:12" x14ac:dyDescent="0.3">
      <c r="A329" s="42">
        <v>45890</v>
      </c>
      <c r="B329" s="21">
        <v>615</v>
      </c>
      <c r="C329" s="21">
        <v>11070</v>
      </c>
      <c r="D329" s="21">
        <v>17</v>
      </c>
      <c r="E329" s="21">
        <v>9</v>
      </c>
      <c r="F329" s="21">
        <v>2</v>
      </c>
      <c r="G329" s="21">
        <v>2</v>
      </c>
      <c r="H329" s="21">
        <v>44</v>
      </c>
      <c r="I329" s="21">
        <v>5</v>
      </c>
      <c r="J329" s="21">
        <f>SUM(DataTbl[[#This Row],[Likes]:[Shares]])</f>
        <v>30</v>
      </c>
      <c r="K329" s="24">
        <f>DataTbl[[#This Row],[Engagement]]/DataTbl[[#This Row],[Views]]</f>
        <v>4.878048780487805E-2</v>
      </c>
      <c r="L329" s="21">
        <f>SUM(DataTbl[[#This Row],[Profile Visits]:[New Followers]])</f>
        <v>49</v>
      </c>
    </row>
    <row r="330" spans="1:12" x14ac:dyDescent="0.3">
      <c r="A330" s="42">
        <v>45891</v>
      </c>
      <c r="B330" s="21">
        <v>543</v>
      </c>
      <c r="C330" s="21">
        <v>17376</v>
      </c>
      <c r="D330" s="21">
        <v>16</v>
      </c>
      <c r="E330" s="21">
        <v>5</v>
      </c>
      <c r="F330" s="21">
        <v>2</v>
      </c>
      <c r="G330" s="21">
        <v>2</v>
      </c>
      <c r="H330" s="21">
        <v>35</v>
      </c>
      <c r="I330" s="21">
        <v>6</v>
      </c>
      <c r="J330" s="21">
        <f>SUM(DataTbl[[#This Row],[Likes]:[Shares]])</f>
        <v>25</v>
      </c>
      <c r="K330" s="24">
        <f>DataTbl[[#This Row],[Engagement]]/DataTbl[[#This Row],[Views]]</f>
        <v>4.6040515653775323E-2</v>
      </c>
      <c r="L330" s="21">
        <f>SUM(DataTbl[[#This Row],[Profile Visits]:[New Followers]])</f>
        <v>41</v>
      </c>
    </row>
    <row r="331" spans="1:12" x14ac:dyDescent="0.3">
      <c r="A331" s="42">
        <v>45892</v>
      </c>
      <c r="B331" s="21">
        <v>733</v>
      </c>
      <c r="C331" s="21">
        <v>18325</v>
      </c>
      <c r="D331" s="21">
        <v>16</v>
      </c>
      <c r="E331" s="21">
        <v>7</v>
      </c>
      <c r="F331" s="21">
        <v>2</v>
      </c>
      <c r="G331" s="21">
        <v>2</v>
      </c>
      <c r="H331" s="21">
        <v>31</v>
      </c>
      <c r="I331" s="21">
        <v>5</v>
      </c>
      <c r="J331" s="21">
        <f>SUM(DataTbl[[#This Row],[Likes]:[Shares]])</f>
        <v>27</v>
      </c>
      <c r="K331" s="24">
        <f>DataTbl[[#This Row],[Engagement]]/DataTbl[[#This Row],[Views]]</f>
        <v>3.6834924965893585E-2</v>
      </c>
      <c r="L331" s="21">
        <f>SUM(DataTbl[[#This Row],[Profile Visits]:[New Followers]])</f>
        <v>36</v>
      </c>
    </row>
    <row r="332" spans="1:12" x14ac:dyDescent="0.3">
      <c r="A332" s="42">
        <v>45893</v>
      </c>
      <c r="B332" s="21">
        <v>556</v>
      </c>
      <c r="C332" s="21">
        <v>18904</v>
      </c>
      <c r="D332" s="21">
        <v>12</v>
      </c>
      <c r="E332" s="21">
        <v>6</v>
      </c>
      <c r="F332" s="21">
        <v>2</v>
      </c>
      <c r="G332" s="21">
        <v>1</v>
      </c>
      <c r="H332" s="21">
        <v>34</v>
      </c>
      <c r="I332" s="21">
        <v>5</v>
      </c>
      <c r="J332" s="21">
        <f>SUM(DataTbl[[#This Row],[Likes]:[Shares]])</f>
        <v>21</v>
      </c>
      <c r="K332" s="24">
        <f>DataTbl[[#This Row],[Engagement]]/DataTbl[[#This Row],[Views]]</f>
        <v>3.7769784172661872E-2</v>
      </c>
      <c r="L332" s="21">
        <f>SUM(DataTbl[[#This Row],[Profile Visits]:[New Followers]])</f>
        <v>39</v>
      </c>
    </row>
    <row r="333" spans="1:12" x14ac:dyDescent="0.3">
      <c r="A333" s="42">
        <v>45894</v>
      </c>
      <c r="B333" s="21">
        <v>591</v>
      </c>
      <c r="C333" s="21">
        <v>17730</v>
      </c>
      <c r="D333" s="21">
        <v>22</v>
      </c>
      <c r="E333" s="21">
        <v>10</v>
      </c>
      <c r="F333" s="21">
        <v>2</v>
      </c>
      <c r="G333" s="21">
        <v>2</v>
      </c>
      <c r="H333" s="21">
        <v>30</v>
      </c>
      <c r="I333" s="21">
        <v>5</v>
      </c>
      <c r="J333" s="21">
        <f>SUM(DataTbl[[#This Row],[Likes]:[Shares]])</f>
        <v>36</v>
      </c>
      <c r="K333" s="24">
        <f>DataTbl[[#This Row],[Engagement]]/DataTbl[[#This Row],[Views]]</f>
        <v>6.0913705583756347E-2</v>
      </c>
      <c r="L333" s="21">
        <f>SUM(DataTbl[[#This Row],[Profile Visits]:[New Followers]])</f>
        <v>35</v>
      </c>
    </row>
    <row r="334" spans="1:12" x14ac:dyDescent="0.3">
      <c r="A334" s="42">
        <v>45895</v>
      </c>
      <c r="B334" s="21">
        <v>539</v>
      </c>
      <c r="C334" s="21">
        <v>14553</v>
      </c>
      <c r="D334" s="21">
        <v>15</v>
      </c>
      <c r="E334" s="21">
        <v>5</v>
      </c>
      <c r="F334" s="21">
        <v>2</v>
      </c>
      <c r="G334" s="21">
        <v>1</v>
      </c>
      <c r="H334" s="21">
        <v>27</v>
      </c>
      <c r="I334" s="21">
        <v>4</v>
      </c>
      <c r="J334" s="21">
        <f>SUM(DataTbl[[#This Row],[Likes]:[Shares]])</f>
        <v>23</v>
      </c>
      <c r="K334" s="24">
        <f>DataTbl[[#This Row],[Engagement]]/DataTbl[[#This Row],[Views]]</f>
        <v>4.267161410018553E-2</v>
      </c>
      <c r="L334" s="21">
        <f>SUM(DataTbl[[#This Row],[Profile Visits]:[New Followers]])</f>
        <v>31</v>
      </c>
    </row>
    <row r="335" spans="1:12" x14ac:dyDescent="0.3">
      <c r="A335" s="42">
        <v>45896</v>
      </c>
      <c r="B335" s="21">
        <v>623</v>
      </c>
      <c r="C335" s="21">
        <v>11837</v>
      </c>
      <c r="D335" s="21">
        <v>24</v>
      </c>
      <c r="E335" s="21">
        <v>10</v>
      </c>
      <c r="F335" s="21">
        <v>3</v>
      </c>
      <c r="G335" s="21">
        <v>2</v>
      </c>
      <c r="H335" s="21">
        <v>36</v>
      </c>
      <c r="I335" s="21">
        <v>6</v>
      </c>
      <c r="J335" s="21">
        <f>SUM(DataTbl[[#This Row],[Likes]:[Shares]])</f>
        <v>39</v>
      </c>
      <c r="K335" s="24">
        <f>DataTbl[[#This Row],[Engagement]]/DataTbl[[#This Row],[Views]]</f>
        <v>6.2600321027287326E-2</v>
      </c>
      <c r="L335" s="21">
        <f>SUM(DataTbl[[#This Row],[Profile Visits]:[New Followers]])</f>
        <v>42</v>
      </c>
    </row>
    <row r="336" spans="1:12" x14ac:dyDescent="0.3">
      <c r="A336" s="42">
        <v>45897</v>
      </c>
      <c r="B336" s="21">
        <v>1016</v>
      </c>
      <c r="C336" s="21">
        <v>24384</v>
      </c>
      <c r="D336" s="21">
        <v>23</v>
      </c>
      <c r="E336" s="21">
        <v>11</v>
      </c>
      <c r="F336" s="21">
        <v>2</v>
      </c>
      <c r="G336" s="21">
        <v>3</v>
      </c>
      <c r="H336" s="21">
        <v>45</v>
      </c>
      <c r="I336" s="21">
        <v>13</v>
      </c>
      <c r="J336" s="21">
        <f>SUM(DataTbl[[#This Row],[Likes]:[Shares]])</f>
        <v>39</v>
      </c>
      <c r="K336" s="24">
        <f>DataTbl[[#This Row],[Engagement]]/DataTbl[[#This Row],[Views]]</f>
        <v>3.8385826771653545E-2</v>
      </c>
      <c r="L336" s="21">
        <f>SUM(DataTbl[[#This Row],[Profile Visits]:[New Followers]])</f>
        <v>58</v>
      </c>
    </row>
    <row r="337" spans="1:12" x14ac:dyDescent="0.3">
      <c r="A337" s="42">
        <v>45898</v>
      </c>
      <c r="B337" s="21">
        <v>928</v>
      </c>
      <c r="C337" s="21">
        <v>26912</v>
      </c>
      <c r="D337" s="21">
        <v>35</v>
      </c>
      <c r="E337" s="21">
        <v>15</v>
      </c>
      <c r="F337" s="21">
        <v>4</v>
      </c>
      <c r="G337" s="21">
        <v>5</v>
      </c>
      <c r="H337" s="21">
        <v>50</v>
      </c>
      <c r="I337" s="21">
        <v>13</v>
      </c>
      <c r="J337" s="21">
        <f>SUM(DataTbl[[#This Row],[Likes]:[Shares]])</f>
        <v>59</v>
      </c>
      <c r="K337" s="24">
        <f>DataTbl[[#This Row],[Engagement]]/DataTbl[[#This Row],[Views]]</f>
        <v>6.3577586206896547E-2</v>
      </c>
      <c r="L337" s="21">
        <f>SUM(DataTbl[[#This Row],[Profile Visits]:[New Followers]])</f>
        <v>63</v>
      </c>
    </row>
    <row r="338" spans="1:12" x14ac:dyDescent="0.3">
      <c r="A338" s="42">
        <v>45899</v>
      </c>
      <c r="B338" s="21">
        <v>574</v>
      </c>
      <c r="C338" s="21">
        <v>17794</v>
      </c>
      <c r="D338" s="21">
        <v>13</v>
      </c>
      <c r="E338" s="21">
        <v>5</v>
      </c>
      <c r="F338" s="21">
        <v>2</v>
      </c>
      <c r="G338" s="21">
        <v>2</v>
      </c>
      <c r="H338" s="21">
        <v>38</v>
      </c>
      <c r="I338" s="21">
        <v>8</v>
      </c>
      <c r="J338" s="21">
        <f>SUM(DataTbl[[#This Row],[Likes]:[Shares]])</f>
        <v>22</v>
      </c>
      <c r="K338" s="24">
        <f>DataTbl[[#This Row],[Engagement]]/DataTbl[[#This Row],[Views]]</f>
        <v>3.8327526132404179E-2</v>
      </c>
      <c r="L338" s="21">
        <f>SUM(DataTbl[[#This Row],[Profile Visits]:[New Followers]])</f>
        <v>46</v>
      </c>
    </row>
    <row r="339" spans="1:12" x14ac:dyDescent="0.3">
      <c r="A339" s="42">
        <v>45900</v>
      </c>
      <c r="B339" s="21">
        <v>627</v>
      </c>
      <c r="C339" s="21">
        <v>18810</v>
      </c>
      <c r="D339" s="21">
        <v>20</v>
      </c>
      <c r="E339" s="21">
        <v>9</v>
      </c>
      <c r="F339" s="21">
        <v>2</v>
      </c>
      <c r="G339" s="21">
        <v>3</v>
      </c>
      <c r="H339" s="21">
        <v>28</v>
      </c>
      <c r="I339" s="21">
        <v>5</v>
      </c>
      <c r="J339" s="21">
        <f>SUM(DataTbl[[#This Row],[Likes]:[Shares]])</f>
        <v>34</v>
      </c>
      <c r="K339" s="24">
        <f>DataTbl[[#This Row],[Engagement]]/DataTbl[[#This Row],[Views]]</f>
        <v>5.4226475279106859E-2</v>
      </c>
      <c r="L339" s="21">
        <f>SUM(DataTbl[[#This Row],[Profile Visits]:[New Followers]])</f>
        <v>33</v>
      </c>
    </row>
    <row r="340" spans="1:12" x14ac:dyDescent="0.3">
      <c r="A340" s="42">
        <v>45901</v>
      </c>
      <c r="B340" s="21">
        <v>627</v>
      </c>
      <c r="C340" s="21">
        <v>17556</v>
      </c>
      <c r="D340" s="21">
        <v>23</v>
      </c>
      <c r="E340" s="21">
        <v>10</v>
      </c>
      <c r="F340" s="21">
        <v>3</v>
      </c>
      <c r="G340" s="21">
        <v>3</v>
      </c>
      <c r="H340" s="21">
        <v>25</v>
      </c>
      <c r="I340" s="21">
        <v>4</v>
      </c>
      <c r="J340" s="21">
        <f>SUM(DataTbl[[#This Row],[Likes]:[Shares]])</f>
        <v>39</v>
      </c>
      <c r="K340" s="24">
        <f>DataTbl[[#This Row],[Engagement]]/DataTbl[[#This Row],[Views]]</f>
        <v>6.2200956937799042E-2</v>
      </c>
      <c r="L340" s="21">
        <f>SUM(DataTbl[[#This Row],[Profile Visits]:[New Followers]])</f>
        <v>29</v>
      </c>
    </row>
    <row r="341" spans="1:12" x14ac:dyDescent="0.3">
      <c r="A341" s="42">
        <v>45902</v>
      </c>
      <c r="B341" s="21">
        <v>639</v>
      </c>
      <c r="C341" s="21">
        <v>22365</v>
      </c>
      <c r="D341" s="21">
        <v>25</v>
      </c>
      <c r="E341" s="21">
        <v>12</v>
      </c>
      <c r="F341" s="21">
        <v>3</v>
      </c>
      <c r="G341" s="21">
        <v>4</v>
      </c>
      <c r="H341" s="21">
        <v>36</v>
      </c>
      <c r="I341" s="21">
        <v>5</v>
      </c>
      <c r="J341" s="21">
        <f>SUM(DataTbl[[#This Row],[Likes]:[Shares]])</f>
        <v>44</v>
      </c>
      <c r="K341" s="24">
        <f>DataTbl[[#This Row],[Engagement]]/DataTbl[[#This Row],[Views]]</f>
        <v>6.8857589984350542E-2</v>
      </c>
      <c r="L341" s="21">
        <f>SUM(DataTbl[[#This Row],[Profile Visits]:[New Followers]])</f>
        <v>41</v>
      </c>
    </row>
    <row r="342" spans="1:12" x14ac:dyDescent="0.3">
      <c r="A342" s="42">
        <v>45903</v>
      </c>
      <c r="B342" s="21">
        <v>575</v>
      </c>
      <c r="C342" s="21">
        <v>16675</v>
      </c>
      <c r="D342" s="21">
        <v>15</v>
      </c>
      <c r="E342" s="21">
        <v>7</v>
      </c>
      <c r="F342" s="21">
        <v>1</v>
      </c>
      <c r="G342" s="21">
        <v>2</v>
      </c>
      <c r="H342" s="21">
        <v>46</v>
      </c>
      <c r="I342" s="21">
        <v>5</v>
      </c>
      <c r="J342" s="21">
        <f>SUM(DataTbl[[#This Row],[Likes]:[Shares]])</f>
        <v>25</v>
      </c>
      <c r="K342" s="24">
        <f>DataTbl[[#This Row],[Engagement]]/DataTbl[[#This Row],[Views]]</f>
        <v>4.3478260869565216E-2</v>
      </c>
      <c r="L342" s="21">
        <f>SUM(DataTbl[[#This Row],[Profile Visits]:[New Followers]])</f>
        <v>51</v>
      </c>
    </row>
    <row r="343" spans="1:12" x14ac:dyDescent="0.3">
      <c r="A343" s="42">
        <v>45904</v>
      </c>
      <c r="B343" s="21">
        <v>648</v>
      </c>
      <c r="C343" s="21">
        <v>17496</v>
      </c>
      <c r="D343" s="21">
        <v>17</v>
      </c>
      <c r="E343" s="21">
        <v>8</v>
      </c>
      <c r="F343" s="21">
        <v>2</v>
      </c>
      <c r="G343" s="21">
        <v>1</v>
      </c>
      <c r="H343" s="21">
        <v>44</v>
      </c>
      <c r="I343" s="21">
        <v>8</v>
      </c>
      <c r="J343" s="21">
        <f>SUM(DataTbl[[#This Row],[Likes]:[Shares]])</f>
        <v>28</v>
      </c>
      <c r="K343" s="24">
        <f>DataTbl[[#This Row],[Engagement]]/DataTbl[[#This Row],[Views]]</f>
        <v>4.3209876543209874E-2</v>
      </c>
      <c r="L343" s="21">
        <f>SUM(DataTbl[[#This Row],[Profile Visits]:[New Followers]])</f>
        <v>52</v>
      </c>
    </row>
    <row r="344" spans="1:12" x14ac:dyDescent="0.3">
      <c r="A344" s="42">
        <v>45905</v>
      </c>
      <c r="B344" s="21">
        <v>484</v>
      </c>
      <c r="C344" s="21">
        <v>15972</v>
      </c>
      <c r="D344" s="21">
        <v>17</v>
      </c>
      <c r="E344" s="21">
        <v>7</v>
      </c>
      <c r="F344" s="21">
        <v>1</v>
      </c>
      <c r="G344" s="21">
        <v>2</v>
      </c>
      <c r="H344" s="21">
        <v>30</v>
      </c>
      <c r="I344" s="21">
        <v>4</v>
      </c>
      <c r="J344" s="21">
        <f>SUM(DataTbl[[#This Row],[Likes]:[Shares]])</f>
        <v>27</v>
      </c>
      <c r="K344" s="24">
        <f>DataTbl[[#This Row],[Engagement]]/DataTbl[[#This Row],[Views]]</f>
        <v>5.578512396694215E-2</v>
      </c>
      <c r="L344" s="21">
        <f>SUM(DataTbl[[#This Row],[Profile Visits]:[New Followers]])</f>
        <v>34</v>
      </c>
    </row>
    <row r="345" spans="1:12" x14ac:dyDescent="0.3">
      <c r="A345" s="42">
        <v>45906</v>
      </c>
      <c r="B345" s="21">
        <v>670</v>
      </c>
      <c r="C345" s="21">
        <v>17420</v>
      </c>
      <c r="D345" s="21">
        <v>18</v>
      </c>
      <c r="E345" s="21">
        <v>6</v>
      </c>
      <c r="F345" s="21">
        <v>2</v>
      </c>
      <c r="G345" s="21">
        <v>2</v>
      </c>
      <c r="H345" s="21">
        <v>40</v>
      </c>
      <c r="I345" s="21">
        <v>5</v>
      </c>
      <c r="J345" s="21">
        <f>SUM(DataTbl[[#This Row],[Likes]:[Shares]])</f>
        <v>28</v>
      </c>
      <c r="K345" s="24">
        <f>DataTbl[[#This Row],[Engagement]]/DataTbl[[#This Row],[Views]]</f>
        <v>4.1791044776119404E-2</v>
      </c>
      <c r="L345" s="21">
        <f>SUM(DataTbl[[#This Row],[Profile Visits]:[New Followers]])</f>
        <v>45</v>
      </c>
    </row>
    <row r="346" spans="1:12" x14ac:dyDescent="0.3">
      <c r="A346" s="42">
        <v>45907</v>
      </c>
      <c r="B346" s="21">
        <v>596</v>
      </c>
      <c r="C346" s="21">
        <v>18476</v>
      </c>
      <c r="D346" s="21">
        <v>22</v>
      </c>
      <c r="E346" s="21">
        <v>8</v>
      </c>
      <c r="F346" s="21">
        <v>3</v>
      </c>
      <c r="G346" s="21">
        <v>2</v>
      </c>
      <c r="H346" s="21">
        <v>28</v>
      </c>
      <c r="I346" s="21">
        <v>5</v>
      </c>
      <c r="J346" s="21">
        <f>SUM(DataTbl[[#This Row],[Likes]:[Shares]])</f>
        <v>35</v>
      </c>
      <c r="K346" s="24">
        <f>DataTbl[[#This Row],[Engagement]]/DataTbl[[#This Row],[Views]]</f>
        <v>5.8724832214765099E-2</v>
      </c>
      <c r="L346" s="21">
        <f>SUM(DataTbl[[#This Row],[Profile Visits]:[New Followers]])</f>
        <v>33</v>
      </c>
    </row>
    <row r="347" spans="1:12" x14ac:dyDescent="0.3">
      <c r="A347" s="42">
        <v>45908</v>
      </c>
      <c r="B347" s="21">
        <v>507</v>
      </c>
      <c r="C347" s="21">
        <v>17745</v>
      </c>
      <c r="D347" s="21">
        <v>18</v>
      </c>
      <c r="E347" s="21">
        <v>7</v>
      </c>
      <c r="F347" s="21">
        <v>2</v>
      </c>
      <c r="G347" s="21">
        <v>2</v>
      </c>
      <c r="H347" s="21">
        <v>29</v>
      </c>
      <c r="I347" s="21">
        <v>4</v>
      </c>
      <c r="J347" s="21">
        <f>SUM(DataTbl[[#This Row],[Likes]:[Shares]])</f>
        <v>29</v>
      </c>
      <c r="K347" s="24">
        <f>DataTbl[[#This Row],[Engagement]]/DataTbl[[#This Row],[Views]]</f>
        <v>5.7199211045364892E-2</v>
      </c>
      <c r="L347" s="21">
        <f>SUM(DataTbl[[#This Row],[Profile Visits]:[New Followers]])</f>
        <v>33</v>
      </c>
    </row>
    <row r="348" spans="1:12" x14ac:dyDescent="0.3">
      <c r="A348" s="42">
        <v>45909</v>
      </c>
      <c r="B348" s="21">
        <v>663</v>
      </c>
      <c r="C348" s="21">
        <v>19227</v>
      </c>
      <c r="D348" s="21">
        <v>26</v>
      </c>
      <c r="E348" s="21">
        <v>13</v>
      </c>
      <c r="F348" s="21">
        <v>3</v>
      </c>
      <c r="G348" s="21">
        <v>4</v>
      </c>
      <c r="H348" s="21">
        <v>47</v>
      </c>
      <c r="I348" s="21">
        <v>5</v>
      </c>
      <c r="J348" s="21">
        <f>SUM(DataTbl[[#This Row],[Likes]:[Shares]])</f>
        <v>46</v>
      </c>
      <c r="K348" s="24">
        <f>DataTbl[[#This Row],[Engagement]]/DataTbl[[#This Row],[Views]]</f>
        <v>6.9381598793363503E-2</v>
      </c>
      <c r="L348" s="21">
        <f>SUM(DataTbl[[#This Row],[Profile Visits]:[New Followers]])</f>
        <v>52</v>
      </c>
    </row>
    <row r="349" spans="1:12" x14ac:dyDescent="0.3">
      <c r="A349" s="42">
        <v>45910</v>
      </c>
      <c r="B349" s="21">
        <v>630</v>
      </c>
      <c r="C349" s="21">
        <v>13230</v>
      </c>
      <c r="D349" s="21">
        <v>23</v>
      </c>
      <c r="E349" s="21">
        <v>9</v>
      </c>
      <c r="F349" s="21">
        <v>3</v>
      </c>
      <c r="G349" s="21">
        <v>3</v>
      </c>
      <c r="H349" s="21">
        <v>30</v>
      </c>
      <c r="I349" s="21">
        <v>4</v>
      </c>
      <c r="J349" s="21">
        <f>SUM(DataTbl[[#This Row],[Likes]:[Shares]])</f>
        <v>38</v>
      </c>
      <c r="K349" s="24">
        <f>DataTbl[[#This Row],[Engagement]]/DataTbl[[#This Row],[Views]]</f>
        <v>6.0317460317460318E-2</v>
      </c>
      <c r="L349" s="21">
        <f>SUM(DataTbl[[#This Row],[Profile Visits]:[New Followers]])</f>
        <v>34</v>
      </c>
    </row>
    <row r="350" spans="1:12" x14ac:dyDescent="0.3">
      <c r="A350" s="42">
        <v>45911</v>
      </c>
      <c r="B350" s="21">
        <v>525</v>
      </c>
      <c r="C350" s="21">
        <v>15225</v>
      </c>
      <c r="D350" s="21">
        <v>17</v>
      </c>
      <c r="E350" s="21">
        <v>8</v>
      </c>
      <c r="F350" s="21">
        <v>2</v>
      </c>
      <c r="G350" s="21">
        <v>3</v>
      </c>
      <c r="H350" s="21">
        <v>31</v>
      </c>
      <c r="I350" s="21">
        <v>5</v>
      </c>
      <c r="J350" s="21">
        <f>SUM(DataTbl[[#This Row],[Likes]:[Shares]])</f>
        <v>30</v>
      </c>
      <c r="K350" s="24">
        <f>DataTbl[[#This Row],[Engagement]]/DataTbl[[#This Row],[Views]]</f>
        <v>5.7142857142857141E-2</v>
      </c>
      <c r="L350" s="21">
        <f>SUM(DataTbl[[#This Row],[Profile Visits]:[New Followers]])</f>
        <v>36</v>
      </c>
    </row>
    <row r="351" spans="1:12" x14ac:dyDescent="0.3">
      <c r="A351" s="42">
        <v>45912</v>
      </c>
      <c r="B351" s="21">
        <v>557</v>
      </c>
      <c r="C351" s="21">
        <v>18938</v>
      </c>
      <c r="D351" s="21">
        <v>19</v>
      </c>
      <c r="E351" s="21">
        <v>7</v>
      </c>
      <c r="F351" s="21">
        <v>2</v>
      </c>
      <c r="G351" s="21">
        <v>2</v>
      </c>
      <c r="H351" s="21">
        <v>35</v>
      </c>
      <c r="I351" s="21">
        <v>6</v>
      </c>
      <c r="J351" s="21">
        <f>SUM(DataTbl[[#This Row],[Likes]:[Shares]])</f>
        <v>30</v>
      </c>
      <c r="K351" s="24">
        <f>DataTbl[[#This Row],[Engagement]]/DataTbl[[#This Row],[Views]]</f>
        <v>5.385996409335727E-2</v>
      </c>
      <c r="L351" s="21">
        <f>SUM(DataTbl[[#This Row],[Profile Visits]:[New Followers]])</f>
        <v>41</v>
      </c>
    </row>
    <row r="352" spans="1:12" x14ac:dyDescent="0.3">
      <c r="A352" s="42">
        <v>45913</v>
      </c>
      <c r="B352" s="21">
        <v>646</v>
      </c>
      <c r="C352" s="21">
        <v>12274</v>
      </c>
      <c r="D352" s="21">
        <v>16</v>
      </c>
      <c r="E352" s="21">
        <v>7</v>
      </c>
      <c r="F352" s="21">
        <v>3</v>
      </c>
      <c r="G352" s="21">
        <v>2</v>
      </c>
      <c r="H352" s="21">
        <v>41</v>
      </c>
      <c r="I352" s="21">
        <v>4</v>
      </c>
      <c r="J352" s="21">
        <f>SUM(DataTbl[[#This Row],[Likes]:[Shares]])</f>
        <v>28</v>
      </c>
      <c r="K352" s="24">
        <f>DataTbl[[#This Row],[Engagement]]/DataTbl[[#This Row],[Views]]</f>
        <v>4.3343653250773995E-2</v>
      </c>
      <c r="L352" s="21">
        <f>SUM(DataTbl[[#This Row],[Profile Visits]:[New Followers]])</f>
        <v>45</v>
      </c>
    </row>
    <row r="353" spans="1:12" x14ac:dyDescent="0.3">
      <c r="A353" s="42">
        <v>45914</v>
      </c>
      <c r="B353" s="21">
        <v>739</v>
      </c>
      <c r="C353" s="21">
        <v>19953</v>
      </c>
      <c r="D353" s="21">
        <v>28</v>
      </c>
      <c r="E353" s="21">
        <v>12</v>
      </c>
      <c r="F353" s="21">
        <v>3</v>
      </c>
      <c r="G353" s="21">
        <v>5</v>
      </c>
      <c r="H353" s="21">
        <v>33</v>
      </c>
      <c r="I353" s="21">
        <v>4</v>
      </c>
      <c r="J353" s="21">
        <f>SUM(DataTbl[[#This Row],[Likes]:[Shares]])</f>
        <v>48</v>
      </c>
      <c r="K353" s="24">
        <f>DataTbl[[#This Row],[Engagement]]/DataTbl[[#This Row],[Views]]</f>
        <v>6.4952638700947224E-2</v>
      </c>
      <c r="L353" s="21">
        <f>SUM(DataTbl[[#This Row],[Profile Visits]:[New Followers]])</f>
        <v>37</v>
      </c>
    </row>
    <row r="354" spans="1:12" x14ac:dyDescent="0.3">
      <c r="A354" s="42">
        <v>45915</v>
      </c>
      <c r="B354" s="21">
        <v>628</v>
      </c>
      <c r="C354" s="21">
        <v>20096</v>
      </c>
      <c r="D354" s="21">
        <v>25</v>
      </c>
      <c r="E354" s="21">
        <v>9</v>
      </c>
      <c r="F354" s="21">
        <v>3</v>
      </c>
      <c r="G354" s="21">
        <v>3</v>
      </c>
      <c r="H354" s="21">
        <v>48</v>
      </c>
      <c r="I354" s="21">
        <v>5</v>
      </c>
      <c r="J354" s="21">
        <f>SUM(DataTbl[[#This Row],[Likes]:[Shares]])</f>
        <v>40</v>
      </c>
      <c r="K354" s="24">
        <f>DataTbl[[#This Row],[Engagement]]/DataTbl[[#This Row],[Views]]</f>
        <v>6.3694267515923567E-2</v>
      </c>
      <c r="L354" s="21">
        <f>SUM(DataTbl[[#This Row],[Profile Visits]:[New Followers]])</f>
        <v>53</v>
      </c>
    </row>
    <row r="355" spans="1:12" x14ac:dyDescent="0.3">
      <c r="A355" s="42">
        <v>45916</v>
      </c>
      <c r="B355" s="21">
        <v>591</v>
      </c>
      <c r="C355" s="21">
        <v>13002</v>
      </c>
      <c r="D355" s="21">
        <v>24</v>
      </c>
      <c r="E355" s="21">
        <v>10</v>
      </c>
      <c r="F355" s="21">
        <v>3</v>
      </c>
      <c r="G355" s="21">
        <v>2</v>
      </c>
      <c r="H355" s="21">
        <v>44</v>
      </c>
      <c r="I355" s="21">
        <v>6</v>
      </c>
      <c r="J355" s="21">
        <f>SUM(DataTbl[[#This Row],[Likes]:[Shares]])</f>
        <v>39</v>
      </c>
      <c r="K355" s="24">
        <f>DataTbl[[#This Row],[Engagement]]/DataTbl[[#This Row],[Views]]</f>
        <v>6.5989847715736044E-2</v>
      </c>
      <c r="L355" s="21">
        <f>SUM(DataTbl[[#This Row],[Profile Visits]:[New Followers]])</f>
        <v>50</v>
      </c>
    </row>
    <row r="356" spans="1:12" x14ac:dyDescent="0.3">
      <c r="A356" s="42">
        <v>45917</v>
      </c>
      <c r="B356" s="21">
        <v>598</v>
      </c>
      <c r="C356" s="21">
        <v>15548</v>
      </c>
      <c r="D356" s="21">
        <v>20</v>
      </c>
      <c r="E356" s="21">
        <v>8</v>
      </c>
      <c r="F356" s="21">
        <v>2</v>
      </c>
      <c r="G356" s="21">
        <v>3</v>
      </c>
      <c r="H356" s="21">
        <v>30</v>
      </c>
      <c r="I356" s="21">
        <v>5</v>
      </c>
      <c r="J356" s="21">
        <f>SUM(DataTbl[[#This Row],[Likes]:[Shares]])</f>
        <v>33</v>
      </c>
      <c r="K356" s="24">
        <f>DataTbl[[#This Row],[Engagement]]/DataTbl[[#This Row],[Views]]</f>
        <v>5.5183946488294312E-2</v>
      </c>
      <c r="L356" s="21">
        <f>SUM(DataTbl[[#This Row],[Profile Visits]:[New Followers]])</f>
        <v>35</v>
      </c>
    </row>
    <row r="357" spans="1:12" x14ac:dyDescent="0.3">
      <c r="A357" s="42">
        <v>45918</v>
      </c>
      <c r="B357" s="21">
        <v>564</v>
      </c>
      <c r="C357" s="21">
        <v>10716</v>
      </c>
      <c r="D357" s="21">
        <v>20</v>
      </c>
      <c r="E357" s="21">
        <v>8</v>
      </c>
      <c r="F357" s="21">
        <v>2</v>
      </c>
      <c r="G357" s="21">
        <v>2</v>
      </c>
      <c r="H357" s="21">
        <v>39</v>
      </c>
      <c r="I357" s="21">
        <v>7</v>
      </c>
      <c r="J357" s="21">
        <f>SUM(DataTbl[[#This Row],[Likes]:[Shares]])</f>
        <v>32</v>
      </c>
      <c r="K357" s="24">
        <f>DataTbl[[#This Row],[Engagement]]/DataTbl[[#This Row],[Views]]</f>
        <v>5.6737588652482268E-2</v>
      </c>
      <c r="L357" s="21">
        <f>SUM(DataTbl[[#This Row],[Profile Visits]:[New Followers]])</f>
        <v>46</v>
      </c>
    </row>
    <row r="358" spans="1:12" x14ac:dyDescent="0.3">
      <c r="A358" s="42">
        <v>45919</v>
      </c>
      <c r="B358" s="21">
        <v>677</v>
      </c>
      <c r="C358" s="21">
        <v>19633</v>
      </c>
      <c r="D358" s="21">
        <v>20</v>
      </c>
      <c r="E358" s="21">
        <v>9</v>
      </c>
      <c r="F358" s="21">
        <v>3</v>
      </c>
      <c r="G358" s="21">
        <v>3</v>
      </c>
      <c r="H358" s="21">
        <v>27</v>
      </c>
      <c r="I358" s="21">
        <v>5</v>
      </c>
      <c r="J358" s="21">
        <f>SUM(DataTbl[[#This Row],[Likes]:[Shares]])</f>
        <v>35</v>
      </c>
      <c r="K358" s="24">
        <f>DataTbl[[#This Row],[Engagement]]/DataTbl[[#This Row],[Views]]</f>
        <v>5.1698670605612999E-2</v>
      </c>
      <c r="L358" s="21">
        <f>SUM(DataTbl[[#This Row],[Profile Visits]:[New Followers]])</f>
        <v>32</v>
      </c>
    </row>
    <row r="359" spans="1:12" x14ac:dyDescent="0.3">
      <c r="A359" s="42">
        <v>45920</v>
      </c>
      <c r="B359" s="21">
        <v>764</v>
      </c>
      <c r="C359" s="21">
        <v>24448</v>
      </c>
      <c r="D359" s="21">
        <v>17</v>
      </c>
      <c r="E359" s="21">
        <v>6</v>
      </c>
      <c r="F359" s="21">
        <v>2</v>
      </c>
      <c r="G359" s="21">
        <v>3</v>
      </c>
      <c r="H359" s="21">
        <v>31</v>
      </c>
      <c r="I359" s="21">
        <v>4</v>
      </c>
      <c r="J359" s="21">
        <f>SUM(DataTbl[[#This Row],[Likes]:[Shares]])</f>
        <v>28</v>
      </c>
      <c r="K359" s="24">
        <f>DataTbl[[#This Row],[Engagement]]/DataTbl[[#This Row],[Views]]</f>
        <v>3.6649214659685861E-2</v>
      </c>
      <c r="L359" s="21">
        <f>SUM(DataTbl[[#This Row],[Profile Visits]:[New Followers]])</f>
        <v>35</v>
      </c>
    </row>
    <row r="360" spans="1:12" x14ac:dyDescent="0.3">
      <c r="A360" s="42">
        <v>45921</v>
      </c>
      <c r="B360" s="21">
        <v>764</v>
      </c>
      <c r="C360" s="21">
        <v>22156</v>
      </c>
      <c r="D360" s="21">
        <v>27</v>
      </c>
      <c r="E360" s="21">
        <v>10</v>
      </c>
      <c r="F360" s="21">
        <v>2</v>
      </c>
      <c r="G360" s="21">
        <v>3</v>
      </c>
      <c r="H360" s="21">
        <v>60</v>
      </c>
      <c r="I360" s="21">
        <v>11</v>
      </c>
      <c r="J360" s="21">
        <f>SUM(DataTbl[[#This Row],[Likes]:[Shares]])</f>
        <v>42</v>
      </c>
      <c r="K360" s="24">
        <f>DataTbl[[#This Row],[Engagement]]/DataTbl[[#This Row],[Views]]</f>
        <v>5.4973821989528798E-2</v>
      </c>
      <c r="L360" s="21">
        <f>SUM(DataTbl[[#This Row],[Profile Visits]:[New Followers]])</f>
        <v>71</v>
      </c>
    </row>
    <row r="361" spans="1:12" x14ac:dyDescent="0.3">
      <c r="A361" s="42">
        <v>45922</v>
      </c>
      <c r="B361" s="21">
        <v>523</v>
      </c>
      <c r="C361" s="21">
        <v>12029</v>
      </c>
      <c r="D361" s="21">
        <v>18</v>
      </c>
      <c r="E361" s="21">
        <v>8</v>
      </c>
      <c r="F361" s="21">
        <v>2</v>
      </c>
      <c r="G361" s="21">
        <v>3</v>
      </c>
      <c r="H361" s="21">
        <v>23</v>
      </c>
      <c r="I361" s="21">
        <v>4</v>
      </c>
      <c r="J361" s="21">
        <f>SUM(DataTbl[[#This Row],[Likes]:[Shares]])</f>
        <v>31</v>
      </c>
      <c r="K361" s="24">
        <f>DataTbl[[#This Row],[Engagement]]/DataTbl[[#This Row],[Views]]</f>
        <v>5.9273422562141492E-2</v>
      </c>
      <c r="L361" s="21">
        <f>SUM(DataTbl[[#This Row],[Profile Visits]:[New Followers]])</f>
        <v>27</v>
      </c>
    </row>
    <row r="362" spans="1:12" x14ac:dyDescent="0.3">
      <c r="A362" s="42">
        <v>45923</v>
      </c>
      <c r="B362" s="21">
        <v>514</v>
      </c>
      <c r="C362" s="21">
        <v>10794</v>
      </c>
      <c r="D362" s="21">
        <v>11</v>
      </c>
      <c r="E362" s="21">
        <v>4</v>
      </c>
      <c r="F362" s="21">
        <v>2</v>
      </c>
      <c r="G362" s="21">
        <v>1</v>
      </c>
      <c r="H362" s="21">
        <v>28</v>
      </c>
      <c r="I362" s="21">
        <v>5</v>
      </c>
      <c r="J362" s="21">
        <f>SUM(DataTbl[[#This Row],[Likes]:[Shares]])</f>
        <v>18</v>
      </c>
      <c r="K362" s="24">
        <f>DataTbl[[#This Row],[Engagement]]/DataTbl[[#This Row],[Views]]</f>
        <v>3.5019455252918288E-2</v>
      </c>
      <c r="L362" s="21">
        <f>SUM(DataTbl[[#This Row],[Profile Visits]:[New Followers]])</f>
        <v>33</v>
      </c>
    </row>
    <row r="363" spans="1:12" x14ac:dyDescent="0.3">
      <c r="A363" s="42">
        <v>45924</v>
      </c>
      <c r="B363" s="21">
        <v>568</v>
      </c>
      <c r="C363" s="21">
        <v>10792</v>
      </c>
      <c r="D363" s="21">
        <v>19</v>
      </c>
      <c r="E363" s="21">
        <v>7</v>
      </c>
      <c r="F363" s="21">
        <v>3</v>
      </c>
      <c r="G363" s="21">
        <v>2</v>
      </c>
      <c r="H363" s="21">
        <v>32</v>
      </c>
      <c r="I363" s="21">
        <v>5</v>
      </c>
      <c r="J363" s="21">
        <f>SUM(DataTbl[[#This Row],[Likes]:[Shares]])</f>
        <v>31</v>
      </c>
      <c r="K363" s="24">
        <f>DataTbl[[#This Row],[Engagement]]/DataTbl[[#This Row],[Views]]</f>
        <v>5.4577464788732391E-2</v>
      </c>
      <c r="L363" s="21">
        <f>SUM(DataTbl[[#This Row],[Profile Visits]:[New Followers]])</f>
        <v>37</v>
      </c>
    </row>
    <row r="364" spans="1:12" x14ac:dyDescent="0.3">
      <c r="A364" s="42">
        <v>45925</v>
      </c>
      <c r="B364" s="21">
        <v>494</v>
      </c>
      <c r="C364" s="21">
        <v>17290</v>
      </c>
      <c r="D364" s="21">
        <v>14</v>
      </c>
      <c r="E364" s="21">
        <v>6</v>
      </c>
      <c r="F364" s="21">
        <v>2</v>
      </c>
      <c r="G364" s="21">
        <v>2</v>
      </c>
      <c r="H364" s="21">
        <v>29</v>
      </c>
      <c r="I364" s="21">
        <v>3</v>
      </c>
      <c r="J364" s="21">
        <f>SUM(DataTbl[[#This Row],[Likes]:[Shares]])</f>
        <v>24</v>
      </c>
      <c r="K364" s="24">
        <f>DataTbl[[#This Row],[Engagement]]/DataTbl[[#This Row],[Views]]</f>
        <v>4.8582995951417005E-2</v>
      </c>
      <c r="L364" s="21">
        <f>SUM(DataTbl[[#This Row],[Profile Visits]:[New Followers]])</f>
        <v>32</v>
      </c>
    </row>
    <row r="365" spans="1:12" x14ac:dyDescent="0.3">
      <c r="A365" s="42">
        <v>45926</v>
      </c>
      <c r="B365" s="21">
        <v>515</v>
      </c>
      <c r="C365" s="21">
        <v>15965</v>
      </c>
      <c r="D365" s="21">
        <v>23</v>
      </c>
      <c r="E365" s="21">
        <v>9</v>
      </c>
      <c r="F365" s="21">
        <v>3</v>
      </c>
      <c r="G365" s="21">
        <v>2</v>
      </c>
      <c r="H365" s="21">
        <v>41</v>
      </c>
      <c r="I365" s="21">
        <v>4</v>
      </c>
      <c r="J365" s="21">
        <f>SUM(DataTbl[[#This Row],[Likes]:[Shares]])</f>
        <v>37</v>
      </c>
      <c r="K365" s="24">
        <f>DataTbl[[#This Row],[Engagement]]/DataTbl[[#This Row],[Views]]</f>
        <v>7.184466019417475E-2</v>
      </c>
      <c r="L365" s="21">
        <f>SUM(DataTbl[[#This Row],[Profile Visits]:[New Followers]])</f>
        <v>45</v>
      </c>
    </row>
    <row r="366" spans="1:12" x14ac:dyDescent="0.3">
      <c r="A366" s="42">
        <v>45927</v>
      </c>
      <c r="B366" s="21">
        <v>618</v>
      </c>
      <c r="C366" s="21">
        <v>16068</v>
      </c>
      <c r="D366" s="21">
        <v>21</v>
      </c>
      <c r="E366" s="21">
        <v>9</v>
      </c>
      <c r="F366" s="21">
        <v>3</v>
      </c>
      <c r="G366" s="21">
        <v>3</v>
      </c>
      <c r="H366" s="21">
        <v>27</v>
      </c>
      <c r="I366" s="21">
        <v>4</v>
      </c>
      <c r="J366" s="21">
        <f>SUM(DataTbl[[#This Row],[Likes]:[Shares]])</f>
        <v>36</v>
      </c>
      <c r="K366" s="24">
        <f>DataTbl[[#This Row],[Engagement]]/DataTbl[[#This Row],[Views]]</f>
        <v>5.8252427184466021E-2</v>
      </c>
      <c r="L366" s="21">
        <f>SUM(DataTbl[[#This Row],[Profile Visits]:[New Followers]])</f>
        <v>31</v>
      </c>
    </row>
    <row r="367" spans="1:12" x14ac:dyDescent="0.3">
      <c r="A367" s="42">
        <v>45928</v>
      </c>
      <c r="B367" s="21">
        <v>1335</v>
      </c>
      <c r="C367" s="21">
        <v>32040</v>
      </c>
      <c r="D367" s="21">
        <v>32</v>
      </c>
      <c r="E367" s="21">
        <v>13</v>
      </c>
      <c r="F367" s="21">
        <v>4</v>
      </c>
      <c r="G367" s="21">
        <v>3</v>
      </c>
      <c r="H367" s="21">
        <v>71</v>
      </c>
      <c r="I367" s="21">
        <v>10</v>
      </c>
      <c r="J367" s="21">
        <f>SUM(DataTbl[[#This Row],[Likes]:[Shares]])</f>
        <v>52</v>
      </c>
      <c r="K367" s="24">
        <f>DataTbl[[#This Row],[Engagement]]/DataTbl[[#This Row],[Views]]</f>
        <v>3.895131086142322E-2</v>
      </c>
      <c r="L367" s="21">
        <f>SUM(DataTbl[[#This Row],[Profile Visits]:[New Followers]])</f>
        <v>81</v>
      </c>
    </row>
    <row r="368" spans="1:12" x14ac:dyDescent="0.3">
      <c r="A368" s="42">
        <v>45929</v>
      </c>
      <c r="B368" s="21">
        <v>1069</v>
      </c>
      <c r="C368" s="21">
        <v>32070</v>
      </c>
      <c r="D368" s="21">
        <v>25</v>
      </c>
      <c r="E368" s="21">
        <v>10</v>
      </c>
      <c r="F368" s="21">
        <v>3</v>
      </c>
      <c r="G368" s="21">
        <v>2</v>
      </c>
      <c r="H368" s="21">
        <v>79</v>
      </c>
      <c r="I368" s="21">
        <v>15</v>
      </c>
      <c r="J368" s="21">
        <f>SUM(DataTbl[[#This Row],[Likes]:[Shares]])</f>
        <v>40</v>
      </c>
      <c r="K368" s="24">
        <f>DataTbl[[#This Row],[Engagement]]/DataTbl[[#This Row],[Views]]</f>
        <v>3.7418147801683815E-2</v>
      </c>
      <c r="L368" s="21">
        <f>SUM(DataTbl[[#This Row],[Profile Visits]:[New Followers]])</f>
        <v>94</v>
      </c>
    </row>
    <row r="369" spans="1:12" x14ac:dyDescent="0.3">
      <c r="A369" s="42">
        <v>45930</v>
      </c>
      <c r="B369" s="21">
        <v>1370</v>
      </c>
      <c r="C369" s="21">
        <v>36990</v>
      </c>
      <c r="D369" s="21">
        <v>51</v>
      </c>
      <c r="E369" s="21">
        <v>26</v>
      </c>
      <c r="F369" s="21">
        <v>9</v>
      </c>
      <c r="G369" s="21">
        <v>8</v>
      </c>
      <c r="H369" s="21">
        <v>85</v>
      </c>
      <c r="I369" s="21">
        <v>14</v>
      </c>
      <c r="J369" s="21">
        <f>SUM(DataTbl[[#This Row],[Likes]:[Shares]])</f>
        <v>94</v>
      </c>
      <c r="K369" s="24">
        <f>DataTbl[[#This Row],[Engagement]]/DataTbl[[#This Row],[Views]]</f>
        <v>6.8613138686131392E-2</v>
      </c>
      <c r="L369" s="21">
        <f>SUM(DataTbl[[#This Row],[Profile Visits]:[New Followers]])</f>
        <v>99</v>
      </c>
    </row>
    <row r="370" spans="1:12" x14ac:dyDescent="0.3">
      <c r="A370" s="42">
        <v>45931</v>
      </c>
      <c r="B370" s="21">
        <v>1276</v>
      </c>
      <c r="C370" s="21">
        <v>26796</v>
      </c>
      <c r="D370" s="21">
        <v>60</v>
      </c>
      <c r="E370" s="21">
        <v>25</v>
      </c>
      <c r="F370" s="21">
        <v>6</v>
      </c>
      <c r="G370" s="21">
        <v>6</v>
      </c>
      <c r="H370" s="21">
        <v>66</v>
      </c>
      <c r="I370" s="21">
        <v>15</v>
      </c>
      <c r="J370" s="21">
        <f>SUM(DataTbl[[#This Row],[Likes]:[Shares]])</f>
        <v>97</v>
      </c>
      <c r="K370" s="24">
        <f>DataTbl[[#This Row],[Engagement]]/DataTbl[[#This Row],[Views]]</f>
        <v>7.6018808777429461E-2</v>
      </c>
      <c r="L370" s="21">
        <f>SUM(DataTbl[[#This Row],[Profile Visits]:[New Followers]])</f>
        <v>81</v>
      </c>
    </row>
    <row r="371" spans="1:12" x14ac:dyDescent="0.3">
      <c r="A371" s="42">
        <v>45932</v>
      </c>
      <c r="B371" s="21">
        <v>1180</v>
      </c>
      <c r="C371" s="21">
        <v>40120</v>
      </c>
      <c r="D371" s="21">
        <v>43</v>
      </c>
      <c r="E371" s="21">
        <v>15</v>
      </c>
      <c r="F371" s="21">
        <v>7</v>
      </c>
      <c r="G371" s="21">
        <v>4</v>
      </c>
      <c r="H371" s="21">
        <v>76</v>
      </c>
      <c r="I371" s="21">
        <v>14</v>
      </c>
      <c r="J371" s="21">
        <f>SUM(DataTbl[[#This Row],[Likes]:[Shares]])</f>
        <v>69</v>
      </c>
      <c r="K371" s="24">
        <f>DataTbl[[#This Row],[Engagement]]/DataTbl[[#This Row],[Views]]</f>
        <v>5.8474576271186442E-2</v>
      </c>
      <c r="L371" s="21">
        <f>SUM(DataTbl[[#This Row],[Profile Visits]:[New Followers]])</f>
        <v>90</v>
      </c>
    </row>
    <row r="372" spans="1:12" x14ac:dyDescent="0.3">
      <c r="A372" s="42">
        <v>45933</v>
      </c>
      <c r="B372" s="21">
        <v>1443</v>
      </c>
      <c r="C372" s="21">
        <v>40404</v>
      </c>
      <c r="D372" s="21">
        <v>50</v>
      </c>
      <c r="E372" s="21">
        <v>26</v>
      </c>
      <c r="F372" s="21">
        <v>5</v>
      </c>
      <c r="G372" s="21">
        <v>5</v>
      </c>
      <c r="H372" s="21">
        <v>85</v>
      </c>
      <c r="I372" s="21">
        <v>16</v>
      </c>
      <c r="J372" s="21">
        <f>SUM(DataTbl[[#This Row],[Likes]:[Shares]])</f>
        <v>86</v>
      </c>
      <c r="K372" s="24">
        <f>DataTbl[[#This Row],[Engagement]]/DataTbl[[#This Row],[Views]]</f>
        <v>5.9598059598059597E-2</v>
      </c>
      <c r="L372" s="21">
        <f>SUM(DataTbl[[#This Row],[Profile Visits]:[New Followers]])</f>
        <v>101</v>
      </c>
    </row>
    <row r="373" spans="1:12" x14ac:dyDescent="0.3">
      <c r="A373" s="42">
        <v>45934</v>
      </c>
      <c r="B373" s="21">
        <v>1598</v>
      </c>
      <c r="C373" s="21">
        <v>51136</v>
      </c>
      <c r="D373" s="21">
        <v>76</v>
      </c>
      <c r="E373" s="21">
        <v>31</v>
      </c>
      <c r="F373" s="21">
        <v>8</v>
      </c>
      <c r="G373" s="21">
        <v>6</v>
      </c>
      <c r="H373" s="21">
        <v>84</v>
      </c>
      <c r="I373" s="21">
        <v>17</v>
      </c>
      <c r="J373" s="21">
        <f>SUM(DataTbl[[#This Row],[Likes]:[Shares]])</f>
        <v>121</v>
      </c>
      <c r="K373" s="24">
        <f>DataTbl[[#This Row],[Engagement]]/DataTbl[[#This Row],[Views]]</f>
        <v>7.5719649561952443E-2</v>
      </c>
      <c r="L373" s="21">
        <f>SUM(DataTbl[[#This Row],[Profile Visits]:[New Followers]])</f>
        <v>101</v>
      </c>
    </row>
    <row r="374" spans="1:12" x14ac:dyDescent="0.3">
      <c r="A374" s="42">
        <v>45935</v>
      </c>
      <c r="B374" s="21">
        <v>1178</v>
      </c>
      <c r="C374" s="21">
        <v>30628</v>
      </c>
      <c r="D374" s="21">
        <v>45</v>
      </c>
      <c r="E374" s="21">
        <v>16</v>
      </c>
      <c r="F374" s="21">
        <v>6</v>
      </c>
      <c r="G374" s="21">
        <v>7</v>
      </c>
      <c r="H374" s="21">
        <v>74</v>
      </c>
      <c r="I374" s="21">
        <v>14</v>
      </c>
      <c r="J374" s="21">
        <f>SUM(DataTbl[[#This Row],[Likes]:[Shares]])</f>
        <v>74</v>
      </c>
      <c r="K374" s="24">
        <f>DataTbl[[#This Row],[Engagement]]/DataTbl[[#This Row],[Views]]</f>
        <v>6.2818336162988112E-2</v>
      </c>
      <c r="L374" s="21">
        <f>SUM(DataTbl[[#This Row],[Profile Visits]:[New Followers]])</f>
        <v>88</v>
      </c>
    </row>
    <row r="375" spans="1:12" x14ac:dyDescent="0.3">
      <c r="A375" s="42">
        <v>45936</v>
      </c>
      <c r="B375" s="21">
        <v>1400</v>
      </c>
      <c r="C375" s="21">
        <v>32200</v>
      </c>
      <c r="D375" s="21">
        <v>62</v>
      </c>
      <c r="E375" s="21">
        <v>21</v>
      </c>
      <c r="F375" s="21">
        <v>5</v>
      </c>
      <c r="G375" s="21">
        <v>7</v>
      </c>
      <c r="H375" s="21">
        <v>82</v>
      </c>
      <c r="I375" s="21">
        <v>21</v>
      </c>
      <c r="J375" s="21">
        <f>SUM(DataTbl[[#This Row],[Likes]:[Shares]])</f>
        <v>95</v>
      </c>
      <c r="K375" s="24">
        <f>DataTbl[[#This Row],[Engagement]]/DataTbl[[#This Row],[Views]]</f>
        <v>6.7857142857142852E-2</v>
      </c>
      <c r="L375" s="21">
        <f>SUM(DataTbl[[#This Row],[Profile Visits]:[New Followers]])</f>
        <v>103</v>
      </c>
    </row>
    <row r="376" spans="1:12" x14ac:dyDescent="0.3">
      <c r="A376" s="42">
        <v>45937</v>
      </c>
      <c r="B376" s="21">
        <v>1350</v>
      </c>
      <c r="C376" s="21">
        <v>39150</v>
      </c>
      <c r="D376" s="21">
        <v>31</v>
      </c>
      <c r="E376" s="21">
        <v>12</v>
      </c>
      <c r="F376" s="21">
        <v>4</v>
      </c>
      <c r="G376" s="21">
        <v>3</v>
      </c>
      <c r="H376" s="21">
        <v>80</v>
      </c>
      <c r="I376" s="21">
        <v>16</v>
      </c>
      <c r="J376" s="21">
        <f>SUM(DataTbl[[#This Row],[Likes]:[Shares]])</f>
        <v>50</v>
      </c>
      <c r="K376" s="24">
        <f>DataTbl[[#This Row],[Engagement]]/DataTbl[[#This Row],[Views]]</f>
        <v>3.7037037037037035E-2</v>
      </c>
      <c r="L376" s="21">
        <f>SUM(DataTbl[[#This Row],[Profile Visits]:[New Followers]])</f>
        <v>96</v>
      </c>
    </row>
    <row r="377" spans="1:12" x14ac:dyDescent="0.3">
      <c r="A377" s="42">
        <v>45938</v>
      </c>
      <c r="B377" s="21">
        <v>665</v>
      </c>
      <c r="C377" s="21">
        <v>13300</v>
      </c>
      <c r="D377" s="21">
        <v>21</v>
      </c>
      <c r="E377" s="21">
        <v>10</v>
      </c>
      <c r="F377" s="21">
        <v>2</v>
      </c>
      <c r="G377" s="21">
        <v>2</v>
      </c>
      <c r="H377" s="21">
        <v>34</v>
      </c>
      <c r="I377" s="21">
        <v>6</v>
      </c>
      <c r="J377" s="21">
        <f>SUM(DataTbl[[#This Row],[Likes]:[Shares]])</f>
        <v>35</v>
      </c>
      <c r="K377" s="24">
        <f>DataTbl[[#This Row],[Engagement]]/DataTbl[[#This Row],[Views]]</f>
        <v>5.2631578947368418E-2</v>
      </c>
      <c r="L377" s="21">
        <f>SUM(DataTbl[[#This Row],[Profile Visits]:[New Followers]])</f>
        <v>40</v>
      </c>
    </row>
    <row r="378" spans="1:12" x14ac:dyDescent="0.3">
      <c r="A378" s="42">
        <v>45939</v>
      </c>
      <c r="B378" s="21">
        <v>583</v>
      </c>
      <c r="C378" s="21">
        <v>18073</v>
      </c>
      <c r="D378" s="21">
        <v>17</v>
      </c>
      <c r="E378" s="21">
        <v>8</v>
      </c>
      <c r="F378" s="21">
        <v>2</v>
      </c>
      <c r="G378" s="21">
        <v>2</v>
      </c>
      <c r="H378" s="21">
        <v>44</v>
      </c>
      <c r="I378" s="21">
        <v>6</v>
      </c>
      <c r="J378" s="21">
        <f>SUM(DataTbl[[#This Row],[Likes]:[Shares]])</f>
        <v>29</v>
      </c>
      <c r="K378" s="24">
        <f>DataTbl[[#This Row],[Engagement]]/DataTbl[[#This Row],[Views]]</f>
        <v>4.974271012006861E-2</v>
      </c>
      <c r="L378" s="21">
        <f>SUM(DataTbl[[#This Row],[Profile Visits]:[New Followers]])</f>
        <v>50</v>
      </c>
    </row>
    <row r="379" spans="1:12" x14ac:dyDescent="0.3">
      <c r="A379" s="42">
        <v>45940</v>
      </c>
      <c r="B379" s="21">
        <v>514</v>
      </c>
      <c r="C379" s="21">
        <v>12850</v>
      </c>
      <c r="D379" s="21">
        <v>16</v>
      </c>
      <c r="E379" s="21">
        <v>6</v>
      </c>
      <c r="F379" s="21">
        <v>2</v>
      </c>
      <c r="G379" s="21">
        <v>2</v>
      </c>
      <c r="H379" s="21">
        <v>33</v>
      </c>
      <c r="I379" s="21">
        <v>4</v>
      </c>
      <c r="J379" s="21">
        <f>SUM(DataTbl[[#This Row],[Likes]:[Shares]])</f>
        <v>26</v>
      </c>
      <c r="K379" s="24">
        <f>DataTbl[[#This Row],[Engagement]]/DataTbl[[#This Row],[Views]]</f>
        <v>5.0583657587548639E-2</v>
      </c>
      <c r="L379" s="21">
        <f>SUM(DataTbl[[#This Row],[Profile Visits]:[New Followers]])</f>
        <v>37</v>
      </c>
    </row>
    <row r="380" spans="1:12" x14ac:dyDescent="0.3">
      <c r="A380" s="42">
        <v>45941</v>
      </c>
      <c r="B380" s="21">
        <v>675</v>
      </c>
      <c r="C380" s="21">
        <v>13500</v>
      </c>
      <c r="D380" s="21">
        <v>18</v>
      </c>
      <c r="E380" s="21">
        <v>8</v>
      </c>
      <c r="F380" s="21">
        <v>2</v>
      </c>
      <c r="G380" s="21">
        <v>2</v>
      </c>
      <c r="H380" s="21">
        <v>49</v>
      </c>
      <c r="I380" s="21">
        <v>8</v>
      </c>
      <c r="J380" s="21">
        <f>SUM(DataTbl[[#This Row],[Likes]:[Shares]])</f>
        <v>30</v>
      </c>
      <c r="K380" s="24">
        <f>DataTbl[[#This Row],[Engagement]]/DataTbl[[#This Row],[Views]]</f>
        <v>4.4444444444444446E-2</v>
      </c>
      <c r="L380" s="21">
        <f>SUM(DataTbl[[#This Row],[Profile Visits]:[New Followers]])</f>
        <v>57</v>
      </c>
    </row>
    <row r="381" spans="1:12" x14ac:dyDescent="0.3">
      <c r="A381" s="42">
        <v>45942</v>
      </c>
      <c r="B381" s="21">
        <v>739</v>
      </c>
      <c r="C381" s="21">
        <v>18475</v>
      </c>
      <c r="D381" s="21">
        <v>19</v>
      </c>
      <c r="E381" s="21">
        <v>8</v>
      </c>
      <c r="F381" s="21">
        <v>2</v>
      </c>
      <c r="G381" s="21">
        <v>2</v>
      </c>
      <c r="H381" s="21">
        <v>35</v>
      </c>
      <c r="I381" s="21">
        <v>4</v>
      </c>
      <c r="J381" s="21">
        <f>SUM(DataTbl[[#This Row],[Likes]:[Shares]])</f>
        <v>31</v>
      </c>
      <c r="K381" s="24">
        <f>DataTbl[[#This Row],[Engagement]]/DataTbl[[#This Row],[Views]]</f>
        <v>4.1948579161028419E-2</v>
      </c>
      <c r="L381" s="21">
        <f>SUM(DataTbl[[#This Row],[Profile Visits]:[New Followers]])</f>
        <v>39</v>
      </c>
    </row>
    <row r="382" spans="1:12" x14ac:dyDescent="0.3">
      <c r="A382" s="42">
        <v>45943</v>
      </c>
      <c r="B382" s="21">
        <v>716</v>
      </c>
      <c r="C382" s="21">
        <v>20048</v>
      </c>
      <c r="D382" s="21">
        <v>27</v>
      </c>
      <c r="E382" s="21">
        <v>11</v>
      </c>
      <c r="F382" s="21">
        <v>2</v>
      </c>
      <c r="G382" s="21">
        <v>2</v>
      </c>
      <c r="H382" s="21">
        <v>53</v>
      </c>
      <c r="I382" s="21">
        <v>8</v>
      </c>
      <c r="J382" s="21">
        <f>SUM(DataTbl[[#This Row],[Likes]:[Shares]])</f>
        <v>42</v>
      </c>
      <c r="K382" s="24">
        <f>DataTbl[[#This Row],[Engagement]]/DataTbl[[#This Row],[Views]]</f>
        <v>5.8659217877094973E-2</v>
      </c>
      <c r="L382" s="21">
        <f>SUM(DataTbl[[#This Row],[Profile Visits]:[New Followers]])</f>
        <v>61</v>
      </c>
    </row>
    <row r="383" spans="1:12" x14ac:dyDescent="0.3">
      <c r="A383" s="42">
        <v>45944</v>
      </c>
      <c r="B383" s="21">
        <v>638</v>
      </c>
      <c r="C383" s="21">
        <v>16588</v>
      </c>
      <c r="D383" s="21">
        <v>17</v>
      </c>
      <c r="E383" s="21">
        <v>5</v>
      </c>
      <c r="F383" s="21">
        <v>3</v>
      </c>
      <c r="G383" s="21">
        <v>2</v>
      </c>
      <c r="H383" s="21">
        <v>28</v>
      </c>
      <c r="I383" s="21">
        <v>3</v>
      </c>
      <c r="J383" s="21">
        <f>SUM(DataTbl[[#This Row],[Likes]:[Shares]])</f>
        <v>27</v>
      </c>
      <c r="K383" s="24">
        <f>DataTbl[[#This Row],[Engagement]]/DataTbl[[#This Row],[Views]]</f>
        <v>4.2319749216300939E-2</v>
      </c>
      <c r="L383" s="21">
        <f>SUM(DataTbl[[#This Row],[Profile Visits]:[New Followers]])</f>
        <v>31</v>
      </c>
    </row>
    <row r="384" spans="1:12" x14ac:dyDescent="0.3">
      <c r="A384" s="42">
        <v>45945</v>
      </c>
      <c r="B384" s="21">
        <v>1328</v>
      </c>
      <c r="C384" s="21">
        <v>43824</v>
      </c>
      <c r="D384" s="21">
        <v>57</v>
      </c>
      <c r="E384" s="21">
        <v>28</v>
      </c>
      <c r="F384" s="21">
        <v>9</v>
      </c>
      <c r="G384" s="21">
        <v>9</v>
      </c>
      <c r="H384" s="21">
        <v>76</v>
      </c>
      <c r="I384" s="21">
        <v>12</v>
      </c>
      <c r="J384" s="21">
        <f>SUM(DataTbl[[#This Row],[Likes]:[Shares]])</f>
        <v>103</v>
      </c>
      <c r="K384" s="24">
        <f>DataTbl[[#This Row],[Engagement]]/DataTbl[[#This Row],[Views]]</f>
        <v>7.7560240963855429E-2</v>
      </c>
      <c r="L384" s="21">
        <f>SUM(DataTbl[[#This Row],[Profile Visits]:[New Followers]])</f>
        <v>88</v>
      </c>
    </row>
    <row r="385" spans="1:12" x14ac:dyDescent="0.3">
      <c r="A385" s="42">
        <v>45946</v>
      </c>
      <c r="B385" s="21">
        <v>701</v>
      </c>
      <c r="C385" s="21">
        <v>23834</v>
      </c>
      <c r="D385" s="21">
        <v>18</v>
      </c>
      <c r="E385" s="21">
        <v>6</v>
      </c>
      <c r="F385" s="21">
        <v>2</v>
      </c>
      <c r="G385" s="21">
        <v>2</v>
      </c>
      <c r="H385" s="21">
        <v>40</v>
      </c>
      <c r="I385" s="21">
        <v>4</v>
      </c>
      <c r="J385" s="21">
        <f>SUM(DataTbl[[#This Row],[Likes]:[Shares]])</f>
        <v>28</v>
      </c>
      <c r="K385" s="24">
        <f>DataTbl[[#This Row],[Engagement]]/DataTbl[[#This Row],[Views]]</f>
        <v>3.9942938659058486E-2</v>
      </c>
      <c r="L385" s="21">
        <f>SUM(DataTbl[[#This Row],[Profile Visits]:[New Followers]])</f>
        <v>44</v>
      </c>
    </row>
    <row r="386" spans="1:12" x14ac:dyDescent="0.3">
      <c r="A386" s="42">
        <v>45947</v>
      </c>
      <c r="B386" s="21">
        <v>537</v>
      </c>
      <c r="C386" s="21">
        <v>17184</v>
      </c>
      <c r="D386" s="21">
        <v>15</v>
      </c>
      <c r="E386" s="21">
        <v>5</v>
      </c>
      <c r="F386" s="21">
        <v>2</v>
      </c>
      <c r="G386" s="21">
        <v>2</v>
      </c>
      <c r="H386" s="21">
        <v>29</v>
      </c>
      <c r="I386" s="21">
        <v>5</v>
      </c>
      <c r="J386" s="21">
        <f>SUM(DataTbl[[#This Row],[Likes]:[Shares]])</f>
        <v>24</v>
      </c>
      <c r="K386" s="24">
        <f>DataTbl[[#This Row],[Engagement]]/DataTbl[[#This Row],[Views]]</f>
        <v>4.4692737430167599E-2</v>
      </c>
      <c r="L386" s="21">
        <f>SUM(DataTbl[[#This Row],[Profile Visits]:[New Followers]])</f>
        <v>34</v>
      </c>
    </row>
    <row r="387" spans="1:12" x14ac:dyDescent="0.3">
      <c r="A387" s="42">
        <v>45948</v>
      </c>
      <c r="B387" s="21">
        <v>845</v>
      </c>
      <c r="C387" s="21">
        <v>20280</v>
      </c>
      <c r="D387" s="21">
        <v>34</v>
      </c>
      <c r="E387" s="21">
        <v>11</v>
      </c>
      <c r="F387" s="21">
        <v>5</v>
      </c>
      <c r="G387" s="21">
        <v>5</v>
      </c>
      <c r="H387" s="21">
        <v>57</v>
      </c>
      <c r="I387" s="21">
        <v>9</v>
      </c>
      <c r="J387" s="21">
        <f>SUM(DataTbl[[#This Row],[Likes]:[Shares]])</f>
        <v>55</v>
      </c>
      <c r="K387" s="24">
        <f>DataTbl[[#This Row],[Engagement]]/DataTbl[[#This Row],[Views]]</f>
        <v>6.5088757396449703E-2</v>
      </c>
      <c r="L387" s="21">
        <f>SUM(DataTbl[[#This Row],[Profile Visits]:[New Followers]])</f>
        <v>66</v>
      </c>
    </row>
    <row r="388" spans="1:12" x14ac:dyDescent="0.3">
      <c r="A388" s="42">
        <v>45949</v>
      </c>
      <c r="B388" s="21">
        <v>635</v>
      </c>
      <c r="C388" s="21">
        <v>13335</v>
      </c>
      <c r="D388" s="21">
        <v>17</v>
      </c>
      <c r="E388" s="21">
        <v>7</v>
      </c>
      <c r="F388" s="21">
        <v>2</v>
      </c>
      <c r="G388" s="21">
        <v>2</v>
      </c>
      <c r="H388" s="21">
        <v>34</v>
      </c>
      <c r="I388" s="21">
        <v>6</v>
      </c>
      <c r="J388" s="21">
        <f>SUM(DataTbl[[#This Row],[Likes]:[Shares]])</f>
        <v>28</v>
      </c>
      <c r="K388" s="24">
        <f>DataTbl[[#This Row],[Engagement]]/DataTbl[[#This Row],[Views]]</f>
        <v>4.4094488188976377E-2</v>
      </c>
      <c r="L388" s="21">
        <f>SUM(DataTbl[[#This Row],[Profile Visits]:[New Followers]])</f>
        <v>40</v>
      </c>
    </row>
    <row r="389" spans="1:12" x14ac:dyDescent="0.3">
      <c r="A389" s="42">
        <v>45950</v>
      </c>
      <c r="B389" s="21">
        <v>580</v>
      </c>
      <c r="C389" s="21">
        <v>13340</v>
      </c>
      <c r="D389" s="21">
        <v>22</v>
      </c>
      <c r="E389" s="21">
        <v>8</v>
      </c>
      <c r="F389" s="21">
        <v>2</v>
      </c>
      <c r="G389" s="21">
        <v>3</v>
      </c>
      <c r="H389" s="21">
        <v>30</v>
      </c>
      <c r="I389" s="21">
        <v>6</v>
      </c>
      <c r="J389" s="21">
        <f>SUM(DataTbl[[#This Row],[Likes]:[Shares]])</f>
        <v>35</v>
      </c>
      <c r="K389" s="24">
        <f>DataTbl[[#This Row],[Engagement]]/DataTbl[[#This Row],[Views]]</f>
        <v>6.0344827586206899E-2</v>
      </c>
      <c r="L389" s="21">
        <f>SUM(DataTbl[[#This Row],[Profile Visits]:[New Followers]])</f>
        <v>36</v>
      </c>
    </row>
    <row r="390" spans="1:12" x14ac:dyDescent="0.3">
      <c r="A390" s="42">
        <v>45951</v>
      </c>
      <c r="B390" s="21">
        <v>530</v>
      </c>
      <c r="C390" s="21">
        <v>12720</v>
      </c>
      <c r="D390" s="21">
        <v>22</v>
      </c>
      <c r="E390" s="21">
        <v>10</v>
      </c>
      <c r="F390" s="21">
        <v>3</v>
      </c>
      <c r="G390" s="21">
        <v>4</v>
      </c>
      <c r="H390" s="21">
        <v>34</v>
      </c>
      <c r="I390" s="21">
        <v>6</v>
      </c>
      <c r="J390" s="21">
        <f>SUM(DataTbl[[#This Row],[Likes]:[Shares]])</f>
        <v>39</v>
      </c>
      <c r="K390" s="24">
        <f>DataTbl[[#This Row],[Engagement]]/DataTbl[[#This Row],[Views]]</f>
        <v>7.3584905660377356E-2</v>
      </c>
      <c r="L390" s="21">
        <f>SUM(DataTbl[[#This Row],[Profile Visits]:[New Followers]])</f>
        <v>40</v>
      </c>
    </row>
    <row r="391" spans="1:12" x14ac:dyDescent="0.3">
      <c r="A391" s="42">
        <v>45952</v>
      </c>
      <c r="B391" s="21">
        <v>687</v>
      </c>
      <c r="C391" s="21">
        <v>17862</v>
      </c>
      <c r="D391" s="21">
        <v>25</v>
      </c>
      <c r="E391" s="21">
        <v>10</v>
      </c>
      <c r="F391" s="21">
        <v>2</v>
      </c>
      <c r="G391" s="21">
        <v>4</v>
      </c>
      <c r="H391" s="21">
        <v>52</v>
      </c>
      <c r="I391" s="21">
        <v>8</v>
      </c>
      <c r="J391" s="21">
        <f>SUM(DataTbl[[#This Row],[Likes]:[Shares]])</f>
        <v>41</v>
      </c>
      <c r="K391" s="24">
        <f>DataTbl[[#This Row],[Engagement]]/DataTbl[[#This Row],[Views]]</f>
        <v>5.9679767103347887E-2</v>
      </c>
      <c r="L391" s="21">
        <f>SUM(DataTbl[[#This Row],[Profile Visits]:[New Followers]])</f>
        <v>60</v>
      </c>
    </row>
    <row r="392" spans="1:12" x14ac:dyDescent="0.3">
      <c r="A392" s="42">
        <v>45953</v>
      </c>
      <c r="B392" s="21">
        <v>634</v>
      </c>
      <c r="C392" s="21">
        <v>17752</v>
      </c>
      <c r="D392" s="21">
        <v>22</v>
      </c>
      <c r="E392" s="21">
        <v>8</v>
      </c>
      <c r="F392" s="21">
        <v>3</v>
      </c>
      <c r="G392" s="21">
        <v>2</v>
      </c>
      <c r="H392" s="21">
        <v>41</v>
      </c>
      <c r="I392" s="21">
        <v>8</v>
      </c>
      <c r="J392" s="21">
        <f>SUM(DataTbl[[#This Row],[Likes]:[Shares]])</f>
        <v>35</v>
      </c>
      <c r="K392" s="24">
        <f>DataTbl[[#This Row],[Engagement]]/DataTbl[[#This Row],[Views]]</f>
        <v>5.5205047318611984E-2</v>
      </c>
      <c r="L392" s="21">
        <f>SUM(DataTbl[[#This Row],[Profile Visits]:[New Followers]])</f>
        <v>49</v>
      </c>
    </row>
    <row r="393" spans="1:12" x14ac:dyDescent="0.3">
      <c r="A393" s="42">
        <v>45954</v>
      </c>
      <c r="B393" s="21">
        <v>693</v>
      </c>
      <c r="C393" s="21">
        <v>18018</v>
      </c>
      <c r="D393" s="21">
        <v>30</v>
      </c>
      <c r="E393" s="21">
        <v>14</v>
      </c>
      <c r="F393" s="21">
        <v>4</v>
      </c>
      <c r="G393" s="21">
        <v>4</v>
      </c>
      <c r="H393" s="21">
        <v>34</v>
      </c>
      <c r="I393" s="21">
        <v>6</v>
      </c>
      <c r="J393" s="21">
        <f>SUM(DataTbl[[#This Row],[Likes]:[Shares]])</f>
        <v>52</v>
      </c>
      <c r="K393" s="24">
        <f>DataTbl[[#This Row],[Engagement]]/DataTbl[[#This Row],[Views]]</f>
        <v>7.5036075036075039E-2</v>
      </c>
      <c r="L393" s="21">
        <f>SUM(DataTbl[[#This Row],[Profile Visits]:[New Followers]])</f>
        <v>40</v>
      </c>
    </row>
    <row r="394" spans="1:12" x14ac:dyDescent="0.3">
      <c r="A394" s="42">
        <v>45955</v>
      </c>
      <c r="B394" s="21">
        <v>856</v>
      </c>
      <c r="C394" s="21">
        <v>19688</v>
      </c>
      <c r="D394" s="21">
        <v>36</v>
      </c>
      <c r="E394" s="21">
        <v>18</v>
      </c>
      <c r="F394" s="21">
        <v>4</v>
      </c>
      <c r="G394" s="21">
        <v>5</v>
      </c>
      <c r="H394" s="21">
        <v>53</v>
      </c>
      <c r="I394" s="21">
        <v>10</v>
      </c>
      <c r="J394" s="21">
        <f>SUM(DataTbl[[#This Row],[Likes]:[Shares]])</f>
        <v>63</v>
      </c>
      <c r="K394" s="24">
        <f>DataTbl[[#This Row],[Engagement]]/DataTbl[[#This Row],[Views]]</f>
        <v>7.359813084112149E-2</v>
      </c>
      <c r="L394" s="21">
        <f>SUM(DataTbl[[#This Row],[Profile Visits]:[New Followers]])</f>
        <v>63</v>
      </c>
    </row>
    <row r="395" spans="1:12" x14ac:dyDescent="0.3">
      <c r="A395" s="42">
        <v>45956</v>
      </c>
      <c r="B395" s="21">
        <v>788</v>
      </c>
      <c r="C395" s="21">
        <v>21276</v>
      </c>
      <c r="D395" s="21">
        <v>20</v>
      </c>
      <c r="E395" s="21">
        <v>10</v>
      </c>
      <c r="F395" s="21">
        <v>2</v>
      </c>
      <c r="G395" s="21">
        <v>3</v>
      </c>
      <c r="H395" s="21">
        <v>60</v>
      </c>
      <c r="I395" s="21">
        <v>11</v>
      </c>
      <c r="J395" s="21">
        <f>SUM(DataTbl[[#This Row],[Likes]:[Shares]])</f>
        <v>35</v>
      </c>
      <c r="K395" s="24">
        <f>DataTbl[[#This Row],[Engagement]]/DataTbl[[#This Row],[Views]]</f>
        <v>4.4416243654822336E-2</v>
      </c>
      <c r="L395" s="21">
        <f>SUM(DataTbl[[#This Row],[Profile Visits]:[New Followers]])</f>
        <v>71</v>
      </c>
    </row>
    <row r="396" spans="1:12" x14ac:dyDescent="0.3">
      <c r="A396" s="42">
        <v>45957</v>
      </c>
      <c r="B396" s="21">
        <v>566</v>
      </c>
      <c r="C396" s="21">
        <v>15848</v>
      </c>
      <c r="D396" s="21">
        <v>20</v>
      </c>
      <c r="E396" s="21">
        <v>8</v>
      </c>
      <c r="F396" s="21">
        <v>3</v>
      </c>
      <c r="G396" s="21">
        <v>3</v>
      </c>
      <c r="H396" s="21">
        <v>25</v>
      </c>
      <c r="I396" s="21">
        <v>3</v>
      </c>
      <c r="J396" s="21">
        <f>SUM(DataTbl[[#This Row],[Likes]:[Shares]])</f>
        <v>34</v>
      </c>
      <c r="K396" s="24">
        <f>DataTbl[[#This Row],[Engagement]]/DataTbl[[#This Row],[Views]]</f>
        <v>6.0070671378091869E-2</v>
      </c>
      <c r="L396" s="21">
        <f>SUM(DataTbl[[#This Row],[Profile Visits]:[New Followers]])</f>
        <v>28</v>
      </c>
    </row>
    <row r="397" spans="1:12" x14ac:dyDescent="0.3">
      <c r="A397" s="42">
        <v>45958</v>
      </c>
      <c r="B397" s="21">
        <v>638</v>
      </c>
      <c r="C397" s="21">
        <v>18502</v>
      </c>
      <c r="D397" s="21">
        <v>13</v>
      </c>
      <c r="E397" s="21">
        <v>6</v>
      </c>
      <c r="F397" s="21">
        <v>1</v>
      </c>
      <c r="G397" s="21">
        <v>1</v>
      </c>
      <c r="H397" s="21">
        <v>35</v>
      </c>
      <c r="I397" s="21">
        <v>5</v>
      </c>
      <c r="J397" s="21">
        <f>SUM(DataTbl[[#This Row],[Likes]:[Shares]])</f>
        <v>21</v>
      </c>
      <c r="K397" s="24">
        <f>DataTbl[[#This Row],[Engagement]]/DataTbl[[#This Row],[Views]]</f>
        <v>3.2915360501567396E-2</v>
      </c>
      <c r="L397" s="21">
        <f>SUM(DataTbl[[#This Row],[Profile Visits]:[New Followers]])</f>
        <v>40</v>
      </c>
    </row>
    <row r="398" spans="1:12" x14ac:dyDescent="0.3">
      <c r="A398" s="42">
        <v>45959</v>
      </c>
      <c r="B398" s="21">
        <v>648</v>
      </c>
      <c r="C398" s="21">
        <v>18792</v>
      </c>
      <c r="D398" s="21">
        <v>29</v>
      </c>
      <c r="E398" s="21">
        <v>10</v>
      </c>
      <c r="F398" s="21">
        <v>3</v>
      </c>
      <c r="G398" s="21">
        <v>4</v>
      </c>
      <c r="H398" s="21">
        <v>32</v>
      </c>
      <c r="I398" s="21">
        <v>4</v>
      </c>
      <c r="J398" s="21">
        <f>SUM(DataTbl[[#This Row],[Likes]:[Shares]])</f>
        <v>46</v>
      </c>
      <c r="K398" s="24">
        <f>DataTbl[[#This Row],[Engagement]]/DataTbl[[#This Row],[Views]]</f>
        <v>7.098765432098765E-2</v>
      </c>
      <c r="L398" s="21">
        <f>SUM(DataTbl[[#This Row],[Profile Visits]:[New Followers]])</f>
        <v>36</v>
      </c>
    </row>
    <row r="399" spans="1:12" x14ac:dyDescent="0.3">
      <c r="A399" s="42">
        <v>45960</v>
      </c>
      <c r="B399" s="21">
        <v>592</v>
      </c>
      <c r="C399" s="21">
        <v>20720</v>
      </c>
      <c r="D399" s="21">
        <v>19</v>
      </c>
      <c r="E399" s="21">
        <v>7</v>
      </c>
      <c r="F399" s="21">
        <v>2</v>
      </c>
      <c r="G399" s="21">
        <v>2</v>
      </c>
      <c r="H399" s="21">
        <v>38</v>
      </c>
      <c r="I399" s="21">
        <v>6</v>
      </c>
      <c r="J399" s="21">
        <f>SUM(DataTbl[[#This Row],[Likes]:[Shares]])</f>
        <v>30</v>
      </c>
      <c r="K399" s="24">
        <f>DataTbl[[#This Row],[Engagement]]/DataTbl[[#This Row],[Views]]</f>
        <v>5.0675675675675678E-2</v>
      </c>
      <c r="L399" s="21">
        <f>SUM(DataTbl[[#This Row],[Profile Visits]:[New Followers]])</f>
        <v>44</v>
      </c>
    </row>
    <row r="400" spans="1:12" x14ac:dyDescent="0.3">
      <c r="A400" s="42">
        <v>45961</v>
      </c>
      <c r="B400" s="21">
        <v>561</v>
      </c>
      <c r="C400" s="21">
        <v>11220</v>
      </c>
      <c r="D400" s="21">
        <v>13</v>
      </c>
      <c r="E400" s="21">
        <v>6</v>
      </c>
      <c r="F400" s="21">
        <v>2</v>
      </c>
      <c r="G400" s="21">
        <v>1</v>
      </c>
      <c r="H400" s="21">
        <v>41</v>
      </c>
      <c r="I400" s="21">
        <v>6</v>
      </c>
      <c r="J400" s="21">
        <f>SUM(DataTbl[[#This Row],[Likes]:[Shares]])</f>
        <v>22</v>
      </c>
      <c r="K400" s="24">
        <f>DataTbl[[#This Row],[Engagement]]/DataTbl[[#This Row],[Views]]</f>
        <v>3.9215686274509803E-2</v>
      </c>
      <c r="L400" s="21">
        <f>SUM(DataTbl[[#This Row],[Profile Visits]:[New Followers]])</f>
        <v>47</v>
      </c>
    </row>
    <row r="401" spans="1:12" x14ac:dyDescent="0.3">
      <c r="A401" s="42">
        <v>45962</v>
      </c>
      <c r="B401" s="21">
        <v>743</v>
      </c>
      <c r="C401" s="21">
        <v>14117</v>
      </c>
      <c r="D401" s="21">
        <v>22</v>
      </c>
      <c r="E401" s="21">
        <v>9</v>
      </c>
      <c r="F401" s="21">
        <v>4</v>
      </c>
      <c r="G401" s="21">
        <v>2</v>
      </c>
      <c r="H401" s="21">
        <v>31</v>
      </c>
      <c r="I401" s="21">
        <v>5</v>
      </c>
      <c r="J401" s="21">
        <f>SUM(DataTbl[[#This Row],[Likes]:[Shares]])</f>
        <v>37</v>
      </c>
      <c r="K401" s="24">
        <f>DataTbl[[#This Row],[Engagement]]/DataTbl[[#This Row],[Views]]</f>
        <v>4.9798115746971738E-2</v>
      </c>
      <c r="L401" s="21">
        <f>SUM(DataTbl[[#This Row],[Profile Visits]:[New Followers]])</f>
        <v>36</v>
      </c>
    </row>
    <row r="402" spans="1:12" x14ac:dyDescent="0.3">
      <c r="A402" s="42">
        <v>45963</v>
      </c>
      <c r="B402" s="21">
        <v>655</v>
      </c>
      <c r="C402" s="21">
        <v>17685</v>
      </c>
      <c r="D402" s="21">
        <v>22</v>
      </c>
      <c r="E402" s="21">
        <v>8</v>
      </c>
      <c r="F402" s="21">
        <v>2</v>
      </c>
      <c r="G402" s="21">
        <v>3</v>
      </c>
      <c r="H402" s="21">
        <v>38</v>
      </c>
      <c r="I402" s="21">
        <v>6</v>
      </c>
      <c r="J402" s="21">
        <f>SUM(DataTbl[[#This Row],[Likes]:[Shares]])</f>
        <v>35</v>
      </c>
      <c r="K402" s="24">
        <f>DataTbl[[#This Row],[Engagement]]/DataTbl[[#This Row],[Views]]</f>
        <v>5.3435114503816793E-2</v>
      </c>
      <c r="L402" s="21">
        <f>SUM(DataTbl[[#This Row],[Profile Visits]:[New Followers]])</f>
        <v>44</v>
      </c>
    </row>
    <row r="403" spans="1:12" x14ac:dyDescent="0.3">
      <c r="A403" s="42">
        <v>45964</v>
      </c>
      <c r="B403" s="21">
        <v>640</v>
      </c>
      <c r="C403" s="21">
        <v>20480</v>
      </c>
      <c r="D403" s="21">
        <v>24</v>
      </c>
      <c r="E403" s="21">
        <v>9</v>
      </c>
      <c r="F403" s="21">
        <v>3</v>
      </c>
      <c r="G403" s="21">
        <v>3</v>
      </c>
      <c r="H403" s="21">
        <v>44</v>
      </c>
      <c r="I403" s="21">
        <v>6</v>
      </c>
      <c r="J403" s="21">
        <f>SUM(DataTbl[[#This Row],[Likes]:[Shares]])</f>
        <v>39</v>
      </c>
      <c r="K403" s="24">
        <f>DataTbl[[#This Row],[Engagement]]/DataTbl[[#This Row],[Views]]</f>
        <v>6.0937499999999999E-2</v>
      </c>
      <c r="L403" s="21">
        <f>SUM(DataTbl[[#This Row],[Profile Visits]:[New Followers]])</f>
        <v>50</v>
      </c>
    </row>
    <row r="404" spans="1:12" x14ac:dyDescent="0.3">
      <c r="A404" s="42">
        <v>45965</v>
      </c>
      <c r="B404" s="21">
        <v>741</v>
      </c>
      <c r="C404" s="21">
        <v>15561</v>
      </c>
      <c r="D404" s="21">
        <v>26</v>
      </c>
      <c r="E404" s="21">
        <v>12</v>
      </c>
      <c r="F404" s="21">
        <v>3</v>
      </c>
      <c r="G404" s="21">
        <v>4</v>
      </c>
      <c r="H404" s="21">
        <v>39</v>
      </c>
      <c r="I404" s="21">
        <v>6</v>
      </c>
      <c r="J404" s="21">
        <f>SUM(DataTbl[[#This Row],[Likes]:[Shares]])</f>
        <v>45</v>
      </c>
      <c r="K404" s="24">
        <f>DataTbl[[#This Row],[Engagement]]/DataTbl[[#This Row],[Views]]</f>
        <v>6.0728744939271252E-2</v>
      </c>
      <c r="L404" s="21">
        <f>SUM(DataTbl[[#This Row],[Profile Visits]:[New Followers]])</f>
        <v>45</v>
      </c>
    </row>
    <row r="405" spans="1:12" x14ac:dyDescent="0.3">
      <c r="A405" s="42">
        <v>45966</v>
      </c>
      <c r="B405" s="21">
        <v>566</v>
      </c>
      <c r="C405" s="21">
        <v>13584</v>
      </c>
      <c r="D405" s="21">
        <v>23</v>
      </c>
      <c r="E405" s="21">
        <v>9</v>
      </c>
      <c r="F405" s="21">
        <v>3</v>
      </c>
      <c r="G405" s="21">
        <v>3</v>
      </c>
      <c r="H405" s="21">
        <v>40</v>
      </c>
      <c r="I405" s="21">
        <v>5</v>
      </c>
      <c r="J405" s="21">
        <f>SUM(DataTbl[[#This Row],[Likes]:[Shares]])</f>
        <v>38</v>
      </c>
      <c r="K405" s="24">
        <f>DataTbl[[#This Row],[Engagement]]/DataTbl[[#This Row],[Views]]</f>
        <v>6.7137809187279157E-2</v>
      </c>
      <c r="L405" s="21">
        <f>SUM(DataTbl[[#This Row],[Profile Visits]:[New Followers]])</f>
        <v>45</v>
      </c>
    </row>
    <row r="406" spans="1:12" x14ac:dyDescent="0.3">
      <c r="A406" s="42">
        <v>45967</v>
      </c>
      <c r="B406" s="21">
        <v>577</v>
      </c>
      <c r="C406" s="21">
        <v>20195</v>
      </c>
      <c r="D406" s="21">
        <v>26</v>
      </c>
      <c r="E406" s="21">
        <v>9</v>
      </c>
      <c r="F406" s="21">
        <v>3</v>
      </c>
      <c r="G406" s="21">
        <v>4</v>
      </c>
      <c r="H406" s="21">
        <v>27</v>
      </c>
      <c r="I406" s="21">
        <v>5</v>
      </c>
      <c r="J406" s="21">
        <f>SUM(DataTbl[[#This Row],[Likes]:[Shares]])</f>
        <v>42</v>
      </c>
      <c r="K406" s="24">
        <f>DataTbl[[#This Row],[Engagement]]/DataTbl[[#This Row],[Views]]</f>
        <v>7.2790294627383012E-2</v>
      </c>
      <c r="L406" s="21">
        <f>SUM(DataTbl[[#This Row],[Profile Visits]:[New Followers]])</f>
        <v>32</v>
      </c>
    </row>
    <row r="407" spans="1:12" x14ac:dyDescent="0.3">
      <c r="A407" s="42">
        <v>45968</v>
      </c>
      <c r="B407" s="21">
        <v>733</v>
      </c>
      <c r="C407" s="21">
        <v>18325</v>
      </c>
      <c r="D407" s="21">
        <v>29</v>
      </c>
      <c r="E407" s="21">
        <v>14</v>
      </c>
      <c r="F407" s="21">
        <v>3</v>
      </c>
      <c r="G407" s="21">
        <v>3</v>
      </c>
      <c r="H407" s="21">
        <v>45</v>
      </c>
      <c r="I407" s="21">
        <v>5</v>
      </c>
      <c r="J407" s="21">
        <f>SUM(DataTbl[[#This Row],[Likes]:[Shares]])</f>
        <v>49</v>
      </c>
      <c r="K407" s="24">
        <f>DataTbl[[#This Row],[Engagement]]/DataTbl[[#This Row],[Views]]</f>
        <v>6.6848567530695777E-2</v>
      </c>
      <c r="L407" s="21">
        <f>SUM(DataTbl[[#This Row],[Profile Visits]:[New Followers]])</f>
        <v>50</v>
      </c>
    </row>
    <row r="408" spans="1:12" x14ac:dyDescent="0.3">
      <c r="A408" s="42">
        <v>45969</v>
      </c>
      <c r="B408" s="21">
        <v>803</v>
      </c>
      <c r="C408" s="21">
        <v>26499</v>
      </c>
      <c r="D408" s="21">
        <v>37</v>
      </c>
      <c r="E408" s="21">
        <v>16</v>
      </c>
      <c r="F408" s="21">
        <v>5</v>
      </c>
      <c r="G408" s="21">
        <v>6</v>
      </c>
      <c r="H408" s="21">
        <v>38</v>
      </c>
      <c r="I408" s="21">
        <v>4</v>
      </c>
      <c r="J408" s="21">
        <f>SUM(DataTbl[[#This Row],[Likes]:[Shares]])</f>
        <v>64</v>
      </c>
      <c r="K408" s="24">
        <f>DataTbl[[#This Row],[Engagement]]/DataTbl[[#This Row],[Views]]</f>
        <v>7.9701120797011207E-2</v>
      </c>
      <c r="L408" s="21">
        <f>SUM(DataTbl[[#This Row],[Profile Visits]:[New Followers]])</f>
        <v>42</v>
      </c>
    </row>
    <row r="409" spans="1:12" x14ac:dyDescent="0.3">
      <c r="A409" s="42">
        <v>45970</v>
      </c>
      <c r="B409" s="21">
        <v>1562</v>
      </c>
      <c r="C409" s="21">
        <v>45298</v>
      </c>
      <c r="D409" s="21">
        <v>67</v>
      </c>
      <c r="E409" s="21">
        <v>30</v>
      </c>
      <c r="F409" s="21">
        <v>7</v>
      </c>
      <c r="G409" s="21">
        <v>6</v>
      </c>
      <c r="H409" s="21">
        <v>74</v>
      </c>
      <c r="I409" s="21">
        <v>10</v>
      </c>
      <c r="J409" s="21">
        <f>SUM(DataTbl[[#This Row],[Likes]:[Shares]])</f>
        <v>110</v>
      </c>
      <c r="K409" s="24">
        <f>DataTbl[[#This Row],[Engagement]]/DataTbl[[#This Row],[Views]]</f>
        <v>7.0422535211267609E-2</v>
      </c>
      <c r="L409" s="21">
        <f>SUM(DataTbl[[#This Row],[Profile Visits]:[New Followers]])</f>
        <v>84</v>
      </c>
    </row>
    <row r="410" spans="1:12" x14ac:dyDescent="0.3">
      <c r="A410" s="42">
        <v>45971</v>
      </c>
      <c r="B410" s="21">
        <v>1857</v>
      </c>
      <c r="C410" s="21">
        <v>33426</v>
      </c>
      <c r="D410" s="21">
        <v>64</v>
      </c>
      <c r="E410" s="21">
        <v>28</v>
      </c>
      <c r="F410" s="21">
        <v>11</v>
      </c>
      <c r="G410" s="21">
        <v>8</v>
      </c>
      <c r="H410" s="21">
        <v>128</v>
      </c>
      <c r="I410" s="21">
        <v>30</v>
      </c>
      <c r="J410" s="21">
        <f>SUM(DataTbl[[#This Row],[Likes]:[Shares]])</f>
        <v>111</v>
      </c>
      <c r="K410" s="24">
        <f>DataTbl[[#This Row],[Engagement]]/DataTbl[[#This Row],[Views]]</f>
        <v>5.9773828756058162E-2</v>
      </c>
      <c r="L410" s="21">
        <f>SUM(DataTbl[[#This Row],[Profile Visits]:[New Followers]])</f>
        <v>158</v>
      </c>
    </row>
    <row r="411" spans="1:12" x14ac:dyDescent="0.3">
      <c r="A411" s="42">
        <v>45972</v>
      </c>
      <c r="B411" s="21">
        <v>1584</v>
      </c>
      <c r="C411" s="21">
        <v>49104</v>
      </c>
      <c r="D411" s="21">
        <v>59</v>
      </c>
      <c r="E411" s="21">
        <v>26</v>
      </c>
      <c r="F411" s="21">
        <v>5</v>
      </c>
      <c r="G411" s="21">
        <v>8</v>
      </c>
      <c r="H411" s="21">
        <v>101</v>
      </c>
      <c r="I411" s="21">
        <v>15</v>
      </c>
      <c r="J411" s="21">
        <f>SUM(DataTbl[[#This Row],[Likes]:[Shares]])</f>
        <v>98</v>
      </c>
      <c r="K411" s="24">
        <f>DataTbl[[#This Row],[Engagement]]/DataTbl[[#This Row],[Views]]</f>
        <v>6.1868686868686872E-2</v>
      </c>
      <c r="L411" s="21">
        <f>SUM(DataTbl[[#This Row],[Profile Visits]:[New Followers]])</f>
        <v>116</v>
      </c>
    </row>
    <row r="412" spans="1:12" x14ac:dyDescent="0.3">
      <c r="A412" s="42">
        <v>45973</v>
      </c>
      <c r="B412" s="21">
        <v>1980</v>
      </c>
      <c r="C412" s="21">
        <v>55440</v>
      </c>
      <c r="D412" s="21">
        <v>83</v>
      </c>
      <c r="E412" s="21">
        <v>32</v>
      </c>
      <c r="F412" s="21">
        <v>12</v>
      </c>
      <c r="G412" s="21">
        <v>9</v>
      </c>
      <c r="H412" s="21">
        <v>82</v>
      </c>
      <c r="I412" s="21">
        <v>22</v>
      </c>
      <c r="J412" s="21">
        <f>SUM(DataTbl[[#This Row],[Likes]:[Shares]])</f>
        <v>136</v>
      </c>
      <c r="K412" s="24">
        <f>DataTbl[[#This Row],[Engagement]]/DataTbl[[#This Row],[Views]]</f>
        <v>6.8686868686868685E-2</v>
      </c>
      <c r="L412" s="21">
        <f>SUM(DataTbl[[#This Row],[Profile Visits]:[New Followers]])</f>
        <v>104</v>
      </c>
    </row>
    <row r="413" spans="1:12" x14ac:dyDescent="0.3">
      <c r="A413" s="42">
        <v>45974</v>
      </c>
      <c r="B413" s="21">
        <v>1689</v>
      </c>
      <c r="C413" s="21">
        <v>42225</v>
      </c>
      <c r="D413" s="21">
        <v>39</v>
      </c>
      <c r="E413" s="21">
        <v>17</v>
      </c>
      <c r="F413" s="21">
        <v>6</v>
      </c>
      <c r="G413" s="21">
        <v>4</v>
      </c>
      <c r="H413" s="21">
        <v>102</v>
      </c>
      <c r="I413" s="21">
        <v>18</v>
      </c>
      <c r="J413" s="21">
        <f>SUM(DataTbl[[#This Row],[Likes]:[Shares]])</f>
        <v>66</v>
      </c>
      <c r="K413" s="24">
        <f>DataTbl[[#This Row],[Engagement]]/DataTbl[[#This Row],[Views]]</f>
        <v>3.9076376554174071E-2</v>
      </c>
      <c r="L413" s="21">
        <f>SUM(DataTbl[[#This Row],[Profile Visits]:[New Followers]])</f>
        <v>120</v>
      </c>
    </row>
    <row r="414" spans="1:12" x14ac:dyDescent="0.3">
      <c r="A414" s="42">
        <v>45975</v>
      </c>
      <c r="B414" s="21">
        <v>773</v>
      </c>
      <c r="C414" s="21">
        <v>22417</v>
      </c>
      <c r="D414" s="21">
        <v>27</v>
      </c>
      <c r="E414" s="21">
        <v>11</v>
      </c>
      <c r="F414" s="21">
        <v>4</v>
      </c>
      <c r="G414" s="21">
        <v>4</v>
      </c>
      <c r="H414" s="21">
        <v>41</v>
      </c>
      <c r="I414" s="21">
        <v>6</v>
      </c>
      <c r="J414" s="21">
        <f>SUM(DataTbl[[#This Row],[Likes]:[Shares]])</f>
        <v>46</v>
      </c>
      <c r="K414" s="24">
        <f>DataTbl[[#This Row],[Engagement]]/DataTbl[[#This Row],[Views]]</f>
        <v>5.9508408796895215E-2</v>
      </c>
      <c r="L414" s="21">
        <f>SUM(DataTbl[[#This Row],[Profile Visits]:[New Followers]])</f>
        <v>47</v>
      </c>
    </row>
    <row r="415" spans="1:12" x14ac:dyDescent="0.3">
      <c r="A415" s="42">
        <v>45976</v>
      </c>
      <c r="B415" s="21">
        <v>730</v>
      </c>
      <c r="C415" s="21">
        <v>15330</v>
      </c>
      <c r="D415" s="21">
        <v>17</v>
      </c>
      <c r="E415" s="21">
        <v>6</v>
      </c>
      <c r="F415" s="21">
        <v>1</v>
      </c>
      <c r="G415" s="21">
        <v>1</v>
      </c>
      <c r="H415" s="21">
        <v>35</v>
      </c>
      <c r="I415" s="21">
        <v>5</v>
      </c>
      <c r="J415" s="21">
        <f>SUM(DataTbl[[#This Row],[Likes]:[Shares]])</f>
        <v>25</v>
      </c>
      <c r="K415" s="24">
        <f>DataTbl[[#This Row],[Engagement]]/DataTbl[[#This Row],[Views]]</f>
        <v>3.4246575342465752E-2</v>
      </c>
      <c r="L415" s="21">
        <f>SUM(DataTbl[[#This Row],[Profile Visits]:[New Followers]])</f>
        <v>40</v>
      </c>
    </row>
    <row r="416" spans="1:12" x14ac:dyDescent="0.3">
      <c r="A416" s="42">
        <v>45977</v>
      </c>
      <c r="B416" s="21">
        <v>746</v>
      </c>
      <c r="C416" s="21">
        <v>17904</v>
      </c>
      <c r="D416" s="21">
        <v>20</v>
      </c>
      <c r="E416" s="21">
        <v>8</v>
      </c>
      <c r="F416" s="21">
        <v>3</v>
      </c>
      <c r="G416" s="21">
        <v>3</v>
      </c>
      <c r="H416" s="21">
        <v>54</v>
      </c>
      <c r="I416" s="21">
        <v>8</v>
      </c>
      <c r="J416" s="21">
        <f>SUM(DataTbl[[#This Row],[Likes]:[Shares]])</f>
        <v>34</v>
      </c>
      <c r="K416" s="24">
        <f>DataTbl[[#This Row],[Engagement]]/DataTbl[[#This Row],[Views]]</f>
        <v>4.5576407506702415E-2</v>
      </c>
      <c r="L416" s="21">
        <f>SUM(DataTbl[[#This Row],[Profile Visits]:[New Followers]])</f>
        <v>62</v>
      </c>
    </row>
    <row r="417" spans="1:12" x14ac:dyDescent="0.3">
      <c r="A417" s="42">
        <v>45978</v>
      </c>
      <c r="B417" s="21">
        <v>671</v>
      </c>
      <c r="C417" s="21">
        <v>17446</v>
      </c>
      <c r="D417" s="21">
        <v>33</v>
      </c>
      <c r="E417" s="21">
        <v>11</v>
      </c>
      <c r="F417" s="21">
        <v>3</v>
      </c>
      <c r="G417" s="21">
        <v>5</v>
      </c>
      <c r="H417" s="21">
        <v>41</v>
      </c>
      <c r="I417" s="21">
        <v>7</v>
      </c>
      <c r="J417" s="21">
        <f>SUM(DataTbl[[#This Row],[Likes]:[Shares]])</f>
        <v>52</v>
      </c>
      <c r="K417" s="24">
        <f>DataTbl[[#This Row],[Engagement]]/DataTbl[[#This Row],[Views]]</f>
        <v>7.7496274217585689E-2</v>
      </c>
      <c r="L417" s="21">
        <f>SUM(DataTbl[[#This Row],[Profile Visits]:[New Followers]])</f>
        <v>48</v>
      </c>
    </row>
    <row r="418" spans="1:12" x14ac:dyDescent="0.3">
      <c r="A418" s="42">
        <v>45979</v>
      </c>
      <c r="B418" s="21">
        <v>768</v>
      </c>
      <c r="C418" s="21">
        <v>22272</v>
      </c>
      <c r="D418" s="21">
        <v>23</v>
      </c>
      <c r="E418" s="21">
        <v>10</v>
      </c>
      <c r="F418" s="21">
        <v>2</v>
      </c>
      <c r="G418" s="21">
        <v>3</v>
      </c>
      <c r="H418" s="21">
        <v>49</v>
      </c>
      <c r="I418" s="21">
        <v>6</v>
      </c>
      <c r="J418" s="21">
        <f>SUM(DataTbl[[#This Row],[Likes]:[Shares]])</f>
        <v>38</v>
      </c>
      <c r="K418" s="24">
        <f>DataTbl[[#This Row],[Engagement]]/DataTbl[[#This Row],[Views]]</f>
        <v>4.9479166666666664E-2</v>
      </c>
      <c r="L418" s="21">
        <f>SUM(DataTbl[[#This Row],[Profile Visits]:[New Followers]])</f>
        <v>55</v>
      </c>
    </row>
    <row r="419" spans="1:12" x14ac:dyDescent="0.3">
      <c r="A419" s="42">
        <v>45980</v>
      </c>
      <c r="B419" s="21">
        <v>563</v>
      </c>
      <c r="C419" s="21">
        <v>15201</v>
      </c>
      <c r="D419" s="21">
        <v>22</v>
      </c>
      <c r="E419" s="21">
        <v>9</v>
      </c>
      <c r="F419" s="21">
        <v>2</v>
      </c>
      <c r="G419" s="21">
        <v>3</v>
      </c>
      <c r="H419" s="21">
        <v>25</v>
      </c>
      <c r="I419" s="21">
        <v>3</v>
      </c>
      <c r="J419" s="21">
        <f>SUM(DataTbl[[#This Row],[Likes]:[Shares]])</f>
        <v>36</v>
      </c>
      <c r="K419" s="24">
        <f>DataTbl[[#This Row],[Engagement]]/DataTbl[[#This Row],[Views]]</f>
        <v>6.3943161634103018E-2</v>
      </c>
      <c r="L419" s="21">
        <f>SUM(DataTbl[[#This Row],[Profile Visits]:[New Followers]])</f>
        <v>28</v>
      </c>
    </row>
    <row r="420" spans="1:12" x14ac:dyDescent="0.3">
      <c r="A420" s="42">
        <v>45981</v>
      </c>
      <c r="B420" s="21">
        <v>655</v>
      </c>
      <c r="C420" s="21">
        <v>13100</v>
      </c>
      <c r="D420" s="21">
        <v>27</v>
      </c>
      <c r="E420" s="21">
        <v>11</v>
      </c>
      <c r="F420" s="21">
        <v>3</v>
      </c>
      <c r="G420" s="21">
        <v>2</v>
      </c>
      <c r="H420" s="21">
        <v>32</v>
      </c>
      <c r="I420" s="21">
        <v>6</v>
      </c>
      <c r="J420" s="21">
        <f>SUM(DataTbl[[#This Row],[Likes]:[Shares]])</f>
        <v>43</v>
      </c>
      <c r="K420" s="24">
        <f>DataTbl[[#This Row],[Engagement]]/DataTbl[[#This Row],[Views]]</f>
        <v>6.5648854961832065E-2</v>
      </c>
      <c r="L420" s="21">
        <f>SUM(DataTbl[[#This Row],[Profile Visits]:[New Followers]])</f>
        <v>38</v>
      </c>
    </row>
    <row r="421" spans="1:12" x14ac:dyDescent="0.3">
      <c r="A421" s="42">
        <v>45982</v>
      </c>
      <c r="B421" s="21">
        <v>658</v>
      </c>
      <c r="C421" s="21">
        <v>23030</v>
      </c>
      <c r="D421" s="21">
        <v>24</v>
      </c>
      <c r="E421" s="21">
        <v>8</v>
      </c>
      <c r="F421" s="21">
        <v>3</v>
      </c>
      <c r="G421" s="21">
        <v>3</v>
      </c>
      <c r="H421" s="21">
        <v>38</v>
      </c>
      <c r="I421" s="21">
        <v>5</v>
      </c>
      <c r="J421" s="21">
        <f>SUM(DataTbl[[#This Row],[Likes]:[Shares]])</f>
        <v>38</v>
      </c>
      <c r="K421" s="24">
        <f>DataTbl[[#This Row],[Engagement]]/DataTbl[[#This Row],[Views]]</f>
        <v>5.7750759878419454E-2</v>
      </c>
      <c r="L421" s="21">
        <f>SUM(DataTbl[[#This Row],[Profile Visits]:[New Followers]])</f>
        <v>43</v>
      </c>
    </row>
    <row r="422" spans="1:12" x14ac:dyDescent="0.3">
      <c r="A422" s="42">
        <v>45983</v>
      </c>
      <c r="B422" s="21">
        <v>692</v>
      </c>
      <c r="C422" s="21">
        <v>18684</v>
      </c>
      <c r="D422" s="21">
        <v>29</v>
      </c>
      <c r="E422" s="21">
        <v>10</v>
      </c>
      <c r="F422" s="21">
        <v>3</v>
      </c>
      <c r="G422" s="21">
        <v>4</v>
      </c>
      <c r="H422" s="21">
        <v>34</v>
      </c>
      <c r="I422" s="21">
        <v>6</v>
      </c>
      <c r="J422" s="21">
        <f>SUM(DataTbl[[#This Row],[Likes]:[Shares]])</f>
        <v>46</v>
      </c>
      <c r="K422" s="24">
        <f>DataTbl[[#This Row],[Engagement]]/DataTbl[[#This Row],[Views]]</f>
        <v>6.6473988439306353E-2</v>
      </c>
      <c r="L422" s="21">
        <f>SUM(DataTbl[[#This Row],[Profile Visits]:[New Followers]])</f>
        <v>40</v>
      </c>
    </row>
    <row r="423" spans="1:12" x14ac:dyDescent="0.3">
      <c r="A423" s="42">
        <v>45984</v>
      </c>
      <c r="B423" s="21">
        <v>889</v>
      </c>
      <c r="C423" s="21">
        <v>18669</v>
      </c>
      <c r="D423" s="21">
        <v>23</v>
      </c>
      <c r="E423" s="21">
        <v>9</v>
      </c>
      <c r="F423" s="21">
        <v>3</v>
      </c>
      <c r="G423" s="21">
        <v>3</v>
      </c>
      <c r="H423" s="21">
        <v>59</v>
      </c>
      <c r="I423" s="21">
        <v>6</v>
      </c>
      <c r="J423" s="21">
        <f>SUM(DataTbl[[#This Row],[Likes]:[Shares]])</f>
        <v>38</v>
      </c>
      <c r="K423" s="24">
        <f>DataTbl[[#This Row],[Engagement]]/DataTbl[[#This Row],[Views]]</f>
        <v>4.2744656917885267E-2</v>
      </c>
      <c r="L423" s="21">
        <f>SUM(DataTbl[[#This Row],[Profile Visits]:[New Followers]])</f>
        <v>65</v>
      </c>
    </row>
    <row r="424" spans="1:12" x14ac:dyDescent="0.3">
      <c r="A424" s="42">
        <v>45985</v>
      </c>
      <c r="B424" s="21">
        <v>742</v>
      </c>
      <c r="C424" s="21">
        <v>23002</v>
      </c>
      <c r="D424" s="21">
        <v>31</v>
      </c>
      <c r="E424" s="21">
        <v>12</v>
      </c>
      <c r="F424" s="21">
        <v>4</v>
      </c>
      <c r="G424" s="21">
        <v>3</v>
      </c>
      <c r="H424" s="21">
        <v>36</v>
      </c>
      <c r="I424" s="21">
        <v>6</v>
      </c>
      <c r="J424" s="21">
        <f>SUM(DataTbl[[#This Row],[Likes]:[Shares]])</f>
        <v>50</v>
      </c>
      <c r="K424" s="24">
        <f>DataTbl[[#This Row],[Engagement]]/DataTbl[[#This Row],[Views]]</f>
        <v>6.7385444743935305E-2</v>
      </c>
      <c r="L424" s="21">
        <f>SUM(DataTbl[[#This Row],[Profile Visits]:[New Followers]])</f>
        <v>42</v>
      </c>
    </row>
    <row r="425" spans="1:12" x14ac:dyDescent="0.3">
      <c r="A425" s="42">
        <v>45986</v>
      </c>
      <c r="B425" s="21">
        <v>780</v>
      </c>
      <c r="C425" s="21">
        <v>24180</v>
      </c>
      <c r="D425" s="21">
        <v>31</v>
      </c>
      <c r="E425" s="21">
        <v>11</v>
      </c>
      <c r="F425" s="21">
        <v>5</v>
      </c>
      <c r="G425" s="21">
        <v>3</v>
      </c>
      <c r="H425" s="21">
        <v>54</v>
      </c>
      <c r="I425" s="21">
        <v>9</v>
      </c>
      <c r="J425" s="21">
        <f>SUM(DataTbl[[#This Row],[Likes]:[Shares]])</f>
        <v>50</v>
      </c>
      <c r="K425" s="24">
        <f>DataTbl[[#This Row],[Engagement]]/DataTbl[[#This Row],[Views]]</f>
        <v>6.4102564102564097E-2</v>
      </c>
      <c r="L425" s="21">
        <f>SUM(DataTbl[[#This Row],[Profile Visits]:[New Followers]])</f>
        <v>63</v>
      </c>
    </row>
    <row r="426" spans="1:12" x14ac:dyDescent="0.3">
      <c r="A426" s="42">
        <v>45987</v>
      </c>
      <c r="B426" s="21">
        <v>1665</v>
      </c>
      <c r="C426" s="21">
        <v>41625</v>
      </c>
      <c r="D426" s="21">
        <v>60</v>
      </c>
      <c r="E426" s="21">
        <v>23</v>
      </c>
      <c r="F426" s="21">
        <v>9</v>
      </c>
      <c r="G426" s="21">
        <v>10</v>
      </c>
      <c r="H426" s="21">
        <v>112</v>
      </c>
      <c r="I426" s="21">
        <v>17</v>
      </c>
      <c r="J426" s="21">
        <f>SUM(DataTbl[[#This Row],[Likes]:[Shares]])</f>
        <v>102</v>
      </c>
      <c r="K426" s="24">
        <f>DataTbl[[#This Row],[Engagement]]/DataTbl[[#This Row],[Views]]</f>
        <v>6.126126126126126E-2</v>
      </c>
      <c r="L426" s="21">
        <f>SUM(DataTbl[[#This Row],[Profile Visits]:[New Followers]])</f>
        <v>129</v>
      </c>
    </row>
    <row r="427" spans="1:12" x14ac:dyDescent="0.3">
      <c r="A427" s="42">
        <v>45988</v>
      </c>
      <c r="B427" s="21">
        <v>684</v>
      </c>
      <c r="C427" s="21">
        <v>21888</v>
      </c>
      <c r="D427" s="21">
        <v>23</v>
      </c>
      <c r="E427" s="21">
        <v>11</v>
      </c>
      <c r="F427" s="21">
        <v>2</v>
      </c>
      <c r="G427" s="21">
        <v>4</v>
      </c>
      <c r="H427" s="21">
        <v>33</v>
      </c>
      <c r="I427" s="21">
        <v>5</v>
      </c>
      <c r="J427" s="21">
        <f>SUM(DataTbl[[#This Row],[Likes]:[Shares]])</f>
        <v>40</v>
      </c>
      <c r="K427" s="24">
        <f>DataTbl[[#This Row],[Engagement]]/DataTbl[[#This Row],[Views]]</f>
        <v>5.8479532163742687E-2</v>
      </c>
      <c r="L427" s="21">
        <f>SUM(DataTbl[[#This Row],[Profile Visits]:[New Followers]])</f>
        <v>38</v>
      </c>
    </row>
    <row r="428" spans="1:12" x14ac:dyDescent="0.3">
      <c r="A428" s="42">
        <v>45989</v>
      </c>
      <c r="B428" s="21">
        <v>793</v>
      </c>
      <c r="C428" s="21">
        <v>25376</v>
      </c>
      <c r="D428" s="21">
        <v>25</v>
      </c>
      <c r="E428" s="21">
        <v>8</v>
      </c>
      <c r="F428" s="21">
        <v>3</v>
      </c>
      <c r="G428" s="21">
        <v>4</v>
      </c>
      <c r="H428" s="21">
        <v>39</v>
      </c>
      <c r="I428" s="21">
        <v>6</v>
      </c>
      <c r="J428" s="21">
        <f>SUM(DataTbl[[#This Row],[Likes]:[Shares]])</f>
        <v>40</v>
      </c>
      <c r="K428" s="24">
        <f>DataTbl[[#This Row],[Engagement]]/DataTbl[[#This Row],[Views]]</f>
        <v>5.0441361916771753E-2</v>
      </c>
      <c r="L428" s="21">
        <f>SUM(DataTbl[[#This Row],[Profile Visits]:[New Followers]])</f>
        <v>45</v>
      </c>
    </row>
    <row r="429" spans="1:12" x14ac:dyDescent="0.3">
      <c r="A429" s="42">
        <v>45990</v>
      </c>
      <c r="B429" s="21">
        <v>820</v>
      </c>
      <c r="C429" s="21">
        <v>21320</v>
      </c>
      <c r="D429" s="21">
        <v>30</v>
      </c>
      <c r="E429" s="21">
        <v>15</v>
      </c>
      <c r="F429" s="21">
        <v>4</v>
      </c>
      <c r="G429" s="21">
        <v>5</v>
      </c>
      <c r="H429" s="21">
        <v>64</v>
      </c>
      <c r="I429" s="21">
        <v>11</v>
      </c>
      <c r="J429" s="21">
        <f>SUM(DataTbl[[#This Row],[Likes]:[Shares]])</f>
        <v>54</v>
      </c>
      <c r="K429" s="24">
        <f>DataTbl[[#This Row],[Engagement]]/DataTbl[[#This Row],[Views]]</f>
        <v>6.5853658536585369E-2</v>
      </c>
      <c r="L429" s="21">
        <f>SUM(DataTbl[[#This Row],[Profile Visits]:[New Followers]])</f>
        <v>75</v>
      </c>
    </row>
    <row r="430" spans="1:12" x14ac:dyDescent="0.3">
      <c r="A430" s="42">
        <v>45991</v>
      </c>
      <c r="B430" s="21">
        <v>682</v>
      </c>
      <c r="C430" s="21">
        <v>13640</v>
      </c>
      <c r="D430" s="21">
        <v>26</v>
      </c>
      <c r="E430" s="21">
        <v>11</v>
      </c>
      <c r="F430" s="21">
        <v>3</v>
      </c>
      <c r="G430" s="21">
        <v>3</v>
      </c>
      <c r="H430" s="21">
        <v>33</v>
      </c>
      <c r="I430" s="21">
        <v>6</v>
      </c>
      <c r="J430" s="21">
        <f>SUM(DataTbl[[#This Row],[Likes]:[Shares]])</f>
        <v>43</v>
      </c>
      <c r="K430" s="24">
        <f>DataTbl[[#This Row],[Engagement]]/DataTbl[[#This Row],[Views]]</f>
        <v>6.3049853372434017E-2</v>
      </c>
      <c r="L430" s="21">
        <f>SUM(DataTbl[[#This Row],[Profile Visits]:[New Followers]])</f>
        <v>39</v>
      </c>
    </row>
    <row r="431" spans="1:12" x14ac:dyDescent="0.3">
      <c r="A431" s="42">
        <v>45992</v>
      </c>
      <c r="B431" s="21">
        <v>586</v>
      </c>
      <c r="C431" s="21">
        <v>15822</v>
      </c>
      <c r="D431" s="21">
        <v>20</v>
      </c>
      <c r="E431" s="21">
        <v>8</v>
      </c>
      <c r="F431" s="21">
        <v>2</v>
      </c>
      <c r="G431" s="21">
        <v>2</v>
      </c>
      <c r="H431" s="21">
        <v>24</v>
      </c>
      <c r="I431" s="21">
        <v>5</v>
      </c>
      <c r="J431" s="21">
        <f>SUM(DataTbl[[#This Row],[Likes]:[Shares]])</f>
        <v>32</v>
      </c>
      <c r="K431" s="24">
        <f>DataTbl[[#This Row],[Engagement]]/DataTbl[[#This Row],[Views]]</f>
        <v>5.4607508532423209E-2</v>
      </c>
      <c r="L431" s="21">
        <f>SUM(DataTbl[[#This Row],[Profile Visits]:[New Followers]])</f>
        <v>29</v>
      </c>
    </row>
    <row r="432" spans="1:12" x14ac:dyDescent="0.3">
      <c r="A432" s="42">
        <v>45993</v>
      </c>
      <c r="B432" s="21">
        <v>696</v>
      </c>
      <c r="C432" s="21">
        <v>22968</v>
      </c>
      <c r="D432" s="21">
        <v>30</v>
      </c>
      <c r="E432" s="21">
        <v>14</v>
      </c>
      <c r="F432" s="21">
        <v>3</v>
      </c>
      <c r="G432" s="21">
        <v>3</v>
      </c>
      <c r="H432" s="21">
        <v>38</v>
      </c>
      <c r="I432" s="21">
        <v>4</v>
      </c>
      <c r="J432" s="21">
        <f>SUM(DataTbl[[#This Row],[Likes]:[Shares]])</f>
        <v>50</v>
      </c>
      <c r="K432" s="24">
        <f>DataTbl[[#This Row],[Engagement]]/DataTbl[[#This Row],[Views]]</f>
        <v>7.183908045977011E-2</v>
      </c>
      <c r="L432" s="21">
        <f>SUM(DataTbl[[#This Row],[Profile Visits]:[New Followers]])</f>
        <v>42</v>
      </c>
    </row>
    <row r="433" spans="1:12" x14ac:dyDescent="0.3">
      <c r="A433" s="42">
        <v>45994</v>
      </c>
      <c r="B433" s="21">
        <v>589</v>
      </c>
      <c r="C433" s="21">
        <v>11780</v>
      </c>
      <c r="D433" s="21">
        <v>26</v>
      </c>
      <c r="E433" s="21">
        <v>9</v>
      </c>
      <c r="F433" s="21">
        <v>3</v>
      </c>
      <c r="G433" s="21">
        <v>3</v>
      </c>
      <c r="H433" s="21">
        <v>33</v>
      </c>
      <c r="I433" s="21">
        <v>5</v>
      </c>
      <c r="J433" s="21">
        <f>SUM(DataTbl[[#This Row],[Likes]:[Shares]])</f>
        <v>41</v>
      </c>
      <c r="K433" s="24">
        <f>DataTbl[[#This Row],[Engagement]]/DataTbl[[#This Row],[Views]]</f>
        <v>6.9609507640067916E-2</v>
      </c>
      <c r="L433" s="21">
        <f>SUM(DataTbl[[#This Row],[Profile Visits]:[New Followers]])</f>
        <v>38</v>
      </c>
    </row>
    <row r="434" spans="1:12" x14ac:dyDescent="0.3">
      <c r="A434" s="42">
        <v>45995</v>
      </c>
      <c r="B434" s="21">
        <v>695</v>
      </c>
      <c r="C434" s="21">
        <v>15985</v>
      </c>
      <c r="D434" s="21">
        <v>18</v>
      </c>
      <c r="E434" s="21">
        <v>7</v>
      </c>
      <c r="F434" s="21">
        <v>2</v>
      </c>
      <c r="G434" s="21">
        <v>2</v>
      </c>
      <c r="H434" s="21">
        <v>50</v>
      </c>
      <c r="I434" s="21">
        <v>8</v>
      </c>
      <c r="J434" s="21">
        <f>SUM(DataTbl[[#This Row],[Likes]:[Shares]])</f>
        <v>29</v>
      </c>
      <c r="K434" s="24">
        <f>DataTbl[[#This Row],[Engagement]]/DataTbl[[#This Row],[Views]]</f>
        <v>4.1726618705035974E-2</v>
      </c>
      <c r="L434" s="21">
        <f>SUM(DataTbl[[#This Row],[Profile Visits]:[New Followers]])</f>
        <v>58</v>
      </c>
    </row>
    <row r="435" spans="1:12" x14ac:dyDescent="0.3">
      <c r="A435" s="42">
        <v>45996</v>
      </c>
      <c r="B435" s="21">
        <v>698</v>
      </c>
      <c r="C435" s="21">
        <v>14658</v>
      </c>
      <c r="D435" s="21">
        <v>24</v>
      </c>
      <c r="E435" s="21">
        <v>10</v>
      </c>
      <c r="F435" s="21">
        <v>3</v>
      </c>
      <c r="G435" s="21">
        <v>4</v>
      </c>
      <c r="H435" s="21">
        <v>45</v>
      </c>
      <c r="I435" s="21">
        <v>7</v>
      </c>
      <c r="J435" s="21">
        <f>SUM(DataTbl[[#This Row],[Likes]:[Shares]])</f>
        <v>41</v>
      </c>
      <c r="K435" s="24">
        <f>DataTbl[[#This Row],[Engagement]]/DataTbl[[#This Row],[Views]]</f>
        <v>5.8739255014326648E-2</v>
      </c>
      <c r="L435" s="21">
        <f>SUM(DataTbl[[#This Row],[Profile Visits]:[New Followers]])</f>
        <v>52</v>
      </c>
    </row>
    <row r="436" spans="1:12" x14ac:dyDescent="0.3">
      <c r="A436" s="42">
        <v>45997</v>
      </c>
      <c r="B436" s="21">
        <v>3571</v>
      </c>
      <c r="C436" s="21">
        <v>92846</v>
      </c>
      <c r="D436" s="21">
        <v>111</v>
      </c>
      <c r="E436" s="21">
        <v>58</v>
      </c>
      <c r="F436" s="21">
        <v>13</v>
      </c>
      <c r="G436" s="21">
        <v>12</v>
      </c>
      <c r="H436" s="21">
        <v>199</v>
      </c>
      <c r="I436" s="21">
        <v>29</v>
      </c>
      <c r="J436" s="21">
        <f>SUM(DataTbl[[#This Row],[Likes]:[Shares]])</f>
        <v>194</v>
      </c>
      <c r="K436" s="24">
        <f>DataTbl[[#This Row],[Engagement]]/DataTbl[[#This Row],[Views]]</f>
        <v>5.4326519182301879E-2</v>
      </c>
      <c r="L436" s="21">
        <f>SUM(DataTbl[[#This Row],[Profile Visits]:[New Followers]])</f>
        <v>228</v>
      </c>
    </row>
    <row r="437" spans="1:12" x14ac:dyDescent="0.3">
      <c r="A437" s="42">
        <v>45998</v>
      </c>
      <c r="B437" s="21">
        <v>864</v>
      </c>
      <c r="C437" s="21">
        <v>16416</v>
      </c>
      <c r="D437" s="21">
        <v>20</v>
      </c>
      <c r="E437" s="21">
        <v>10</v>
      </c>
      <c r="F437" s="21">
        <v>2</v>
      </c>
      <c r="G437" s="21">
        <v>2</v>
      </c>
      <c r="H437" s="21">
        <v>63</v>
      </c>
      <c r="I437" s="21">
        <v>6</v>
      </c>
      <c r="J437" s="21">
        <f>SUM(DataTbl[[#This Row],[Likes]:[Shares]])</f>
        <v>34</v>
      </c>
      <c r="K437" s="24">
        <f>DataTbl[[#This Row],[Engagement]]/DataTbl[[#This Row],[Views]]</f>
        <v>3.9351851851851853E-2</v>
      </c>
      <c r="L437" s="21">
        <f>SUM(DataTbl[[#This Row],[Profile Visits]:[New Followers]])</f>
        <v>69</v>
      </c>
    </row>
    <row r="438" spans="1:12" x14ac:dyDescent="0.3">
      <c r="A438" s="42">
        <v>45999</v>
      </c>
      <c r="B438" s="21">
        <v>775</v>
      </c>
      <c r="C438" s="21">
        <v>26350</v>
      </c>
      <c r="D438" s="21">
        <v>22</v>
      </c>
      <c r="E438" s="21">
        <v>9</v>
      </c>
      <c r="F438" s="21">
        <v>3</v>
      </c>
      <c r="G438" s="21">
        <v>4</v>
      </c>
      <c r="H438" s="21">
        <v>42</v>
      </c>
      <c r="I438" s="21">
        <v>6</v>
      </c>
      <c r="J438" s="21">
        <f>SUM(DataTbl[[#This Row],[Likes]:[Shares]])</f>
        <v>38</v>
      </c>
      <c r="K438" s="24">
        <f>DataTbl[[#This Row],[Engagement]]/DataTbl[[#This Row],[Views]]</f>
        <v>4.9032258064516131E-2</v>
      </c>
      <c r="L438" s="21">
        <f>SUM(DataTbl[[#This Row],[Profile Visits]:[New Followers]])</f>
        <v>48</v>
      </c>
    </row>
    <row r="439" spans="1:12" x14ac:dyDescent="0.3">
      <c r="A439" s="42">
        <v>46000</v>
      </c>
      <c r="B439" s="21">
        <v>643</v>
      </c>
      <c r="C439" s="21">
        <v>20576</v>
      </c>
      <c r="D439" s="21">
        <v>14</v>
      </c>
      <c r="E439" s="21">
        <v>6</v>
      </c>
      <c r="F439" s="21">
        <v>2</v>
      </c>
      <c r="G439" s="21">
        <v>2</v>
      </c>
      <c r="H439" s="21">
        <v>37</v>
      </c>
      <c r="I439" s="21">
        <v>6</v>
      </c>
      <c r="J439" s="21">
        <f>SUM(DataTbl[[#This Row],[Likes]:[Shares]])</f>
        <v>24</v>
      </c>
      <c r="K439" s="24">
        <f>DataTbl[[#This Row],[Engagement]]/DataTbl[[#This Row],[Views]]</f>
        <v>3.7325038880248837E-2</v>
      </c>
      <c r="L439" s="21">
        <f>SUM(DataTbl[[#This Row],[Profile Visits]:[New Followers]])</f>
        <v>43</v>
      </c>
    </row>
    <row r="440" spans="1:12" x14ac:dyDescent="0.3">
      <c r="A440" s="42">
        <v>46001</v>
      </c>
      <c r="B440" s="21">
        <v>620</v>
      </c>
      <c r="C440" s="21">
        <v>12400</v>
      </c>
      <c r="D440" s="21">
        <v>27</v>
      </c>
      <c r="E440" s="21">
        <v>10</v>
      </c>
      <c r="F440" s="21">
        <v>3</v>
      </c>
      <c r="G440" s="21">
        <v>4</v>
      </c>
      <c r="H440" s="21">
        <v>44</v>
      </c>
      <c r="I440" s="21">
        <v>8</v>
      </c>
      <c r="J440" s="21">
        <f>SUM(DataTbl[[#This Row],[Likes]:[Shares]])</f>
        <v>44</v>
      </c>
      <c r="K440" s="24">
        <f>DataTbl[[#This Row],[Engagement]]/DataTbl[[#This Row],[Views]]</f>
        <v>7.0967741935483872E-2</v>
      </c>
      <c r="L440" s="21">
        <f>SUM(DataTbl[[#This Row],[Profile Visits]:[New Followers]])</f>
        <v>52</v>
      </c>
    </row>
    <row r="441" spans="1:12" x14ac:dyDescent="0.3">
      <c r="A441" s="42">
        <v>46002</v>
      </c>
      <c r="B441" s="21">
        <v>1110</v>
      </c>
      <c r="C441" s="21">
        <v>38850</v>
      </c>
      <c r="D441" s="21">
        <v>27</v>
      </c>
      <c r="E441" s="21">
        <v>10</v>
      </c>
      <c r="F441" s="21">
        <v>3</v>
      </c>
      <c r="G441" s="21">
        <v>3</v>
      </c>
      <c r="H441" s="21">
        <v>84</v>
      </c>
      <c r="I441" s="21">
        <v>17</v>
      </c>
      <c r="J441" s="21">
        <f>SUM(DataTbl[[#This Row],[Likes]:[Shares]])</f>
        <v>43</v>
      </c>
      <c r="K441" s="24">
        <f>DataTbl[[#This Row],[Engagement]]/DataTbl[[#This Row],[Views]]</f>
        <v>3.8738738738738739E-2</v>
      </c>
      <c r="L441" s="21">
        <f>SUM(DataTbl[[#This Row],[Profile Visits]:[New Followers]])</f>
        <v>101</v>
      </c>
    </row>
    <row r="442" spans="1:12" x14ac:dyDescent="0.3">
      <c r="A442" s="42">
        <v>46003</v>
      </c>
      <c r="B442" s="21">
        <v>1043</v>
      </c>
      <c r="C442" s="21">
        <v>30247</v>
      </c>
      <c r="D442" s="21">
        <v>49</v>
      </c>
      <c r="E442" s="21">
        <v>18</v>
      </c>
      <c r="F442" s="21">
        <v>7</v>
      </c>
      <c r="G442" s="21">
        <v>6</v>
      </c>
      <c r="H442" s="21">
        <v>52</v>
      </c>
      <c r="I442" s="21">
        <v>9</v>
      </c>
      <c r="J442" s="21">
        <f>SUM(DataTbl[[#This Row],[Likes]:[Shares]])</f>
        <v>80</v>
      </c>
      <c r="K442" s="24">
        <f>DataTbl[[#This Row],[Engagement]]/DataTbl[[#This Row],[Views]]</f>
        <v>7.6701821668264628E-2</v>
      </c>
      <c r="L442" s="21">
        <f>SUM(DataTbl[[#This Row],[Profile Visits]:[New Followers]])</f>
        <v>61</v>
      </c>
    </row>
    <row r="443" spans="1:12" x14ac:dyDescent="0.3">
      <c r="A443" s="42">
        <v>46004</v>
      </c>
      <c r="B443" s="21">
        <v>1512</v>
      </c>
      <c r="C443" s="21">
        <v>30240</v>
      </c>
      <c r="D443" s="21">
        <v>32</v>
      </c>
      <c r="E443" s="21">
        <v>12</v>
      </c>
      <c r="F443" s="21">
        <v>5</v>
      </c>
      <c r="G443" s="21">
        <v>5</v>
      </c>
      <c r="H443" s="21">
        <v>97</v>
      </c>
      <c r="I443" s="21">
        <v>16</v>
      </c>
      <c r="J443" s="21">
        <f>SUM(DataTbl[[#This Row],[Likes]:[Shares]])</f>
        <v>54</v>
      </c>
      <c r="K443" s="24">
        <f>DataTbl[[#This Row],[Engagement]]/DataTbl[[#This Row],[Views]]</f>
        <v>3.5714285714285712E-2</v>
      </c>
      <c r="L443" s="21">
        <f>SUM(DataTbl[[#This Row],[Profile Visits]:[New Followers]])</f>
        <v>113</v>
      </c>
    </row>
    <row r="444" spans="1:12" x14ac:dyDescent="0.3">
      <c r="A444" s="42">
        <v>46005</v>
      </c>
      <c r="B444" s="21">
        <v>900</v>
      </c>
      <c r="C444" s="21">
        <v>24300</v>
      </c>
      <c r="D444" s="21">
        <v>29</v>
      </c>
      <c r="E444" s="21">
        <v>10</v>
      </c>
      <c r="F444" s="21">
        <v>3</v>
      </c>
      <c r="G444" s="21">
        <v>3</v>
      </c>
      <c r="H444" s="21">
        <v>49</v>
      </c>
      <c r="I444" s="21">
        <v>5</v>
      </c>
      <c r="J444" s="21">
        <f>SUM(DataTbl[[#This Row],[Likes]:[Shares]])</f>
        <v>45</v>
      </c>
      <c r="K444" s="24">
        <f>DataTbl[[#This Row],[Engagement]]/DataTbl[[#This Row],[Views]]</f>
        <v>0.05</v>
      </c>
      <c r="L444" s="21">
        <f>SUM(DataTbl[[#This Row],[Profile Visits]:[New Followers]])</f>
        <v>54</v>
      </c>
    </row>
    <row r="445" spans="1:12" x14ac:dyDescent="0.3">
      <c r="A445" s="42">
        <v>46006</v>
      </c>
      <c r="B445" s="21">
        <v>648</v>
      </c>
      <c r="C445" s="21">
        <v>17496</v>
      </c>
      <c r="D445" s="21">
        <v>24</v>
      </c>
      <c r="E445" s="21">
        <v>9</v>
      </c>
      <c r="F445" s="21">
        <v>4</v>
      </c>
      <c r="G445" s="21">
        <v>3</v>
      </c>
      <c r="H445" s="21">
        <v>41</v>
      </c>
      <c r="I445" s="21">
        <v>6</v>
      </c>
      <c r="J445" s="21">
        <f>SUM(DataTbl[[#This Row],[Likes]:[Shares]])</f>
        <v>40</v>
      </c>
      <c r="K445" s="24">
        <f>DataTbl[[#This Row],[Engagement]]/DataTbl[[#This Row],[Views]]</f>
        <v>6.1728395061728392E-2</v>
      </c>
      <c r="L445" s="21">
        <f>SUM(DataTbl[[#This Row],[Profile Visits]:[New Followers]])</f>
        <v>47</v>
      </c>
    </row>
    <row r="446" spans="1:12" x14ac:dyDescent="0.3">
      <c r="A446" s="42">
        <v>46007</v>
      </c>
      <c r="B446" s="21">
        <v>677</v>
      </c>
      <c r="C446" s="21">
        <v>20310</v>
      </c>
      <c r="D446" s="21">
        <v>16</v>
      </c>
      <c r="E446" s="21">
        <v>8</v>
      </c>
      <c r="F446" s="21">
        <v>3</v>
      </c>
      <c r="G446" s="21">
        <v>2</v>
      </c>
      <c r="H446" s="21">
        <v>52</v>
      </c>
      <c r="I446" s="21">
        <v>9</v>
      </c>
      <c r="J446" s="21">
        <f>SUM(DataTbl[[#This Row],[Likes]:[Shares]])</f>
        <v>29</v>
      </c>
      <c r="K446" s="24">
        <f>DataTbl[[#This Row],[Engagement]]/DataTbl[[#This Row],[Views]]</f>
        <v>4.2836041358936483E-2</v>
      </c>
      <c r="L446" s="21">
        <f>SUM(DataTbl[[#This Row],[Profile Visits]:[New Followers]])</f>
        <v>61</v>
      </c>
    </row>
    <row r="447" spans="1:12" x14ac:dyDescent="0.3">
      <c r="A447" s="42">
        <v>46008</v>
      </c>
      <c r="B447" s="21">
        <v>775</v>
      </c>
      <c r="C447" s="21">
        <v>24025</v>
      </c>
      <c r="D447" s="21">
        <v>19</v>
      </c>
      <c r="E447" s="21">
        <v>7</v>
      </c>
      <c r="F447" s="21">
        <v>2</v>
      </c>
      <c r="G447" s="21">
        <v>2</v>
      </c>
      <c r="H447" s="21">
        <v>53</v>
      </c>
      <c r="I447" s="21">
        <v>10</v>
      </c>
      <c r="J447" s="21">
        <f>SUM(DataTbl[[#This Row],[Likes]:[Shares]])</f>
        <v>30</v>
      </c>
      <c r="K447" s="24">
        <f>DataTbl[[#This Row],[Engagement]]/DataTbl[[#This Row],[Views]]</f>
        <v>3.870967741935484E-2</v>
      </c>
      <c r="L447" s="21">
        <f>SUM(DataTbl[[#This Row],[Profile Visits]:[New Followers]])</f>
        <v>63</v>
      </c>
    </row>
    <row r="448" spans="1:12" x14ac:dyDescent="0.3">
      <c r="A448" s="42">
        <v>46009</v>
      </c>
      <c r="B448" s="21">
        <v>631</v>
      </c>
      <c r="C448" s="21">
        <v>16406</v>
      </c>
      <c r="D448" s="21">
        <v>17</v>
      </c>
      <c r="E448" s="21">
        <v>8</v>
      </c>
      <c r="F448" s="21">
        <v>3</v>
      </c>
      <c r="G448" s="21">
        <v>2</v>
      </c>
      <c r="H448" s="21">
        <v>46</v>
      </c>
      <c r="I448" s="21">
        <v>8</v>
      </c>
      <c r="J448" s="21">
        <f>SUM(DataTbl[[#This Row],[Likes]:[Shares]])</f>
        <v>30</v>
      </c>
      <c r="K448" s="24">
        <f>DataTbl[[#This Row],[Engagement]]/DataTbl[[#This Row],[Views]]</f>
        <v>4.7543581616481777E-2</v>
      </c>
      <c r="L448" s="21">
        <f>SUM(DataTbl[[#This Row],[Profile Visits]:[New Followers]])</f>
        <v>54</v>
      </c>
    </row>
    <row r="449" spans="1:12" x14ac:dyDescent="0.3">
      <c r="A449" s="42">
        <v>46010</v>
      </c>
      <c r="B449" s="21">
        <v>793</v>
      </c>
      <c r="C449" s="21">
        <v>26962</v>
      </c>
      <c r="D449" s="21">
        <v>28</v>
      </c>
      <c r="E449" s="21">
        <v>13</v>
      </c>
      <c r="F449" s="21">
        <v>3</v>
      </c>
      <c r="G449" s="21">
        <v>3</v>
      </c>
      <c r="H449" s="21">
        <v>43</v>
      </c>
      <c r="I449" s="21">
        <v>8</v>
      </c>
      <c r="J449" s="21">
        <f>SUM(DataTbl[[#This Row],[Likes]:[Shares]])</f>
        <v>47</v>
      </c>
      <c r="K449" s="24">
        <f>DataTbl[[#This Row],[Engagement]]/DataTbl[[#This Row],[Views]]</f>
        <v>5.9268600252206809E-2</v>
      </c>
      <c r="L449" s="21">
        <f>SUM(DataTbl[[#This Row],[Profile Visits]:[New Followers]])</f>
        <v>51</v>
      </c>
    </row>
    <row r="450" spans="1:12" x14ac:dyDescent="0.3">
      <c r="A450" s="42">
        <v>46011</v>
      </c>
      <c r="B450" s="21">
        <v>850</v>
      </c>
      <c r="C450" s="21">
        <v>22950</v>
      </c>
      <c r="D450" s="21">
        <v>26</v>
      </c>
      <c r="E450" s="21">
        <v>10</v>
      </c>
      <c r="F450" s="21">
        <v>2</v>
      </c>
      <c r="G450" s="21">
        <v>3</v>
      </c>
      <c r="H450" s="21">
        <v>51</v>
      </c>
      <c r="I450" s="21">
        <v>9</v>
      </c>
      <c r="J450" s="21">
        <f>SUM(DataTbl[[#This Row],[Likes]:[Shares]])</f>
        <v>41</v>
      </c>
      <c r="K450" s="24">
        <f>DataTbl[[#This Row],[Engagement]]/DataTbl[[#This Row],[Views]]</f>
        <v>4.8235294117647057E-2</v>
      </c>
      <c r="L450" s="21">
        <f>SUM(DataTbl[[#This Row],[Profile Visits]:[New Followers]])</f>
        <v>60</v>
      </c>
    </row>
    <row r="451" spans="1:12" x14ac:dyDescent="0.3">
      <c r="A451" s="42">
        <v>46012</v>
      </c>
      <c r="B451" s="21">
        <v>752</v>
      </c>
      <c r="C451" s="21">
        <v>17296</v>
      </c>
      <c r="D451" s="21">
        <v>24</v>
      </c>
      <c r="E451" s="21">
        <v>8</v>
      </c>
      <c r="F451" s="21">
        <v>2</v>
      </c>
      <c r="G451" s="21">
        <v>3</v>
      </c>
      <c r="H451" s="21">
        <v>55</v>
      </c>
      <c r="I451" s="21">
        <v>7</v>
      </c>
      <c r="J451" s="21">
        <f>SUM(DataTbl[[#This Row],[Likes]:[Shares]])</f>
        <v>37</v>
      </c>
      <c r="K451" s="24">
        <f>DataTbl[[#This Row],[Engagement]]/DataTbl[[#This Row],[Views]]</f>
        <v>4.920212765957447E-2</v>
      </c>
      <c r="L451" s="21">
        <f>SUM(DataTbl[[#This Row],[Profile Visits]:[New Followers]])</f>
        <v>62</v>
      </c>
    </row>
    <row r="452" spans="1:12" x14ac:dyDescent="0.3">
      <c r="A452" s="42">
        <v>46013</v>
      </c>
      <c r="B452" s="21">
        <v>668</v>
      </c>
      <c r="C452" s="21">
        <v>13360</v>
      </c>
      <c r="D452" s="21">
        <v>25</v>
      </c>
      <c r="E452" s="21">
        <v>9</v>
      </c>
      <c r="F452" s="21">
        <v>4</v>
      </c>
      <c r="G452" s="21">
        <v>3</v>
      </c>
      <c r="H452" s="21">
        <v>50</v>
      </c>
      <c r="I452" s="21">
        <v>9</v>
      </c>
      <c r="J452" s="21">
        <f>SUM(DataTbl[[#This Row],[Likes]:[Shares]])</f>
        <v>41</v>
      </c>
      <c r="K452" s="24">
        <f>DataTbl[[#This Row],[Engagement]]/DataTbl[[#This Row],[Views]]</f>
        <v>6.1377245508982034E-2</v>
      </c>
      <c r="L452" s="21">
        <f>SUM(DataTbl[[#This Row],[Profile Visits]:[New Followers]])</f>
        <v>59</v>
      </c>
    </row>
    <row r="453" spans="1:12" x14ac:dyDescent="0.3">
      <c r="A453" s="42">
        <v>46014</v>
      </c>
      <c r="B453" s="21">
        <v>1017</v>
      </c>
      <c r="C453" s="21">
        <v>25425</v>
      </c>
      <c r="D453" s="21">
        <v>21</v>
      </c>
      <c r="E453" s="21">
        <v>9</v>
      </c>
      <c r="F453" s="21">
        <v>3</v>
      </c>
      <c r="G453" s="21">
        <v>3</v>
      </c>
      <c r="H453" s="21">
        <v>76</v>
      </c>
      <c r="I453" s="21">
        <v>9</v>
      </c>
      <c r="J453" s="21">
        <f>SUM(DataTbl[[#This Row],[Likes]:[Shares]])</f>
        <v>36</v>
      </c>
      <c r="K453" s="24">
        <f>DataTbl[[#This Row],[Engagement]]/DataTbl[[#This Row],[Views]]</f>
        <v>3.5398230088495575E-2</v>
      </c>
      <c r="L453" s="21">
        <f>SUM(DataTbl[[#This Row],[Profile Visits]:[New Followers]])</f>
        <v>85</v>
      </c>
    </row>
    <row r="454" spans="1:12" x14ac:dyDescent="0.3">
      <c r="A454" s="42">
        <v>46015</v>
      </c>
      <c r="B454" s="21">
        <v>1327</v>
      </c>
      <c r="C454" s="21">
        <v>43791</v>
      </c>
      <c r="D454" s="21">
        <v>40</v>
      </c>
      <c r="E454" s="21">
        <v>14</v>
      </c>
      <c r="F454" s="21">
        <v>4</v>
      </c>
      <c r="G454" s="21">
        <v>4</v>
      </c>
      <c r="H454" s="21">
        <v>81</v>
      </c>
      <c r="I454" s="21">
        <v>11</v>
      </c>
      <c r="J454" s="21">
        <f>SUM(DataTbl[[#This Row],[Likes]:[Shares]])</f>
        <v>62</v>
      </c>
      <c r="K454" s="24">
        <f>DataTbl[[#This Row],[Engagement]]/DataTbl[[#This Row],[Views]]</f>
        <v>4.672192916352675E-2</v>
      </c>
      <c r="L454" s="21">
        <f>SUM(DataTbl[[#This Row],[Profile Visits]:[New Followers]])</f>
        <v>92</v>
      </c>
    </row>
    <row r="455" spans="1:12" x14ac:dyDescent="0.3">
      <c r="A455" s="42">
        <v>46016</v>
      </c>
      <c r="B455" s="21">
        <v>1222</v>
      </c>
      <c r="C455" s="21">
        <v>30550</v>
      </c>
      <c r="D455" s="21">
        <v>47</v>
      </c>
      <c r="E455" s="21">
        <v>19</v>
      </c>
      <c r="F455" s="21">
        <v>5</v>
      </c>
      <c r="G455" s="21">
        <v>4</v>
      </c>
      <c r="H455" s="21">
        <v>77</v>
      </c>
      <c r="I455" s="21">
        <v>21</v>
      </c>
      <c r="J455" s="21">
        <f>SUM(DataTbl[[#This Row],[Likes]:[Shares]])</f>
        <v>75</v>
      </c>
      <c r="K455" s="24">
        <f>DataTbl[[#This Row],[Engagement]]/DataTbl[[#This Row],[Views]]</f>
        <v>6.137479541734861E-2</v>
      </c>
      <c r="L455" s="21">
        <f>SUM(DataTbl[[#This Row],[Profile Visits]:[New Followers]])</f>
        <v>98</v>
      </c>
    </row>
    <row r="456" spans="1:12" x14ac:dyDescent="0.3">
      <c r="A456" s="42">
        <v>46017</v>
      </c>
      <c r="B456" s="21">
        <v>1387</v>
      </c>
      <c r="C456" s="21">
        <v>30514</v>
      </c>
      <c r="D456" s="21">
        <v>38</v>
      </c>
      <c r="E456" s="21">
        <v>18</v>
      </c>
      <c r="F456" s="21">
        <v>5</v>
      </c>
      <c r="G456" s="21">
        <v>6</v>
      </c>
      <c r="H456" s="21">
        <v>101</v>
      </c>
      <c r="I456" s="21">
        <v>14</v>
      </c>
      <c r="J456" s="21">
        <f>SUM(DataTbl[[#This Row],[Likes]:[Shares]])</f>
        <v>67</v>
      </c>
      <c r="K456" s="24">
        <f>DataTbl[[#This Row],[Engagement]]/DataTbl[[#This Row],[Views]]</f>
        <v>4.830569574621485E-2</v>
      </c>
      <c r="L456" s="21">
        <f>SUM(DataTbl[[#This Row],[Profile Visits]:[New Followers]])</f>
        <v>115</v>
      </c>
    </row>
    <row r="457" spans="1:12" x14ac:dyDescent="0.3">
      <c r="A457" s="42">
        <v>46018</v>
      </c>
      <c r="B457" s="21">
        <v>700</v>
      </c>
      <c r="C457" s="21">
        <v>14000</v>
      </c>
      <c r="D457" s="21">
        <v>23</v>
      </c>
      <c r="E457" s="21">
        <v>9</v>
      </c>
      <c r="F457" s="21">
        <v>2</v>
      </c>
      <c r="G457" s="21">
        <v>2</v>
      </c>
      <c r="H457" s="21">
        <v>36</v>
      </c>
      <c r="I457" s="21">
        <v>6</v>
      </c>
      <c r="J457" s="21">
        <f>SUM(DataTbl[[#This Row],[Likes]:[Shares]])</f>
        <v>36</v>
      </c>
      <c r="K457" s="24">
        <f>DataTbl[[#This Row],[Engagement]]/DataTbl[[#This Row],[Views]]</f>
        <v>5.1428571428571428E-2</v>
      </c>
      <c r="L457" s="21">
        <f>SUM(DataTbl[[#This Row],[Profile Visits]:[New Followers]])</f>
        <v>42</v>
      </c>
    </row>
    <row r="458" spans="1:12" x14ac:dyDescent="0.3">
      <c r="A458" s="42">
        <v>46019</v>
      </c>
      <c r="B458" s="21">
        <v>1006</v>
      </c>
      <c r="C458" s="21">
        <v>31186</v>
      </c>
      <c r="D458" s="21">
        <v>28</v>
      </c>
      <c r="E458" s="21">
        <v>12</v>
      </c>
      <c r="F458" s="21">
        <v>3</v>
      </c>
      <c r="G458" s="21">
        <v>4</v>
      </c>
      <c r="H458" s="21">
        <v>61</v>
      </c>
      <c r="I458" s="21">
        <v>9</v>
      </c>
      <c r="J458" s="21">
        <f>SUM(DataTbl[[#This Row],[Likes]:[Shares]])</f>
        <v>47</v>
      </c>
      <c r="K458" s="24">
        <f>DataTbl[[#This Row],[Engagement]]/DataTbl[[#This Row],[Views]]</f>
        <v>4.6719681908548708E-2</v>
      </c>
      <c r="L458" s="21">
        <f>SUM(DataTbl[[#This Row],[Profile Visits]:[New Followers]])</f>
        <v>70</v>
      </c>
    </row>
    <row r="459" spans="1:12" x14ac:dyDescent="0.3">
      <c r="A459" s="42">
        <v>46020</v>
      </c>
      <c r="B459" s="21">
        <v>681</v>
      </c>
      <c r="C459" s="21">
        <v>12258</v>
      </c>
      <c r="D459" s="21">
        <v>22</v>
      </c>
      <c r="E459" s="21">
        <v>10</v>
      </c>
      <c r="F459" s="21">
        <v>2</v>
      </c>
      <c r="G459" s="21">
        <v>2</v>
      </c>
      <c r="H459" s="21">
        <v>44</v>
      </c>
      <c r="I459" s="21">
        <v>9</v>
      </c>
      <c r="J459" s="21">
        <f>SUM(DataTbl[[#This Row],[Likes]:[Shares]])</f>
        <v>36</v>
      </c>
      <c r="K459" s="24">
        <f>DataTbl[[#This Row],[Engagement]]/DataTbl[[#This Row],[Views]]</f>
        <v>5.2863436123348019E-2</v>
      </c>
      <c r="L459" s="21">
        <f>SUM(DataTbl[[#This Row],[Profile Visits]:[New Followers]])</f>
        <v>53</v>
      </c>
    </row>
    <row r="460" spans="1:12" x14ac:dyDescent="0.3">
      <c r="A460" s="42">
        <v>46021</v>
      </c>
      <c r="B460" s="21">
        <v>1252</v>
      </c>
      <c r="C460" s="21">
        <v>33804</v>
      </c>
      <c r="D460" s="21">
        <v>26</v>
      </c>
      <c r="E460" s="21">
        <v>9</v>
      </c>
      <c r="F460" s="21">
        <v>3</v>
      </c>
      <c r="G460" s="21">
        <v>3</v>
      </c>
      <c r="H460" s="21">
        <v>74</v>
      </c>
      <c r="I460" s="21">
        <v>13</v>
      </c>
      <c r="J460" s="21">
        <f>SUM(DataTbl[[#This Row],[Likes]:[Shares]])</f>
        <v>41</v>
      </c>
      <c r="K460" s="24">
        <f>DataTbl[[#This Row],[Engagement]]/DataTbl[[#This Row],[Views]]</f>
        <v>3.2747603833865817E-2</v>
      </c>
      <c r="L460" s="21">
        <f>SUM(DataTbl[[#This Row],[Profile Visits]:[New Followers]])</f>
        <v>87</v>
      </c>
    </row>
    <row r="461" spans="1:12" x14ac:dyDescent="0.3">
      <c r="A461" s="42">
        <v>46022</v>
      </c>
      <c r="B461" s="21">
        <v>1642</v>
      </c>
      <c r="C461" s="21">
        <v>50902</v>
      </c>
      <c r="D461" s="21">
        <v>47</v>
      </c>
      <c r="E461" s="21">
        <v>23</v>
      </c>
      <c r="F461" s="21">
        <v>6</v>
      </c>
      <c r="G461" s="21">
        <v>5</v>
      </c>
      <c r="H461" s="21">
        <v>87</v>
      </c>
      <c r="I461" s="21">
        <v>17</v>
      </c>
      <c r="J461" s="21">
        <f>SUM(DataTbl[[#This Row],[Likes]:[Shares]])</f>
        <v>81</v>
      </c>
      <c r="K461" s="24">
        <f>DataTbl[[#This Row],[Engagement]]/DataTbl[[#This Row],[Views]]</f>
        <v>4.933008526187576E-2</v>
      </c>
      <c r="L461" s="21">
        <f>SUM(DataTbl[[#This Row],[Profile Visits]:[New Followers]])</f>
        <v>104</v>
      </c>
    </row>
    <row r="462" spans="1:12" x14ac:dyDescent="0.3">
      <c r="A462" s="42">
        <v>46023</v>
      </c>
      <c r="B462" s="21">
        <v>1237</v>
      </c>
      <c r="C462" s="21">
        <v>30925</v>
      </c>
      <c r="D462" s="21">
        <v>37</v>
      </c>
      <c r="E462" s="21">
        <v>18</v>
      </c>
      <c r="F462" s="21">
        <v>3</v>
      </c>
      <c r="G462" s="21">
        <v>3</v>
      </c>
      <c r="H462" s="21">
        <v>51</v>
      </c>
      <c r="I462" s="21">
        <v>17</v>
      </c>
      <c r="J462" s="21">
        <f>SUM(DataTbl[[#This Row],[Likes]:[Shares]])</f>
        <v>61</v>
      </c>
      <c r="K462" s="24">
        <f>DataTbl[[#This Row],[Engagement]]/DataTbl[[#This Row],[Views]]</f>
        <v>4.9312853678253839E-2</v>
      </c>
      <c r="L462" s="21">
        <f>SUM(DataTbl[[#This Row],[Profile Visits]:[New Followers]])</f>
        <v>68</v>
      </c>
    </row>
    <row r="463" spans="1:12" x14ac:dyDescent="0.3">
      <c r="A463" s="42">
        <v>46024</v>
      </c>
      <c r="B463" s="21">
        <v>605</v>
      </c>
      <c r="C463" s="21">
        <v>13310</v>
      </c>
      <c r="D463" s="21">
        <v>25</v>
      </c>
      <c r="E463" s="21">
        <v>13</v>
      </c>
      <c r="F463" s="21">
        <v>2</v>
      </c>
      <c r="G463" s="21">
        <v>2</v>
      </c>
      <c r="H463" s="21">
        <v>45</v>
      </c>
      <c r="I463" s="21">
        <v>8</v>
      </c>
      <c r="J463" s="21">
        <f>SUM(DataTbl[[#This Row],[Likes]:[Shares]])</f>
        <v>42</v>
      </c>
      <c r="K463" s="24">
        <f>DataTbl[[#This Row],[Engagement]]/DataTbl[[#This Row],[Views]]</f>
        <v>6.9421487603305784E-2</v>
      </c>
      <c r="L463" s="21">
        <f>SUM(DataTbl[[#This Row],[Profile Visits]:[New Followers]])</f>
        <v>53</v>
      </c>
    </row>
    <row r="464" spans="1:12" x14ac:dyDescent="0.3">
      <c r="A464" s="42">
        <v>46025</v>
      </c>
      <c r="B464" s="21">
        <v>718</v>
      </c>
      <c r="C464" s="21">
        <v>19386</v>
      </c>
      <c r="D464" s="21">
        <v>19</v>
      </c>
      <c r="E464" s="21">
        <v>7</v>
      </c>
      <c r="F464" s="21">
        <v>2</v>
      </c>
      <c r="G464" s="21">
        <v>2</v>
      </c>
      <c r="H464" s="21">
        <v>31</v>
      </c>
      <c r="I464" s="21">
        <v>5</v>
      </c>
      <c r="J464" s="21">
        <f>SUM(DataTbl[[#This Row],[Likes]:[Shares]])</f>
        <v>30</v>
      </c>
      <c r="K464" s="24">
        <f>DataTbl[[#This Row],[Engagement]]/DataTbl[[#This Row],[Views]]</f>
        <v>4.1782729805013928E-2</v>
      </c>
      <c r="L464" s="21">
        <f>SUM(DataTbl[[#This Row],[Profile Visits]:[New Followers]])</f>
        <v>36</v>
      </c>
    </row>
    <row r="465" spans="1:12" x14ac:dyDescent="0.3">
      <c r="A465" s="42">
        <v>46026</v>
      </c>
      <c r="B465" s="21">
        <v>857</v>
      </c>
      <c r="C465" s="21">
        <v>29138</v>
      </c>
      <c r="D465" s="21">
        <v>40</v>
      </c>
      <c r="E465" s="21">
        <v>15</v>
      </c>
      <c r="F465" s="21">
        <v>6</v>
      </c>
      <c r="G465" s="21">
        <v>3</v>
      </c>
      <c r="H465" s="21">
        <v>35</v>
      </c>
      <c r="I465" s="21">
        <v>6</v>
      </c>
      <c r="J465" s="21">
        <f>SUM(DataTbl[[#This Row],[Likes]:[Shares]])</f>
        <v>64</v>
      </c>
      <c r="K465" s="24">
        <f>DataTbl[[#This Row],[Engagement]]/DataTbl[[#This Row],[Views]]</f>
        <v>7.4679113185530915E-2</v>
      </c>
      <c r="L465" s="21">
        <f>SUM(DataTbl[[#This Row],[Profile Visits]:[New Followers]])</f>
        <v>41</v>
      </c>
    </row>
    <row r="466" spans="1:12" x14ac:dyDescent="0.3">
      <c r="A466" s="42">
        <v>46027</v>
      </c>
      <c r="B466" s="21">
        <v>844</v>
      </c>
      <c r="C466" s="21">
        <v>27008</v>
      </c>
      <c r="D466" s="21">
        <v>23</v>
      </c>
      <c r="E466" s="21">
        <v>9</v>
      </c>
      <c r="F466" s="21">
        <v>4</v>
      </c>
      <c r="G466" s="21">
        <v>3</v>
      </c>
      <c r="H466" s="21">
        <v>60</v>
      </c>
      <c r="I466" s="21">
        <v>10</v>
      </c>
      <c r="J466" s="21">
        <f>SUM(DataTbl[[#This Row],[Likes]:[Shares]])</f>
        <v>39</v>
      </c>
      <c r="K466" s="24">
        <f>DataTbl[[#This Row],[Engagement]]/DataTbl[[#This Row],[Views]]</f>
        <v>4.6208530805687202E-2</v>
      </c>
      <c r="L466" s="21">
        <f>SUM(DataTbl[[#This Row],[Profile Visits]:[New Followers]])</f>
        <v>70</v>
      </c>
    </row>
    <row r="467" spans="1:12" x14ac:dyDescent="0.3">
      <c r="A467" s="42">
        <v>46028</v>
      </c>
      <c r="B467" s="21">
        <v>722</v>
      </c>
      <c r="C467" s="21">
        <v>23104</v>
      </c>
      <c r="D467" s="21">
        <v>21</v>
      </c>
      <c r="E467" s="21">
        <v>8</v>
      </c>
      <c r="F467" s="21">
        <v>2</v>
      </c>
      <c r="G467" s="21">
        <v>2</v>
      </c>
      <c r="H467" s="21">
        <v>30</v>
      </c>
      <c r="I467" s="21">
        <v>6</v>
      </c>
      <c r="J467" s="21">
        <f>SUM(DataTbl[[#This Row],[Likes]:[Shares]])</f>
        <v>33</v>
      </c>
      <c r="K467" s="24">
        <f>DataTbl[[#This Row],[Engagement]]/DataTbl[[#This Row],[Views]]</f>
        <v>4.5706371191135735E-2</v>
      </c>
      <c r="L467" s="21">
        <f>SUM(DataTbl[[#This Row],[Profile Visits]:[New Followers]])</f>
        <v>36</v>
      </c>
    </row>
    <row r="468" spans="1:12" x14ac:dyDescent="0.3">
      <c r="A468" s="42">
        <v>46029</v>
      </c>
      <c r="B468" s="21">
        <v>684</v>
      </c>
      <c r="C468" s="21">
        <v>14364</v>
      </c>
      <c r="D468" s="21">
        <v>23</v>
      </c>
      <c r="E468" s="21">
        <v>11</v>
      </c>
      <c r="F468" s="21">
        <v>3</v>
      </c>
      <c r="G468" s="21">
        <v>4</v>
      </c>
      <c r="H468" s="21">
        <v>33</v>
      </c>
      <c r="I468" s="21">
        <v>6</v>
      </c>
      <c r="J468" s="21">
        <f>SUM(DataTbl[[#This Row],[Likes]:[Shares]])</f>
        <v>41</v>
      </c>
      <c r="K468" s="24">
        <f>DataTbl[[#This Row],[Engagement]]/DataTbl[[#This Row],[Views]]</f>
        <v>5.9941520467836254E-2</v>
      </c>
      <c r="L468" s="21">
        <f>SUM(DataTbl[[#This Row],[Profile Visits]:[New Followers]])</f>
        <v>39</v>
      </c>
    </row>
    <row r="469" spans="1:12" x14ac:dyDescent="0.3">
      <c r="A469" s="42">
        <v>46030</v>
      </c>
      <c r="B469" s="21">
        <v>666</v>
      </c>
      <c r="C469" s="21">
        <v>15318</v>
      </c>
      <c r="D469" s="21">
        <v>19</v>
      </c>
      <c r="E469" s="21">
        <v>10</v>
      </c>
      <c r="F469" s="21">
        <v>2</v>
      </c>
      <c r="G469" s="21">
        <v>3</v>
      </c>
      <c r="H469" s="21">
        <v>45</v>
      </c>
      <c r="I469" s="21">
        <v>5</v>
      </c>
      <c r="J469" s="21">
        <f>SUM(DataTbl[[#This Row],[Likes]:[Shares]])</f>
        <v>34</v>
      </c>
      <c r="K469" s="24">
        <f>DataTbl[[#This Row],[Engagement]]/DataTbl[[#This Row],[Views]]</f>
        <v>5.1051051051051052E-2</v>
      </c>
      <c r="L469" s="21">
        <f>SUM(DataTbl[[#This Row],[Profile Visits]:[New Followers]])</f>
        <v>50</v>
      </c>
    </row>
    <row r="470" spans="1:12" x14ac:dyDescent="0.3">
      <c r="A470" s="42">
        <v>46031</v>
      </c>
      <c r="B470" s="21">
        <v>729</v>
      </c>
      <c r="C470" s="21">
        <v>16038</v>
      </c>
      <c r="D470" s="21">
        <v>32</v>
      </c>
      <c r="E470" s="21">
        <v>14</v>
      </c>
      <c r="F470" s="21">
        <v>4</v>
      </c>
      <c r="G470" s="21">
        <v>3</v>
      </c>
      <c r="H470" s="21">
        <v>43</v>
      </c>
      <c r="I470" s="21">
        <v>4</v>
      </c>
      <c r="J470" s="21">
        <f>SUM(DataTbl[[#This Row],[Likes]:[Shares]])</f>
        <v>53</v>
      </c>
      <c r="K470" s="24">
        <f>DataTbl[[#This Row],[Engagement]]/DataTbl[[#This Row],[Views]]</f>
        <v>7.2702331961591218E-2</v>
      </c>
      <c r="L470" s="21">
        <f>SUM(DataTbl[[#This Row],[Profile Visits]:[New Followers]])</f>
        <v>47</v>
      </c>
    </row>
    <row r="471" spans="1:12" x14ac:dyDescent="0.3">
      <c r="A471" s="42">
        <v>46032</v>
      </c>
      <c r="B471" s="21">
        <v>879</v>
      </c>
      <c r="C471" s="21">
        <v>28128</v>
      </c>
      <c r="D471" s="21">
        <v>26</v>
      </c>
      <c r="E471" s="21">
        <v>10</v>
      </c>
      <c r="F471" s="21">
        <v>4</v>
      </c>
      <c r="G471" s="21">
        <v>3</v>
      </c>
      <c r="H471" s="21">
        <v>41</v>
      </c>
      <c r="I471" s="21">
        <v>6</v>
      </c>
      <c r="J471" s="21">
        <f>SUM(DataTbl[[#This Row],[Likes]:[Shares]])</f>
        <v>43</v>
      </c>
      <c r="K471" s="24">
        <f>DataTbl[[#This Row],[Engagement]]/DataTbl[[#This Row],[Views]]</f>
        <v>4.8919226393629126E-2</v>
      </c>
      <c r="L471" s="21">
        <f>SUM(DataTbl[[#This Row],[Profile Visits]:[New Followers]])</f>
        <v>47</v>
      </c>
    </row>
    <row r="472" spans="1:12" x14ac:dyDescent="0.3">
      <c r="A472" s="42">
        <v>46033</v>
      </c>
      <c r="B472" s="21">
        <v>869</v>
      </c>
      <c r="C472" s="21">
        <v>26939</v>
      </c>
      <c r="D472" s="21">
        <v>32</v>
      </c>
      <c r="E472" s="21">
        <v>15</v>
      </c>
      <c r="F472" s="21">
        <v>4</v>
      </c>
      <c r="G472" s="21">
        <v>5</v>
      </c>
      <c r="H472" s="21">
        <v>42</v>
      </c>
      <c r="I472" s="21">
        <v>7</v>
      </c>
      <c r="J472" s="21">
        <f>SUM(DataTbl[[#This Row],[Likes]:[Shares]])</f>
        <v>56</v>
      </c>
      <c r="K472" s="24">
        <f>DataTbl[[#This Row],[Engagement]]/DataTbl[[#This Row],[Views]]</f>
        <v>6.4441887226697359E-2</v>
      </c>
      <c r="L472" s="21">
        <f>SUM(DataTbl[[#This Row],[Profile Visits]:[New Followers]])</f>
        <v>49</v>
      </c>
    </row>
    <row r="473" spans="1:12" x14ac:dyDescent="0.3">
      <c r="A473" s="42">
        <v>46034</v>
      </c>
      <c r="B473" s="21">
        <v>704</v>
      </c>
      <c r="C473" s="21">
        <v>14784</v>
      </c>
      <c r="D473" s="21">
        <v>20</v>
      </c>
      <c r="E473" s="21">
        <v>8</v>
      </c>
      <c r="F473" s="21">
        <v>3</v>
      </c>
      <c r="G473" s="21">
        <v>3</v>
      </c>
      <c r="H473" s="21">
        <v>32</v>
      </c>
      <c r="I473" s="21">
        <v>4</v>
      </c>
      <c r="J473" s="21">
        <f>SUM(DataTbl[[#This Row],[Likes]:[Shares]])</f>
        <v>34</v>
      </c>
      <c r="K473" s="24">
        <f>DataTbl[[#This Row],[Engagement]]/DataTbl[[#This Row],[Views]]</f>
        <v>4.8295454545454544E-2</v>
      </c>
      <c r="L473" s="21">
        <f>SUM(DataTbl[[#This Row],[Profile Visits]:[New Followers]])</f>
        <v>36</v>
      </c>
    </row>
    <row r="474" spans="1:12" x14ac:dyDescent="0.3">
      <c r="A474" s="42">
        <v>46035</v>
      </c>
      <c r="B474" s="21">
        <v>672</v>
      </c>
      <c r="C474" s="21">
        <v>20160</v>
      </c>
      <c r="D474" s="21">
        <v>21</v>
      </c>
      <c r="E474" s="21">
        <v>7</v>
      </c>
      <c r="F474" s="21">
        <v>3</v>
      </c>
      <c r="G474" s="21">
        <v>2</v>
      </c>
      <c r="H474" s="21">
        <v>34</v>
      </c>
      <c r="I474" s="21">
        <v>5</v>
      </c>
      <c r="J474" s="21">
        <f>SUM(DataTbl[[#This Row],[Likes]:[Shares]])</f>
        <v>33</v>
      </c>
      <c r="K474" s="24">
        <f>DataTbl[[#This Row],[Engagement]]/DataTbl[[#This Row],[Views]]</f>
        <v>4.9107142857142856E-2</v>
      </c>
      <c r="L474" s="21">
        <f>SUM(DataTbl[[#This Row],[Profile Visits]:[New Followers]])</f>
        <v>39</v>
      </c>
    </row>
    <row r="475" spans="1:12" x14ac:dyDescent="0.3">
      <c r="A475" s="42">
        <v>46036</v>
      </c>
      <c r="B475" s="21">
        <v>668</v>
      </c>
      <c r="C475" s="21">
        <v>17368</v>
      </c>
      <c r="D475" s="21">
        <v>25</v>
      </c>
      <c r="E475" s="21">
        <v>10</v>
      </c>
      <c r="F475" s="21">
        <v>4</v>
      </c>
      <c r="G475" s="21">
        <v>4</v>
      </c>
      <c r="H475" s="21">
        <v>28</v>
      </c>
      <c r="I475" s="21">
        <v>5</v>
      </c>
      <c r="J475" s="21">
        <f>SUM(DataTbl[[#This Row],[Likes]:[Shares]])</f>
        <v>43</v>
      </c>
      <c r="K475" s="24">
        <f>DataTbl[[#This Row],[Engagement]]/DataTbl[[#This Row],[Views]]</f>
        <v>6.4371257485029934E-2</v>
      </c>
      <c r="L475" s="21">
        <f>SUM(DataTbl[[#This Row],[Profile Visits]:[New Followers]])</f>
        <v>33</v>
      </c>
    </row>
    <row r="476" spans="1:12" x14ac:dyDescent="0.3">
      <c r="A476" s="42">
        <v>46037</v>
      </c>
      <c r="B476" s="21">
        <v>853</v>
      </c>
      <c r="C476" s="21">
        <v>16207</v>
      </c>
      <c r="D476" s="21">
        <v>36</v>
      </c>
      <c r="E476" s="21">
        <v>15</v>
      </c>
      <c r="F476" s="21">
        <v>4</v>
      </c>
      <c r="G476" s="21">
        <v>4</v>
      </c>
      <c r="H476" s="21">
        <v>35</v>
      </c>
      <c r="I476" s="21">
        <v>6</v>
      </c>
      <c r="J476" s="21">
        <f>SUM(DataTbl[[#This Row],[Likes]:[Shares]])</f>
        <v>59</v>
      </c>
      <c r="K476" s="24">
        <f>DataTbl[[#This Row],[Engagement]]/DataTbl[[#This Row],[Views]]</f>
        <v>6.9167643610785465E-2</v>
      </c>
      <c r="L476" s="21">
        <f>SUM(DataTbl[[#This Row],[Profile Visits]:[New Followers]])</f>
        <v>41</v>
      </c>
    </row>
    <row r="477" spans="1:12" x14ac:dyDescent="0.3">
      <c r="A477" s="42">
        <v>46038</v>
      </c>
      <c r="B477" s="21">
        <v>635</v>
      </c>
      <c r="C477" s="21">
        <v>19050</v>
      </c>
      <c r="D477" s="21">
        <v>26</v>
      </c>
      <c r="E477" s="21">
        <v>11</v>
      </c>
      <c r="F477" s="21">
        <v>3</v>
      </c>
      <c r="G477" s="21">
        <v>3</v>
      </c>
      <c r="H477" s="21">
        <v>33</v>
      </c>
      <c r="I477" s="21">
        <v>4</v>
      </c>
      <c r="J477" s="21">
        <f>SUM(DataTbl[[#This Row],[Likes]:[Shares]])</f>
        <v>43</v>
      </c>
      <c r="K477" s="24">
        <f>DataTbl[[#This Row],[Engagement]]/DataTbl[[#This Row],[Views]]</f>
        <v>6.7716535433070865E-2</v>
      </c>
      <c r="L477" s="21">
        <f>SUM(DataTbl[[#This Row],[Profile Visits]:[New Followers]])</f>
        <v>37</v>
      </c>
    </row>
    <row r="478" spans="1:12" x14ac:dyDescent="0.3">
      <c r="A478" s="42">
        <v>46039</v>
      </c>
      <c r="B478" s="21">
        <v>726</v>
      </c>
      <c r="C478" s="21">
        <v>24684</v>
      </c>
      <c r="D478" s="21">
        <v>22</v>
      </c>
      <c r="E478" s="21">
        <v>9</v>
      </c>
      <c r="F478" s="21">
        <v>3</v>
      </c>
      <c r="G478" s="21">
        <v>2</v>
      </c>
      <c r="H478" s="21">
        <v>31</v>
      </c>
      <c r="I478" s="21">
        <v>4</v>
      </c>
      <c r="J478" s="21">
        <f>SUM(DataTbl[[#This Row],[Likes]:[Shares]])</f>
        <v>36</v>
      </c>
      <c r="K478" s="24">
        <f>DataTbl[[#This Row],[Engagement]]/DataTbl[[#This Row],[Views]]</f>
        <v>4.9586776859504134E-2</v>
      </c>
      <c r="L478" s="21">
        <f>SUM(DataTbl[[#This Row],[Profile Visits]:[New Followers]])</f>
        <v>35</v>
      </c>
    </row>
    <row r="479" spans="1:12" x14ac:dyDescent="0.3">
      <c r="A479" s="42">
        <v>46040</v>
      </c>
      <c r="B479" s="21">
        <v>795</v>
      </c>
      <c r="C479" s="21">
        <v>23055</v>
      </c>
      <c r="D479" s="21">
        <v>19</v>
      </c>
      <c r="E479" s="21">
        <v>7</v>
      </c>
      <c r="F479" s="21">
        <v>2</v>
      </c>
      <c r="G479" s="21">
        <v>3</v>
      </c>
      <c r="H479" s="21">
        <v>36</v>
      </c>
      <c r="I479" s="21">
        <v>4</v>
      </c>
      <c r="J479" s="21">
        <f>SUM(DataTbl[[#This Row],[Likes]:[Shares]])</f>
        <v>31</v>
      </c>
      <c r="K479" s="24">
        <f>DataTbl[[#This Row],[Engagement]]/DataTbl[[#This Row],[Views]]</f>
        <v>3.8993710691823898E-2</v>
      </c>
      <c r="L479" s="21">
        <f>SUM(DataTbl[[#This Row],[Profile Visits]:[New Followers]])</f>
        <v>40</v>
      </c>
    </row>
    <row r="480" spans="1:12" x14ac:dyDescent="0.3">
      <c r="A480" s="42">
        <v>46041</v>
      </c>
      <c r="B480" s="21">
        <v>790</v>
      </c>
      <c r="C480" s="21">
        <v>26070</v>
      </c>
      <c r="D480" s="21">
        <v>26</v>
      </c>
      <c r="E480" s="21">
        <v>11</v>
      </c>
      <c r="F480" s="21">
        <v>3</v>
      </c>
      <c r="G480" s="21">
        <v>3</v>
      </c>
      <c r="H480" s="21">
        <v>45</v>
      </c>
      <c r="I480" s="21">
        <v>8</v>
      </c>
      <c r="J480" s="21">
        <f>SUM(DataTbl[[#This Row],[Likes]:[Shares]])</f>
        <v>43</v>
      </c>
      <c r="K480" s="24">
        <f>DataTbl[[#This Row],[Engagement]]/DataTbl[[#This Row],[Views]]</f>
        <v>5.4430379746835442E-2</v>
      </c>
      <c r="L480" s="21">
        <f>SUM(DataTbl[[#This Row],[Profile Visits]:[New Followers]])</f>
        <v>53</v>
      </c>
    </row>
    <row r="481" spans="1:12" x14ac:dyDescent="0.3">
      <c r="A481" s="42">
        <v>46042</v>
      </c>
      <c r="B481" s="21">
        <v>601</v>
      </c>
      <c r="C481" s="21">
        <v>10818</v>
      </c>
      <c r="D481" s="21">
        <v>23</v>
      </c>
      <c r="E481" s="21">
        <v>10</v>
      </c>
      <c r="F481" s="21">
        <v>4</v>
      </c>
      <c r="G481" s="21">
        <v>2</v>
      </c>
      <c r="H481" s="21">
        <v>28</v>
      </c>
      <c r="I481" s="21">
        <v>5</v>
      </c>
      <c r="J481" s="21">
        <f>SUM(DataTbl[[#This Row],[Likes]:[Shares]])</f>
        <v>39</v>
      </c>
      <c r="K481" s="24">
        <f>DataTbl[[#This Row],[Engagement]]/DataTbl[[#This Row],[Views]]</f>
        <v>6.4891846921797003E-2</v>
      </c>
      <c r="L481" s="21">
        <f>SUM(DataTbl[[#This Row],[Profile Visits]:[New Followers]])</f>
        <v>33</v>
      </c>
    </row>
    <row r="482" spans="1:12" x14ac:dyDescent="0.3">
      <c r="A482" s="42">
        <v>46043</v>
      </c>
      <c r="B482" s="21">
        <v>656</v>
      </c>
      <c r="C482" s="21">
        <v>13776</v>
      </c>
      <c r="D482" s="21">
        <v>21</v>
      </c>
      <c r="E482" s="21">
        <v>10</v>
      </c>
      <c r="F482" s="21">
        <v>3</v>
      </c>
      <c r="G482" s="21">
        <v>3</v>
      </c>
      <c r="H482" s="21">
        <v>36</v>
      </c>
      <c r="I482" s="21">
        <v>7</v>
      </c>
      <c r="J482" s="21">
        <f>SUM(DataTbl[[#This Row],[Likes]:[Shares]])</f>
        <v>37</v>
      </c>
      <c r="K482" s="24">
        <f>DataTbl[[#This Row],[Engagement]]/DataTbl[[#This Row],[Views]]</f>
        <v>5.6402439024390245E-2</v>
      </c>
      <c r="L482" s="21">
        <f>SUM(DataTbl[[#This Row],[Profile Visits]:[New Followers]])</f>
        <v>43</v>
      </c>
    </row>
    <row r="483" spans="1:12" x14ac:dyDescent="0.3">
      <c r="A483" s="42">
        <v>46044</v>
      </c>
      <c r="B483" s="21">
        <v>737</v>
      </c>
      <c r="C483" s="21">
        <v>14003</v>
      </c>
      <c r="D483" s="21">
        <v>33</v>
      </c>
      <c r="E483" s="21">
        <v>12</v>
      </c>
      <c r="F483" s="21">
        <v>4</v>
      </c>
      <c r="G483" s="21">
        <v>3</v>
      </c>
      <c r="H483" s="21">
        <v>45</v>
      </c>
      <c r="I483" s="21">
        <v>9</v>
      </c>
      <c r="J483" s="21">
        <f>SUM(DataTbl[[#This Row],[Likes]:[Shares]])</f>
        <v>52</v>
      </c>
      <c r="K483" s="24">
        <f>DataTbl[[#This Row],[Engagement]]/DataTbl[[#This Row],[Views]]</f>
        <v>7.055630936227951E-2</v>
      </c>
      <c r="L483" s="21">
        <f>SUM(DataTbl[[#This Row],[Profile Visits]:[New Followers]])</f>
        <v>54</v>
      </c>
    </row>
    <row r="484" spans="1:12" x14ac:dyDescent="0.3">
      <c r="A484" s="42">
        <v>46045</v>
      </c>
      <c r="B484" s="21">
        <v>736</v>
      </c>
      <c r="C484" s="21">
        <v>20608</v>
      </c>
      <c r="D484" s="21">
        <v>26</v>
      </c>
      <c r="E484" s="21">
        <v>13</v>
      </c>
      <c r="F484" s="21">
        <v>2</v>
      </c>
      <c r="G484" s="21">
        <v>4</v>
      </c>
      <c r="H484" s="21">
        <v>54</v>
      </c>
      <c r="I484" s="21">
        <v>8</v>
      </c>
      <c r="J484" s="21">
        <f>SUM(DataTbl[[#This Row],[Likes]:[Shares]])</f>
        <v>45</v>
      </c>
      <c r="K484" s="24">
        <f>DataTbl[[#This Row],[Engagement]]/DataTbl[[#This Row],[Views]]</f>
        <v>6.1141304347826088E-2</v>
      </c>
      <c r="L484" s="21">
        <f>SUM(DataTbl[[#This Row],[Profile Visits]:[New Followers]])</f>
        <v>62</v>
      </c>
    </row>
    <row r="485" spans="1:12" x14ac:dyDescent="0.3">
      <c r="A485" s="42">
        <v>46046</v>
      </c>
      <c r="B485" s="21">
        <v>913</v>
      </c>
      <c r="C485" s="21">
        <v>18260</v>
      </c>
      <c r="D485" s="21">
        <v>22</v>
      </c>
      <c r="E485" s="21">
        <v>10</v>
      </c>
      <c r="F485" s="21">
        <v>3</v>
      </c>
      <c r="G485" s="21">
        <v>2</v>
      </c>
      <c r="H485" s="21">
        <v>38</v>
      </c>
      <c r="I485" s="21">
        <v>7</v>
      </c>
      <c r="J485" s="21">
        <f>SUM(DataTbl[[#This Row],[Likes]:[Shares]])</f>
        <v>37</v>
      </c>
      <c r="K485" s="24">
        <f>DataTbl[[#This Row],[Engagement]]/DataTbl[[#This Row],[Views]]</f>
        <v>4.0525739320920046E-2</v>
      </c>
      <c r="L485" s="21">
        <f>SUM(DataTbl[[#This Row],[Profile Visits]:[New Followers]])</f>
        <v>45</v>
      </c>
    </row>
    <row r="486" spans="1:12" x14ac:dyDescent="0.3">
      <c r="A486" s="42">
        <v>46047</v>
      </c>
      <c r="B486" s="21">
        <v>893</v>
      </c>
      <c r="C486" s="21">
        <v>22325</v>
      </c>
      <c r="D486" s="21">
        <v>32</v>
      </c>
      <c r="E486" s="21">
        <v>13</v>
      </c>
      <c r="F486" s="21">
        <v>6</v>
      </c>
      <c r="G486" s="21">
        <v>4</v>
      </c>
      <c r="H486" s="21">
        <v>41</v>
      </c>
      <c r="I486" s="21">
        <v>7</v>
      </c>
      <c r="J486" s="21">
        <f>SUM(DataTbl[[#This Row],[Likes]:[Shares]])</f>
        <v>55</v>
      </c>
      <c r="K486" s="24">
        <f>DataTbl[[#This Row],[Engagement]]/DataTbl[[#This Row],[Views]]</f>
        <v>6.1590145576707729E-2</v>
      </c>
      <c r="L486" s="21">
        <f>SUM(DataTbl[[#This Row],[Profile Visits]:[New Followers]])</f>
        <v>48</v>
      </c>
    </row>
    <row r="487" spans="1:12" x14ac:dyDescent="0.3">
      <c r="A487" s="42">
        <v>46048</v>
      </c>
      <c r="B487" s="21">
        <v>759</v>
      </c>
      <c r="C487" s="21">
        <v>20493</v>
      </c>
      <c r="D487" s="21">
        <v>16</v>
      </c>
      <c r="E487" s="21">
        <v>6</v>
      </c>
      <c r="F487" s="21">
        <v>2</v>
      </c>
      <c r="G487" s="21">
        <v>1</v>
      </c>
      <c r="H487" s="21">
        <v>37</v>
      </c>
      <c r="I487" s="21">
        <v>4</v>
      </c>
      <c r="J487" s="21">
        <f>SUM(DataTbl[[#This Row],[Likes]:[Shares]])</f>
        <v>25</v>
      </c>
      <c r="K487" s="24">
        <f>DataTbl[[#This Row],[Engagement]]/DataTbl[[#This Row],[Views]]</f>
        <v>3.2938076416337288E-2</v>
      </c>
      <c r="L487" s="21">
        <f>SUM(DataTbl[[#This Row],[Profile Visits]:[New Followers]])</f>
        <v>41</v>
      </c>
    </row>
    <row r="488" spans="1:12" x14ac:dyDescent="0.3">
      <c r="A488" s="42">
        <v>46049</v>
      </c>
      <c r="B488" s="21">
        <v>731</v>
      </c>
      <c r="C488" s="21">
        <v>17544</v>
      </c>
      <c r="D488" s="21">
        <v>24</v>
      </c>
      <c r="E488" s="21">
        <v>10</v>
      </c>
      <c r="F488" s="21">
        <v>3</v>
      </c>
      <c r="G488" s="21">
        <v>3</v>
      </c>
      <c r="H488" s="21">
        <v>54</v>
      </c>
      <c r="I488" s="21">
        <v>9</v>
      </c>
      <c r="J488" s="21">
        <f>SUM(DataTbl[[#This Row],[Likes]:[Shares]])</f>
        <v>40</v>
      </c>
      <c r="K488" s="24">
        <f>DataTbl[[#This Row],[Engagement]]/DataTbl[[#This Row],[Views]]</f>
        <v>5.4719562243502051E-2</v>
      </c>
      <c r="L488" s="21">
        <f>SUM(DataTbl[[#This Row],[Profile Visits]:[New Followers]])</f>
        <v>63</v>
      </c>
    </row>
    <row r="489" spans="1:12" x14ac:dyDescent="0.3">
      <c r="A489" s="42">
        <v>46050</v>
      </c>
      <c r="B489" s="21">
        <v>701</v>
      </c>
      <c r="C489" s="21">
        <v>14020</v>
      </c>
      <c r="D489" s="21">
        <v>18</v>
      </c>
      <c r="E489" s="21">
        <v>8</v>
      </c>
      <c r="F489" s="21">
        <v>2</v>
      </c>
      <c r="G489" s="21">
        <v>3</v>
      </c>
      <c r="H489" s="21">
        <v>47</v>
      </c>
      <c r="I489" s="21">
        <v>7</v>
      </c>
      <c r="J489" s="21">
        <f>SUM(DataTbl[[#This Row],[Likes]:[Shares]])</f>
        <v>31</v>
      </c>
      <c r="K489" s="24">
        <f>DataTbl[[#This Row],[Engagement]]/DataTbl[[#This Row],[Views]]</f>
        <v>4.4222539229671898E-2</v>
      </c>
      <c r="L489" s="21">
        <f>SUM(DataTbl[[#This Row],[Profile Visits]:[New Followers]])</f>
        <v>54</v>
      </c>
    </row>
    <row r="490" spans="1:12" x14ac:dyDescent="0.3">
      <c r="A490" s="42">
        <v>46051</v>
      </c>
      <c r="B490" s="21">
        <v>634</v>
      </c>
      <c r="C490" s="21">
        <v>17752</v>
      </c>
      <c r="D490" s="21">
        <v>20</v>
      </c>
      <c r="E490" s="21">
        <v>11</v>
      </c>
      <c r="F490" s="21">
        <v>3</v>
      </c>
      <c r="G490" s="21">
        <v>2</v>
      </c>
      <c r="H490" s="21">
        <v>37</v>
      </c>
      <c r="I490" s="21">
        <v>6</v>
      </c>
      <c r="J490" s="21">
        <f>SUM(DataTbl[[#This Row],[Likes]:[Shares]])</f>
        <v>36</v>
      </c>
      <c r="K490" s="24">
        <f>DataTbl[[#This Row],[Engagement]]/DataTbl[[#This Row],[Views]]</f>
        <v>5.6782334384858045E-2</v>
      </c>
      <c r="L490" s="21">
        <f>SUM(DataTbl[[#This Row],[Profile Visits]:[New Followers]])</f>
        <v>43</v>
      </c>
    </row>
    <row r="491" spans="1:12" x14ac:dyDescent="0.3">
      <c r="A491" s="42">
        <v>46052</v>
      </c>
      <c r="B491" s="21">
        <v>736</v>
      </c>
      <c r="C491" s="21">
        <v>22816</v>
      </c>
      <c r="D491" s="21">
        <v>16</v>
      </c>
      <c r="E491" s="21">
        <v>7</v>
      </c>
      <c r="F491" s="21">
        <v>2</v>
      </c>
      <c r="G491" s="21">
        <v>2</v>
      </c>
      <c r="H491" s="21">
        <v>53</v>
      </c>
      <c r="I491" s="21">
        <v>8</v>
      </c>
      <c r="J491" s="21">
        <f>SUM(DataTbl[[#This Row],[Likes]:[Shares]])</f>
        <v>27</v>
      </c>
      <c r="K491" s="24">
        <f>DataTbl[[#This Row],[Engagement]]/DataTbl[[#This Row],[Views]]</f>
        <v>3.6684782608695655E-2</v>
      </c>
      <c r="L491" s="21">
        <f>SUM(DataTbl[[#This Row],[Profile Visits]:[New Followers]])</f>
        <v>61</v>
      </c>
    </row>
    <row r="492" spans="1:12" x14ac:dyDescent="0.3">
      <c r="A492" s="42">
        <v>46053</v>
      </c>
      <c r="B492" s="21">
        <v>1016</v>
      </c>
      <c r="C492" s="21">
        <v>25400</v>
      </c>
      <c r="D492" s="21">
        <v>44</v>
      </c>
      <c r="E492" s="21">
        <v>15</v>
      </c>
      <c r="F492" s="21">
        <v>5</v>
      </c>
      <c r="G492" s="21">
        <v>4</v>
      </c>
      <c r="H492" s="21">
        <v>43</v>
      </c>
      <c r="I492" s="21">
        <v>6</v>
      </c>
      <c r="J492" s="21">
        <f>SUM(DataTbl[[#This Row],[Likes]:[Shares]])</f>
        <v>68</v>
      </c>
      <c r="K492" s="24">
        <f>DataTbl[[#This Row],[Engagement]]/DataTbl[[#This Row],[Views]]</f>
        <v>6.6929133858267723E-2</v>
      </c>
      <c r="L492" s="21">
        <f>SUM(DataTbl[[#This Row],[Profile Visits]:[New Followers]])</f>
        <v>49</v>
      </c>
    </row>
    <row r="493" spans="1:12" x14ac:dyDescent="0.3">
      <c r="A493" s="42">
        <v>46054</v>
      </c>
      <c r="B493" s="21">
        <v>908</v>
      </c>
      <c r="C493" s="21">
        <v>19068</v>
      </c>
      <c r="D493" s="21">
        <v>35</v>
      </c>
      <c r="E493" s="21">
        <v>17</v>
      </c>
      <c r="F493" s="21">
        <v>6</v>
      </c>
      <c r="G493" s="21">
        <v>4</v>
      </c>
      <c r="H493" s="21">
        <v>57</v>
      </c>
      <c r="I493" s="21">
        <v>7</v>
      </c>
      <c r="J493" s="21">
        <f>SUM(DataTbl[[#This Row],[Likes]:[Shares]])</f>
        <v>62</v>
      </c>
      <c r="K493" s="24">
        <f>DataTbl[[#This Row],[Engagement]]/DataTbl[[#This Row],[Views]]</f>
        <v>6.8281938325991193E-2</v>
      </c>
      <c r="L493" s="21">
        <f>SUM(DataTbl[[#This Row],[Profile Visits]:[New Followers]])</f>
        <v>64</v>
      </c>
    </row>
    <row r="494" spans="1:12" x14ac:dyDescent="0.3">
      <c r="A494" s="42">
        <v>46055</v>
      </c>
      <c r="B494" s="21">
        <v>815</v>
      </c>
      <c r="C494" s="21">
        <v>17115</v>
      </c>
      <c r="D494" s="21">
        <v>26</v>
      </c>
      <c r="E494" s="21">
        <v>9</v>
      </c>
      <c r="F494" s="21">
        <v>2</v>
      </c>
      <c r="G494" s="21">
        <v>2</v>
      </c>
      <c r="H494" s="21">
        <v>46</v>
      </c>
      <c r="I494" s="21">
        <v>8</v>
      </c>
      <c r="J494" s="21">
        <f>SUM(DataTbl[[#This Row],[Likes]:[Shares]])</f>
        <v>39</v>
      </c>
      <c r="K494" s="24">
        <f>DataTbl[[#This Row],[Engagement]]/DataTbl[[#This Row],[Views]]</f>
        <v>4.785276073619632E-2</v>
      </c>
      <c r="L494" s="21">
        <f>SUM(DataTbl[[#This Row],[Profile Visits]:[New Followers]])</f>
        <v>54</v>
      </c>
    </row>
    <row r="495" spans="1:12" x14ac:dyDescent="0.3">
      <c r="A495" s="42">
        <v>46056</v>
      </c>
      <c r="B495" s="21">
        <v>808</v>
      </c>
      <c r="C495" s="21">
        <v>15352</v>
      </c>
      <c r="D495" s="21">
        <v>17</v>
      </c>
      <c r="E495" s="21">
        <v>9</v>
      </c>
      <c r="F495" s="21">
        <v>2</v>
      </c>
      <c r="G495" s="21">
        <v>2</v>
      </c>
      <c r="H495" s="21">
        <v>60</v>
      </c>
      <c r="I495" s="21">
        <v>11</v>
      </c>
      <c r="J495" s="21">
        <f>SUM(DataTbl[[#This Row],[Likes]:[Shares]])</f>
        <v>30</v>
      </c>
      <c r="K495" s="24">
        <f>DataTbl[[#This Row],[Engagement]]/DataTbl[[#This Row],[Views]]</f>
        <v>3.7128712871287127E-2</v>
      </c>
      <c r="L495" s="21">
        <f>SUM(DataTbl[[#This Row],[Profile Visits]:[New Followers]])</f>
        <v>71</v>
      </c>
    </row>
    <row r="496" spans="1:12" x14ac:dyDescent="0.3">
      <c r="A496" s="42">
        <v>46057</v>
      </c>
      <c r="B496" s="21">
        <v>673</v>
      </c>
      <c r="C496" s="21">
        <v>14806</v>
      </c>
      <c r="D496" s="21">
        <v>30</v>
      </c>
      <c r="E496" s="21">
        <v>13</v>
      </c>
      <c r="F496" s="21">
        <v>4</v>
      </c>
      <c r="G496" s="21">
        <v>5</v>
      </c>
      <c r="H496" s="21">
        <v>28</v>
      </c>
      <c r="I496" s="21">
        <v>3</v>
      </c>
      <c r="J496" s="21">
        <f>SUM(DataTbl[[#This Row],[Likes]:[Shares]])</f>
        <v>52</v>
      </c>
      <c r="K496" s="24">
        <f>DataTbl[[#This Row],[Engagement]]/DataTbl[[#This Row],[Views]]</f>
        <v>7.7265973254086184E-2</v>
      </c>
      <c r="L496" s="21">
        <f>SUM(DataTbl[[#This Row],[Profile Visits]:[New Followers]])</f>
        <v>31</v>
      </c>
    </row>
    <row r="497" spans="1:12" x14ac:dyDescent="0.3">
      <c r="A497" s="42">
        <v>46058</v>
      </c>
      <c r="B497" s="21">
        <v>736</v>
      </c>
      <c r="C497" s="21">
        <v>22080</v>
      </c>
      <c r="D497" s="21">
        <v>29</v>
      </c>
      <c r="E497" s="21">
        <v>11</v>
      </c>
      <c r="F497" s="21">
        <v>3</v>
      </c>
      <c r="G497" s="21">
        <v>3</v>
      </c>
      <c r="H497" s="21">
        <v>54</v>
      </c>
      <c r="I497" s="21">
        <v>9</v>
      </c>
      <c r="J497" s="21">
        <f>SUM(DataTbl[[#This Row],[Likes]:[Shares]])</f>
        <v>46</v>
      </c>
      <c r="K497" s="24">
        <f>DataTbl[[#This Row],[Engagement]]/DataTbl[[#This Row],[Views]]</f>
        <v>6.25E-2</v>
      </c>
      <c r="L497" s="21">
        <f>SUM(DataTbl[[#This Row],[Profile Visits]:[New Followers]])</f>
        <v>63</v>
      </c>
    </row>
    <row r="498" spans="1:12" x14ac:dyDescent="0.3">
      <c r="A498" s="42">
        <v>46059</v>
      </c>
      <c r="B498" s="21">
        <v>658</v>
      </c>
      <c r="C498" s="21">
        <v>13818</v>
      </c>
      <c r="D498" s="21">
        <v>30</v>
      </c>
      <c r="E498" s="21">
        <v>10</v>
      </c>
      <c r="F498" s="21">
        <v>3</v>
      </c>
      <c r="G498" s="21">
        <v>5</v>
      </c>
      <c r="H498" s="21">
        <v>29</v>
      </c>
      <c r="I498" s="21">
        <v>5</v>
      </c>
      <c r="J498" s="21">
        <f>SUM(DataTbl[[#This Row],[Likes]:[Shares]])</f>
        <v>48</v>
      </c>
      <c r="K498" s="24">
        <f>DataTbl[[#This Row],[Engagement]]/DataTbl[[#This Row],[Views]]</f>
        <v>7.29483282674772E-2</v>
      </c>
      <c r="L498" s="21">
        <f>SUM(DataTbl[[#This Row],[Profile Visits]:[New Followers]])</f>
        <v>34</v>
      </c>
    </row>
    <row r="499" spans="1:12" x14ac:dyDescent="0.3">
      <c r="A499" s="42">
        <v>46060</v>
      </c>
      <c r="B499" s="21">
        <v>1031</v>
      </c>
      <c r="C499" s="21">
        <v>28868</v>
      </c>
      <c r="D499" s="21">
        <v>32</v>
      </c>
      <c r="E499" s="21">
        <v>14</v>
      </c>
      <c r="F499" s="21">
        <v>4</v>
      </c>
      <c r="G499" s="21">
        <v>5</v>
      </c>
      <c r="H499" s="21">
        <v>55</v>
      </c>
      <c r="I499" s="21">
        <v>7</v>
      </c>
      <c r="J499" s="21">
        <f>SUM(DataTbl[[#This Row],[Likes]:[Shares]])</f>
        <v>55</v>
      </c>
      <c r="K499" s="24">
        <f>DataTbl[[#This Row],[Engagement]]/DataTbl[[#This Row],[Views]]</f>
        <v>5.33462657613967E-2</v>
      </c>
      <c r="L499" s="21">
        <f>SUM(DataTbl[[#This Row],[Profile Visits]:[New Followers]])</f>
        <v>62</v>
      </c>
    </row>
    <row r="500" spans="1:12" x14ac:dyDescent="0.3">
      <c r="A500" s="42">
        <v>46061</v>
      </c>
      <c r="B500" s="21">
        <v>1043</v>
      </c>
      <c r="C500" s="21">
        <v>26075</v>
      </c>
      <c r="D500" s="21">
        <v>48</v>
      </c>
      <c r="E500" s="21">
        <v>16</v>
      </c>
      <c r="F500" s="21">
        <v>7</v>
      </c>
      <c r="G500" s="21">
        <v>6</v>
      </c>
      <c r="H500" s="21">
        <v>65</v>
      </c>
      <c r="I500" s="21">
        <v>9</v>
      </c>
      <c r="J500" s="21">
        <f>SUM(DataTbl[[#This Row],[Likes]:[Shares]])</f>
        <v>77</v>
      </c>
      <c r="K500" s="24">
        <f>DataTbl[[#This Row],[Engagement]]/DataTbl[[#This Row],[Views]]</f>
        <v>7.3825503355704702E-2</v>
      </c>
      <c r="L500" s="21">
        <f>SUM(DataTbl[[#This Row],[Profile Visits]:[New Followers]])</f>
        <v>74</v>
      </c>
    </row>
    <row r="501" spans="1:12" x14ac:dyDescent="0.3">
      <c r="A501" s="42">
        <v>46062</v>
      </c>
      <c r="B501" s="21">
        <v>613</v>
      </c>
      <c r="C501" s="21">
        <v>12873</v>
      </c>
      <c r="D501" s="21">
        <v>22</v>
      </c>
      <c r="E501" s="21">
        <v>8</v>
      </c>
      <c r="F501" s="21">
        <v>3</v>
      </c>
      <c r="G501" s="21">
        <v>4</v>
      </c>
      <c r="H501" s="21">
        <v>44</v>
      </c>
      <c r="I501" s="21">
        <v>7</v>
      </c>
      <c r="J501" s="21">
        <f>SUM(DataTbl[[#This Row],[Likes]:[Shares]])</f>
        <v>37</v>
      </c>
      <c r="K501" s="24">
        <f>DataTbl[[#This Row],[Engagement]]/DataTbl[[#This Row],[Views]]</f>
        <v>6.0358890701468187E-2</v>
      </c>
      <c r="L501" s="21">
        <f>SUM(DataTbl[[#This Row],[Profile Visits]:[New Followers]])</f>
        <v>51</v>
      </c>
    </row>
    <row r="502" spans="1:12" x14ac:dyDescent="0.3">
      <c r="A502" s="42">
        <v>46063</v>
      </c>
      <c r="B502" s="21">
        <v>766</v>
      </c>
      <c r="C502" s="21">
        <v>23746</v>
      </c>
      <c r="D502" s="21">
        <v>23</v>
      </c>
      <c r="E502" s="21">
        <v>12</v>
      </c>
      <c r="F502" s="21">
        <v>4</v>
      </c>
      <c r="G502" s="21">
        <v>2</v>
      </c>
      <c r="H502" s="21">
        <v>34</v>
      </c>
      <c r="I502" s="21">
        <v>4</v>
      </c>
      <c r="J502" s="21">
        <f>SUM(DataTbl[[#This Row],[Likes]:[Shares]])</f>
        <v>41</v>
      </c>
      <c r="K502" s="24">
        <f>DataTbl[[#This Row],[Engagement]]/DataTbl[[#This Row],[Views]]</f>
        <v>5.3524804177545689E-2</v>
      </c>
      <c r="L502" s="21">
        <f>SUM(DataTbl[[#This Row],[Profile Visits]:[New Followers]])</f>
        <v>38</v>
      </c>
    </row>
    <row r="503" spans="1:12" x14ac:dyDescent="0.3">
      <c r="A503" s="42">
        <v>46064</v>
      </c>
      <c r="B503" s="21">
        <v>803</v>
      </c>
      <c r="C503" s="21">
        <v>22484</v>
      </c>
      <c r="D503" s="21">
        <v>30</v>
      </c>
      <c r="E503" s="21">
        <v>12</v>
      </c>
      <c r="F503" s="21">
        <v>3</v>
      </c>
      <c r="G503" s="21">
        <v>4</v>
      </c>
      <c r="H503" s="21">
        <v>53</v>
      </c>
      <c r="I503" s="21">
        <v>9</v>
      </c>
      <c r="J503" s="21">
        <f>SUM(DataTbl[[#This Row],[Likes]:[Shares]])</f>
        <v>49</v>
      </c>
      <c r="K503" s="24">
        <f>DataTbl[[#This Row],[Engagement]]/DataTbl[[#This Row],[Views]]</f>
        <v>6.1021170610211707E-2</v>
      </c>
      <c r="L503" s="21">
        <f>SUM(DataTbl[[#This Row],[Profile Visits]:[New Followers]])</f>
        <v>62</v>
      </c>
    </row>
    <row r="504" spans="1:12" x14ac:dyDescent="0.3">
      <c r="A504" s="42">
        <v>46065</v>
      </c>
      <c r="B504" s="21">
        <v>634</v>
      </c>
      <c r="C504" s="21">
        <v>15216</v>
      </c>
      <c r="D504" s="21">
        <v>23</v>
      </c>
      <c r="E504" s="21">
        <v>10</v>
      </c>
      <c r="F504" s="21">
        <v>3</v>
      </c>
      <c r="G504" s="21">
        <v>2</v>
      </c>
      <c r="H504" s="21">
        <v>27</v>
      </c>
      <c r="I504" s="21">
        <v>5</v>
      </c>
      <c r="J504" s="21">
        <f>SUM(DataTbl[[#This Row],[Likes]:[Shares]])</f>
        <v>38</v>
      </c>
      <c r="K504" s="24">
        <f>DataTbl[[#This Row],[Engagement]]/DataTbl[[#This Row],[Views]]</f>
        <v>5.993690851735016E-2</v>
      </c>
      <c r="L504" s="21">
        <f>SUM(DataTbl[[#This Row],[Profile Visits]:[New Followers]])</f>
        <v>32</v>
      </c>
    </row>
    <row r="505" spans="1:12" x14ac:dyDescent="0.3">
      <c r="A505" s="42">
        <v>46066</v>
      </c>
      <c r="B505" s="21">
        <v>1284</v>
      </c>
      <c r="C505" s="21">
        <v>33384</v>
      </c>
      <c r="D505" s="21">
        <v>33</v>
      </c>
      <c r="E505" s="21">
        <v>14</v>
      </c>
      <c r="F505" s="21">
        <v>3</v>
      </c>
      <c r="G505" s="21">
        <v>4</v>
      </c>
      <c r="H505" s="21">
        <v>101</v>
      </c>
      <c r="I505" s="21">
        <v>22</v>
      </c>
      <c r="J505" s="21">
        <f>SUM(DataTbl[[#This Row],[Likes]:[Shares]])</f>
        <v>54</v>
      </c>
      <c r="K505" s="24">
        <f>DataTbl[[#This Row],[Engagement]]/DataTbl[[#This Row],[Views]]</f>
        <v>4.2056074766355138E-2</v>
      </c>
      <c r="L505" s="21">
        <f>SUM(DataTbl[[#This Row],[Profile Visits]:[New Followers]])</f>
        <v>123</v>
      </c>
    </row>
    <row r="506" spans="1:12" x14ac:dyDescent="0.3">
      <c r="A506" s="42">
        <v>46067</v>
      </c>
      <c r="B506" s="21">
        <v>2242</v>
      </c>
      <c r="C506" s="21">
        <v>67260</v>
      </c>
      <c r="D506" s="21">
        <v>59</v>
      </c>
      <c r="E506" s="21">
        <v>23</v>
      </c>
      <c r="F506" s="21">
        <v>7</v>
      </c>
      <c r="G506" s="21">
        <v>8</v>
      </c>
      <c r="H506" s="21">
        <v>176</v>
      </c>
      <c r="I506" s="21">
        <v>21</v>
      </c>
      <c r="J506" s="21">
        <f>SUM(DataTbl[[#This Row],[Likes]:[Shares]])</f>
        <v>97</v>
      </c>
      <c r="K506" s="24">
        <f>DataTbl[[#This Row],[Engagement]]/DataTbl[[#This Row],[Views]]</f>
        <v>4.3264942016057094E-2</v>
      </c>
      <c r="L506" s="21">
        <f>SUM(DataTbl[[#This Row],[Profile Visits]:[New Followers]])</f>
        <v>197</v>
      </c>
    </row>
    <row r="507" spans="1:12" x14ac:dyDescent="0.3">
      <c r="A507" s="42">
        <v>46068</v>
      </c>
      <c r="B507" s="21">
        <v>2001</v>
      </c>
      <c r="C507" s="21">
        <v>54027</v>
      </c>
      <c r="D507" s="21">
        <v>65</v>
      </c>
      <c r="E507" s="21">
        <v>27</v>
      </c>
      <c r="F507" s="21">
        <v>6</v>
      </c>
      <c r="G507" s="21">
        <v>8</v>
      </c>
      <c r="H507" s="21">
        <v>99</v>
      </c>
      <c r="I507" s="21">
        <v>22</v>
      </c>
      <c r="J507" s="21">
        <f>SUM(DataTbl[[#This Row],[Likes]:[Shares]])</f>
        <v>106</v>
      </c>
      <c r="K507" s="24">
        <f>DataTbl[[#This Row],[Engagement]]/DataTbl[[#This Row],[Views]]</f>
        <v>5.297351324337831E-2</v>
      </c>
      <c r="L507" s="21">
        <f>SUM(DataTbl[[#This Row],[Profile Visits]:[New Followers]])</f>
        <v>121</v>
      </c>
    </row>
    <row r="508" spans="1:12" x14ac:dyDescent="0.3">
      <c r="A508" s="42">
        <v>46069</v>
      </c>
      <c r="B508" s="21">
        <v>2280</v>
      </c>
      <c r="C508" s="21">
        <v>75240</v>
      </c>
      <c r="D508" s="21">
        <v>76</v>
      </c>
      <c r="E508" s="21">
        <v>35</v>
      </c>
      <c r="F508" s="21">
        <v>7</v>
      </c>
      <c r="G508" s="21">
        <v>9</v>
      </c>
      <c r="H508" s="21">
        <v>169</v>
      </c>
      <c r="I508" s="21">
        <v>21</v>
      </c>
      <c r="J508" s="21">
        <f>SUM(DataTbl[[#This Row],[Likes]:[Shares]])</f>
        <v>127</v>
      </c>
      <c r="K508" s="24">
        <f>DataTbl[[#This Row],[Engagement]]/DataTbl[[#This Row],[Views]]</f>
        <v>5.5701754385964912E-2</v>
      </c>
      <c r="L508" s="21">
        <f>SUM(DataTbl[[#This Row],[Profile Visits]:[New Followers]])</f>
        <v>190</v>
      </c>
    </row>
    <row r="509" spans="1:12" x14ac:dyDescent="0.3">
      <c r="A509" s="42">
        <v>46070</v>
      </c>
      <c r="B509" s="21">
        <v>2083</v>
      </c>
      <c r="C509" s="21">
        <v>70822</v>
      </c>
      <c r="D509" s="21">
        <v>55</v>
      </c>
      <c r="E509" s="21">
        <v>25</v>
      </c>
      <c r="F509" s="21">
        <v>9</v>
      </c>
      <c r="G509" s="21">
        <v>6</v>
      </c>
      <c r="H509" s="21">
        <v>147</v>
      </c>
      <c r="I509" s="21">
        <v>28</v>
      </c>
      <c r="J509" s="21">
        <f>SUM(DataTbl[[#This Row],[Likes]:[Shares]])</f>
        <v>95</v>
      </c>
      <c r="K509" s="24">
        <f>DataTbl[[#This Row],[Engagement]]/DataTbl[[#This Row],[Views]]</f>
        <v>4.5607297167546808E-2</v>
      </c>
      <c r="L509" s="21">
        <f>SUM(DataTbl[[#This Row],[Profile Visits]:[New Followers]])</f>
        <v>175</v>
      </c>
    </row>
    <row r="510" spans="1:12" x14ac:dyDescent="0.3">
      <c r="A510" s="42">
        <v>46071</v>
      </c>
      <c r="B510" s="21">
        <v>2302</v>
      </c>
      <c r="C510" s="21">
        <v>71362</v>
      </c>
      <c r="D510" s="21">
        <v>90</v>
      </c>
      <c r="E510" s="21">
        <v>30</v>
      </c>
      <c r="F510" s="21">
        <v>7</v>
      </c>
      <c r="G510" s="21">
        <v>13</v>
      </c>
      <c r="H510" s="21">
        <v>142</v>
      </c>
      <c r="I510" s="21">
        <v>25</v>
      </c>
      <c r="J510" s="21">
        <f>SUM(DataTbl[[#This Row],[Likes]:[Shares]])</f>
        <v>140</v>
      </c>
      <c r="K510" s="24">
        <f>DataTbl[[#This Row],[Engagement]]/DataTbl[[#This Row],[Views]]</f>
        <v>6.0816681146828845E-2</v>
      </c>
      <c r="L510" s="21">
        <f>SUM(DataTbl[[#This Row],[Profile Visits]:[New Followers]])</f>
        <v>167</v>
      </c>
    </row>
    <row r="511" spans="1:12" x14ac:dyDescent="0.3">
      <c r="A511" s="42">
        <v>46072</v>
      </c>
      <c r="B511" s="21">
        <v>1970</v>
      </c>
      <c r="C511" s="21">
        <v>43340</v>
      </c>
      <c r="D511" s="21">
        <v>68</v>
      </c>
      <c r="E511" s="21">
        <v>29</v>
      </c>
      <c r="F511" s="21">
        <v>9</v>
      </c>
      <c r="G511" s="21">
        <v>11</v>
      </c>
      <c r="H511" s="21">
        <v>81</v>
      </c>
      <c r="I511" s="21">
        <v>22</v>
      </c>
      <c r="J511" s="21">
        <f>SUM(DataTbl[[#This Row],[Likes]:[Shares]])</f>
        <v>117</v>
      </c>
      <c r="K511" s="24">
        <f>DataTbl[[#This Row],[Engagement]]/DataTbl[[#This Row],[Views]]</f>
        <v>5.9390862944162438E-2</v>
      </c>
      <c r="L511" s="21">
        <f>SUM(DataTbl[[#This Row],[Profile Visits]:[New Followers]])</f>
        <v>103</v>
      </c>
    </row>
    <row r="512" spans="1:12" x14ac:dyDescent="0.3">
      <c r="A512" s="42">
        <v>46073</v>
      </c>
      <c r="B512" s="21">
        <v>1600</v>
      </c>
      <c r="C512" s="21">
        <v>41600</v>
      </c>
      <c r="D512" s="21">
        <v>58</v>
      </c>
      <c r="E512" s="21">
        <v>25</v>
      </c>
      <c r="F512" s="21">
        <v>6</v>
      </c>
      <c r="G512" s="21">
        <v>6</v>
      </c>
      <c r="H512" s="21">
        <v>71</v>
      </c>
      <c r="I512" s="21">
        <v>15</v>
      </c>
      <c r="J512" s="21">
        <f>SUM(DataTbl[[#This Row],[Likes]:[Shares]])</f>
        <v>95</v>
      </c>
      <c r="K512" s="24">
        <f>DataTbl[[#This Row],[Engagement]]/DataTbl[[#This Row],[Views]]</f>
        <v>5.9374999999999997E-2</v>
      </c>
      <c r="L512" s="21">
        <f>SUM(DataTbl[[#This Row],[Profile Visits]:[New Followers]])</f>
        <v>86</v>
      </c>
    </row>
    <row r="513" spans="1:12" x14ac:dyDescent="0.3">
      <c r="A513" s="42">
        <v>46074</v>
      </c>
      <c r="B513" s="21">
        <v>739</v>
      </c>
      <c r="C513" s="21">
        <v>19953</v>
      </c>
      <c r="D513" s="21">
        <v>24</v>
      </c>
      <c r="E513" s="21">
        <v>9</v>
      </c>
      <c r="F513" s="21">
        <v>2</v>
      </c>
      <c r="G513" s="21">
        <v>4</v>
      </c>
      <c r="H513" s="21">
        <v>56</v>
      </c>
      <c r="I513" s="21">
        <v>9</v>
      </c>
      <c r="J513" s="21">
        <f>SUM(DataTbl[[#This Row],[Likes]:[Shares]])</f>
        <v>39</v>
      </c>
      <c r="K513" s="24">
        <f>DataTbl[[#This Row],[Engagement]]/DataTbl[[#This Row],[Views]]</f>
        <v>5.2774018944519621E-2</v>
      </c>
      <c r="L513" s="21">
        <f>SUM(DataTbl[[#This Row],[Profile Visits]:[New Followers]])</f>
        <v>65</v>
      </c>
    </row>
    <row r="514" spans="1:12" x14ac:dyDescent="0.3">
      <c r="A514" s="42">
        <v>46075</v>
      </c>
      <c r="B514" s="21">
        <v>770</v>
      </c>
      <c r="C514" s="21">
        <v>13860</v>
      </c>
      <c r="D514" s="21">
        <v>20</v>
      </c>
      <c r="E514" s="21">
        <v>11</v>
      </c>
      <c r="F514" s="21">
        <v>3</v>
      </c>
      <c r="G514" s="21">
        <v>3</v>
      </c>
      <c r="H514" s="21">
        <v>40</v>
      </c>
      <c r="I514" s="21">
        <v>8</v>
      </c>
      <c r="J514" s="21">
        <f>SUM(DataTbl[[#This Row],[Likes]:[Shares]])</f>
        <v>37</v>
      </c>
      <c r="K514" s="24">
        <f>DataTbl[[#This Row],[Engagement]]/DataTbl[[#This Row],[Views]]</f>
        <v>4.8051948051948054E-2</v>
      </c>
      <c r="L514" s="21">
        <f>SUM(DataTbl[[#This Row],[Profile Visits]:[New Followers]])</f>
        <v>48</v>
      </c>
    </row>
    <row r="515" spans="1:12" x14ac:dyDescent="0.3">
      <c r="A515" s="42">
        <v>46076</v>
      </c>
      <c r="B515" s="21">
        <v>746</v>
      </c>
      <c r="C515" s="21">
        <v>14174</v>
      </c>
      <c r="D515" s="21">
        <v>19</v>
      </c>
      <c r="E515" s="21">
        <v>8</v>
      </c>
      <c r="F515" s="21">
        <v>3</v>
      </c>
      <c r="G515" s="21">
        <v>2</v>
      </c>
      <c r="H515" s="21">
        <v>57</v>
      </c>
      <c r="I515" s="21">
        <v>6</v>
      </c>
      <c r="J515" s="21">
        <f>SUM(DataTbl[[#This Row],[Likes]:[Shares]])</f>
        <v>32</v>
      </c>
      <c r="K515" s="24">
        <f>DataTbl[[#This Row],[Engagement]]/DataTbl[[#This Row],[Views]]</f>
        <v>4.2895442359249331E-2</v>
      </c>
      <c r="L515" s="21">
        <f>SUM(DataTbl[[#This Row],[Profile Visits]:[New Followers]])</f>
        <v>63</v>
      </c>
    </row>
    <row r="516" spans="1:12" x14ac:dyDescent="0.3">
      <c r="A516" s="42">
        <v>46077</v>
      </c>
      <c r="B516" s="21">
        <v>773</v>
      </c>
      <c r="C516" s="21">
        <v>16233</v>
      </c>
      <c r="D516" s="21">
        <v>25</v>
      </c>
      <c r="E516" s="21">
        <v>9</v>
      </c>
      <c r="F516" s="21">
        <v>4</v>
      </c>
      <c r="G516" s="21">
        <v>3</v>
      </c>
      <c r="H516" s="21">
        <v>52</v>
      </c>
      <c r="I516" s="21">
        <v>10</v>
      </c>
      <c r="J516" s="21">
        <f>SUM(DataTbl[[#This Row],[Likes]:[Shares]])</f>
        <v>41</v>
      </c>
      <c r="K516" s="24">
        <f>DataTbl[[#This Row],[Engagement]]/DataTbl[[#This Row],[Views]]</f>
        <v>5.3040103492884863E-2</v>
      </c>
      <c r="L516" s="21">
        <f>SUM(DataTbl[[#This Row],[Profile Visits]:[New Followers]])</f>
        <v>62</v>
      </c>
    </row>
    <row r="517" spans="1:12" x14ac:dyDescent="0.3">
      <c r="A517" s="42">
        <v>46078</v>
      </c>
      <c r="B517" s="21">
        <v>682</v>
      </c>
      <c r="C517" s="21">
        <v>12958</v>
      </c>
      <c r="D517" s="21">
        <v>18</v>
      </c>
      <c r="E517" s="21">
        <v>8</v>
      </c>
      <c r="F517" s="21">
        <v>2</v>
      </c>
      <c r="G517" s="21">
        <v>3</v>
      </c>
      <c r="H517" s="21">
        <v>53</v>
      </c>
      <c r="I517" s="21">
        <v>8</v>
      </c>
      <c r="J517" s="21">
        <f>SUM(DataTbl[[#This Row],[Likes]:[Shares]])</f>
        <v>31</v>
      </c>
      <c r="K517" s="24">
        <f>DataTbl[[#This Row],[Engagement]]/DataTbl[[#This Row],[Views]]</f>
        <v>4.5454545454545456E-2</v>
      </c>
      <c r="L517" s="21">
        <f>SUM(DataTbl[[#This Row],[Profile Visits]:[New Followers]])</f>
        <v>61</v>
      </c>
    </row>
    <row r="518" spans="1:12" x14ac:dyDescent="0.3">
      <c r="A518" s="42">
        <v>46079</v>
      </c>
      <c r="B518" s="21">
        <v>881</v>
      </c>
      <c r="C518" s="21">
        <v>29954</v>
      </c>
      <c r="D518" s="21">
        <v>22</v>
      </c>
      <c r="E518" s="21">
        <v>8</v>
      </c>
      <c r="F518" s="21">
        <v>2</v>
      </c>
      <c r="G518" s="21">
        <v>3</v>
      </c>
      <c r="H518" s="21">
        <v>59</v>
      </c>
      <c r="I518" s="21">
        <v>10</v>
      </c>
      <c r="J518" s="21">
        <f>SUM(DataTbl[[#This Row],[Likes]:[Shares]])</f>
        <v>35</v>
      </c>
      <c r="K518" s="24">
        <f>DataTbl[[#This Row],[Engagement]]/DataTbl[[#This Row],[Views]]</f>
        <v>3.9727582292849034E-2</v>
      </c>
      <c r="L518" s="21">
        <f>SUM(DataTbl[[#This Row],[Profile Visits]:[New Followers]])</f>
        <v>69</v>
      </c>
    </row>
    <row r="519" spans="1:12" x14ac:dyDescent="0.3">
      <c r="A519" s="42">
        <v>46080</v>
      </c>
      <c r="B519" s="21">
        <v>663</v>
      </c>
      <c r="C519" s="21">
        <v>16575</v>
      </c>
      <c r="D519" s="21">
        <v>16</v>
      </c>
      <c r="E519" s="21">
        <v>8</v>
      </c>
      <c r="F519" s="21">
        <v>3</v>
      </c>
      <c r="G519" s="21">
        <v>2</v>
      </c>
      <c r="H519" s="21">
        <v>41</v>
      </c>
      <c r="I519" s="21">
        <v>4</v>
      </c>
      <c r="J519" s="21">
        <f>SUM(DataTbl[[#This Row],[Likes]:[Shares]])</f>
        <v>29</v>
      </c>
      <c r="K519" s="24">
        <f>DataTbl[[#This Row],[Engagement]]/DataTbl[[#This Row],[Views]]</f>
        <v>4.3740573152337855E-2</v>
      </c>
      <c r="L519" s="21">
        <f>SUM(DataTbl[[#This Row],[Profile Visits]:[New Followers]])</f>
        <v>45</v>
      </c>
    </row>
    <row r="520" spans="1:12" x14ac:dyDescent="0.3">
      <c r="A520" s="42">
        <v>46081</v>
      </c>
      <c r="B520" s="21">
        <v>955</v>
      </c>
      <c r="C520" s="21">
        <v>17190</v>
      </c>
      <c r="D520" s="21">
        <v>40</v>
      </c>
      <c r="E520" s="21">
        <v>14</v>
      </c>
      <c r="F520" s="21">
        <v>6</v>
      </c>
      <c r="G520" s="21">
        <v>4</v>
      </c>
      <c r="H520" s="21">
        <v>57</v>
      </c>
      <c r="I520" s="21">
        <v>11</v>
      </c>
      <c r="J520" s="21">
        <f>SUM(DataTbl[[#This Row],[Likes]:[Shares]])</f>
        <v>64</v>
      </c>
      <c r="K520" s="24">
        <f>DataTbl[[#This Row],[Engagement]]/DataTbl[[#This Row],[Views]]</f>
        <v>6.7015706806282729E-2</v>
      </c>
      <c r="L520" s="21">
        <f>SUM(DataTbl[[#This Row],[Profile Visits]:[New Followers]])</f>
        <v>68</v>
      </c>
    </row>
    <row r="521" spans="1:12" x14ac:dyDescent="0.3">
      <c r="A521" s="42">
        <v>46082</v>
      </c>
      <c r="B521" s="21">
        <v>1059</v>
      </c>
      <c r="C521" s="21">
        <v>26475</v>
      </c>
      <c r="D521" s="21">
        <v>43</v>
      </c>
      <c r="E521" s="21">
        <v>18</v>
      </c>
      <c r="F521" s="21">
        <v>6</v>
      </c>
      <c r="G521" s="21">
        <v>5</v>
      </c>
      <c r="H521" s="21">
        <v>84</v>
      </c>
      <c r="I521" s="21">
        <v>14</v>
      </c>
      <c r="J521" s="21">
        <f>SUM(DataTbl[[#This Row],[Likes]:[Shares]])</f>
        <v>72</v>
      </c>
      <c r="K521" s="24">
        <f>DataTbl[[#This Row],[Engagement]]/DataTbl[[#This Row],[Views]]</f>
        <v>6.79886685552408E-2</v>
      </c>
      <c r="L521" s="21">
        <f>SUM(DataTbl[[#This Row],[Profile Visits]:[New Followers]])</f>
        <v>98</v>
      </c>
    </row>
    <row r="522" spans="1:12" x14ac:dyDescent="0.3">
      <c r="A522" s="42">
        <v>46083</v>
      </c>
      <c r="B522" s="21">
        <v>766</v>
      </c>
      <c r="C522" s="21">
        <v>21448</v>
      </c>
      <c r="D522" s="21">
        <v>27</v>
      </c>
      <c r="E522" s="21">
        <v>12</v>
      </c>
      <c r="F522" s="21">
        <v>4</v>
      </c>
      <c r="G522" s="21">
        <v>3</v>
      </c>
      <c r="H522" s="21">
        <v>56</v>
      </c>
      <c r="I522" s="21">
        <v>10</v>
      </c>
      <c r="J522" s="21">
        <f>SUM(DataTbl[[#This Row],[Likes]:[Shares]])</f>
        <v>46</v>
      </c>
      <c r="K522" s="24">
        <f>DataTbl[[#This Row],[Engagement]]/DataTbl[[#This Row],[Views]]</f>
        <v>6.0052219321148827E-2</v>
      </c>
      <c r="L522" s="21">
        <f>SUM(DataTbl[[#This Row],[Profile Visits]:[New Followers]])</f>
        <v>66</v>
      </c>
    </row>
    <row r="523" spans="1:12" x14ac:dyDescent="0.3">
      <c r="A523" s="23">
        <v>46084</v>
      </c>
      <c r="B523" s="21">
        <v>746</v>
      </c>
      <c r="C523" s="21">
        <v>18650</v>
      </c>
      <c r="D523" s="21">
        <v>18</v>
      </c>
      <c r="E523" s="21">
        <v>9</v>
      </c>
      <c r="F523" s="21">
        <v>2</v>
      </c>
      <c r="G523" s="21">
        <v>2</v>
      </c>
      <c r="H523" s="21">
        <v>59</v>
      </c>
      <c r="I523" s="21">
        <v>10</v>
      </c>
      <c r="J523" s="21">
        <f>SUM(DataTbl[[#This Row],[Likes]:[Shares]])</f>
        <v>31</v>
      </c>
      <c r="K523" s="24">
        <f>DataTbl[[#This Row],[Engagement]]/DataTbl[[#This Row],[Views]]</f>
        <v>4.1554959785522788E-2</v>
      </c>
      <c r="L523" s="21">
        <f>SUM(DataTbl[[#This Row],[Profile Visits]:[New Followers]])</f>
        <v>69</v>
      </c>
    </row>
    <row r="524" spans="1:12" x14ac:dyDescent="0.3">
      <c r="A524" s="23">
        <v>46085</v>
      </c>
      <c r="B524" s="21">
        <v>798</v>
      </c>
      <c r="C524" s="21">
        <v>21546</v>
      </c>
      <c r="D524" s="21">
        <v>31</v>
      </c>
      <c r="E524" s="21">
        <v>11</v>
      </c>
      <c r="F524" s="21">
        <v>3</v>
      </c>
      <c r="G524" s="21">
        <v>3</v>
      </c>
      <c r="H524" s="21">
        <v>61</v>
      </c>
      <c r="I524" s="21">
        <v>10</v>
      </c>
      <c r="J524" s="21">
        <f>SUM(DataTbl[[#This Row],[Likes]:[Shares]])</f>
        <v>48</v>
      </c>
      <c r="K524" s="24">
        <f>DataTbl[[#This Row],[Engagement]]/DataTbl[[#This Row],[Views]]</f>
        <v>6.0150375939849621E-2</v>
      </c>
      <c r="L524" s="21">
        <f>SUM(DataTbl[[#This Row],[Profile Visits]:[New Followers]])</f>
        <v>71</v>
      </c>
    </row>
    <row r="525" spans="1:12" x14ac:dyDescent="0.3">
      <c r="A525" s="23">
        <v>46086</v>
      </c>
      <c r="B525" s="21">
        <v>666</v>
      </c>
      <c r="C525" s="21">
        <v>20646</v>
      </c>
      <c r="D525" s="21">
        <v>27</v>
      </c>
      <c r="E525" s="21">
        <v>13</v>
      </c>
      <c r="F525" s="21">
        <v>3</v>
      </c>
      <c r="G525" s="21">
        <v>3</v>
      </c>
      <c r="H525" s="21">
        <v>27</v>
      </c>
      <c r="I525" s="21">
        <v>3</v>
      </c>
      <c r="J525" s="21">
        <f>SUM(DataTbl[[#This Row],[Likes]:[Shares]])</f>
        <v>46</v>
      </c>
      <c r="K525" s="24">
        <f>DataTbl[[#This Row],[Engagement]]/DataTbl[[#This Row],[Views]]</f>
        <v>6.9069069069069067E-2</v>
      </c>
      <c r="L525" s="21">
        <f>SUM(DataTbl[[#This Row],[Profile Visits]:[New Followers]])</f>
        <v>30</v>
      </c>
    </row>
    <row r="526" spans="1:12" x14ac:dyDescent="0.3">
      <c r="A526" s="23">
        <v>46087</v>
      </c>
      <c r="B526" s="21">
        <v>714</v>
      </c>
      <c r="C526" s="21">
        <v>17850</v>
      </c>
      <c r="D526" s="21">
        <v>26</v>
      </c>
      <c r="E526" s="21">
        <v>12</v>
      </c>
      <c r="F526" s="21">
        <v>2</v>
      </c>
      <c r="G526" s="21">
        <v>2</v>
      </c>
      <c r="H526" s="21">
        <v>45</v>
      </c>
      <c r="I526" s="21">
        <v>8</v>
      </c>
      <c r="J526" s="21">
        <f>SUM(DataTbl[[#This Row],[Likes]:[Shares]])</f>
        <v>42</v>
      </c>
      <c r="K526" s="24">
        <f>DataTbl[[#This Row],[Engagement]]/DataTbl[[#This Row],[Views]]</f>
        <v>5.8823529411764705E-2</v>
      </c>
      <c r="L526" s="21">
        <f>SUM(DataTbl[[#This Row],[Profile Visits]:[New Followers]])</f>
        <v>53</v>
      </c>
    </row>
    <row r="527" spans="1:12" x14ac:dyDescent="0.3">
      <c r="A527" s="23">
        <v>46088</v>
      </c>
      <c r="B527" s="21">
        <v>1333</v>
      </c>
      <c r="C527" s="21">
        <v>38657</v>
      </c>
      <c r="D527" s="21">
        <v>49</v>
      </c>
      <c r="E527" s="21">
        <v>17</v>
      </c>
      <c r="F527" s="21">
        <v>6</v>
      </c>
      <c r="G527" s="21">
        <v>7</v>
      </c>
      <c r="H527" s="21">
        <v>72</v>
      </c>
      <c r="I527" s="21">
        <v>13</v>
      </c>
      <c r="J527" s="21">
        <f>SUM(DataTbl[[#This Row],[Likes]:[Shares]])</f>
        <v>79</v>
      </c>
      <c r="K527" s="24">
        <f>DataTbl[[#This Row],[Engagement]]/DataTbl[[#This Row],[Views]]</f>
        <v>5.926481620405101E-2</v>
      </c>
      <c r="L527" s="21">
        <f>SUM(DataTbl[[#This Row],[Profile Visits]:[New Followers]])</f>
        <v>85</v>
      </c>
    </row>
    <row r="528" spans="1:12" x14ac:dyDescent="0.3">
      <c r="A528" s="23">
        <v>46089</v>
      </c>
      <c r="B528" s="21">
        <v>1410</v>
      </c>
      <c r="C528" s="21">
        <v>39480</v>
      </c>
      <c r="D528" s="21">
        <v>44</v>
      </c>
      <c r="E528" s="21">
        <v>18</v>
      </c>
      <c r="F528" s="21">
        <v>7</v>
      </c>
      <c r="G528" s="21">
        <v>4</v>
      </c>
      <c r="H528" s="21">
        <v>101</v>
      </c>
      <c r="I528" s="21">
        <v>22</v>
      </c>
      <c r="J528" s="21">
        <f>SUM(DataTbl[[#This Row],[Likes]:[Shares]])</f>
        <v>73</v>
      </c>
      <c r="K528" s="24">
        <f>DataTbl[[#This Row],[Engagement]]/DataTbl[[#This Row],[Views]]</f>
        <v>5.1773049645390069E-2</v>
      </c>
      <c r="L528" s="21">
        <f>SUM(DataTbl[[#This Row],[Profile Visits]:[New Followers]])</f>
        <v>123</v>
      </c>
    </row>
    <row r="529" spans="1:12" x14ac:dyDescent="0.3">
      <c r="A529" s="23">
        <v>46090</v>
      </c>
      <c r="B529" s="21">
        <v>855</v>
      </c>
      <c r="C529" s="21">
        <v>19665</v>
      </c>
      <c r="D529" s="21">
        <v>30</v>
      </c>
      <c r="E529" s="21">
        <v>9</v>
      </c>
      <c r="F529" s="21">
        <v>4</v>
      </c>
      <c r="G529" s="21">
        <v>3</v>
      </c>
      <c r="H529" s="21">
        <v>67</v>
      </c>
      <c r="I529" s="21">
        <v>10</v>
      </c>
      <c r="J529" s="21">
        <f>SUM(DataTbl[[#This Row],[Likes]:[Shares]])</f>
        <v>46</v>
      </c>
      <c r="K529" s="24">
        <f>DataTbl[[#This Row],[Engagement]]/DataTbl[[#This Row],[Views]]</f>
        <v>5.3801169590643273E-2</v>
      </c>
      <c r="L529" s="21">
        <f>SUM(DataTbl[[#This Row],[Profile Visits]:[New Followers]])</f>
        <v>77</v>
      </c>
    </row>
    <row r="530" spans="1:12" x14ac:dyDescent="0.3">
      <c r="A530" s="23">
        <v>46091</v>
      </c>
      <c r="B530" s="21">
        <v>788</v>
      </c>
      <c r="C530" s="21">
        <v>14972</v>
      </c>
      <c r="D530" s="21">
        <v>23</v>
      </c>
      <c r="E530" s="21">
        <v>8</v>
      </c>
      <c r="F530" s="21">
        <v>3</v>
      </c>
      <c r="G530" s="21">
        <v>4</v>
      </c>
      <c r="H530" s="21">
        <v>56</v>
      </c>
      <c r="I530" s="21">
        <v>7</v>
      </c>
      <c r="J530" s="21">
        <f>SUM(DataTbl[[#This Row],[Likes]:[Shares]])</f>
        <v>38</v>
      </c>
      <c r="K530" s="24">
        <f>DataTbl[[#This Row],[Engagement]]/DataTbl[[#This Row],[Views]]</f>
        <v>4.8223350253807105E-2</v>
      </c>
      <c r="L530" s="21">
        <f>SUM(DataTbl[[#This Row],[Profile Visits]:[New Followers]])</f>
        <v>63</v>
      </c>
    </row>
    <row r="531" spans="1:12" x14ac:dyDescent="0.3">
      <c r="A531" s="23">
        <v>46092</v>
      </c>
      <c r="B531" s="21">
        <v>663</v>
      </c>
      <c r="C531" s="21">
        <v>16575</v>
      </c>
      <c r="D531" s="21">
        <v>19</v>
      </c>
      <c r="E531" s="21">
        <v>7</v>
      </c>
      <c r="F531" s="21">
        <v>2</v>
      </c>
      <c r="G531" s="21">
        <v>2</v>
      </c>
      <c r="H531" s="21">
        <v>50</v>
      </c>
      <c r="I531" s="21">
        <v>6</v>
      </c>
      <c r="J531" s="21">
        <f>SUM(DataTbl[[#This Row],[Likes]:[Shares]])</f>
        <v>30</v>
      </c>
      <c r="K531" s="24">
        <f>DataTbl[[#This Row],[Engagement]]/DataTbl[[#This Row],[Views]]</f>
        <v>4.5248868778280542E-2</v>
      </c>
      <c r="L531" s="21">
        <f>SUM(DataTbl[[#This Row],[Profile Visits]:[New Followers]])</f>
        <v>56</v>
      </c>
    </row>
    <row r="532" spans="1:12" x14ac:dyDescent="0.3">
      <c r="A532" s="23">
        <v>46093</v>
      </c>
      <c r="B532" s="21">
        <v>758</v>
      </c>
      <c r="C532" s="21">
        <v>18192</v>
      </c>
      <c r="D532" s="21">
        <v>25</v>
      </c>
      <c r="E532" s="21">
        <v>9</v>
      </c>
      <c r="F532" s="21">
        <v>3</v>
      </c>
      <c r="G532" s="21">
        <v>3</v>
      </c>
      <c r="H532" s="21">
        <v>60</v>
      </c>
      <c r="I532" s="21">
        <v>10</v>
      </c>
      <c r="J532" s="21">
        <f>SUM(DataTbl[[#This Row],[Likes]:[Shares]])</f>
        <v>40</v>
      </c>
      <c r="K532" s="24">
        <f>DataTbl[[#This Row],[Engagement]]/DataTbl[[#This Row],[Views]]</f>
        <v>5.2770448548812667E-2</v>
      </c>
      <c r="L532" s="21">
        <f>SUM(DataTbl[[#This Row],[Profile Visits]:[New Followers]])</f>
        <v>70</v>
      </c>
    </row>
    <row r="533" spans="1:12" x14ac:dyDescent="0.3">
      <c r="A533" s="23">
        <v>46094</v>
      </c>
      <c r="B533" s="21">
        <v>690</v>
      </c>
      <c r="C533" s="21">
        <v>17940</v>
      </c>
      <c r="D533" s="21">
        <v>31</v>
      </c>
      <c r="E533" s="21">
        <v>13</v>
      </c>
      <c r="F533" s="21">
        <v>3</v>
      </c>
      <c r="G533" s="21">
        <v>4</v>
      </c>
      <c r="H533" s="21">
        <v>54</v>
      </c>
      <c r="I533" s="21">
        <v>9</v>
      </c>
      <c r="J533" s="21">
        <f>SUM(DataTbl[[#This Row],[Likes]:[Shares]])</f>
        <v>51</v>
      </c>
      <c r="K533" s="24">
        <f>DataTbl[[#This Row],[Engagement]]/DataTbl[[#This Row],[Views]]</f>
        <v>7.3913043478260873E-2</v>
      </c>
      <c r="L533" s="21">
        <f>SUM(DataTbl[[#This Row],[Profile Visits]:[New Followers]])</f>
        <v>63</v>
      </c>
    </row>
    <row r="534" spans="1:12" x14ac:dyDescent="0.3">
      <c r="A534" s="23">
        <v>46095</v>
      </c>
      <c r="B534" s="21">
        <v>963</v>
      </c>
      <c r="C534" s="21">
        <v>26964</v>
      </c>
      <c r="D534" s="21">
        <v>37</v>
      </c>
      <c r="E534" s="21">
        <v>19</v>
      </c>
      <c r="F534" s="21">
        <v>5</v>
      </c>
      <c r="G534" s="21">
        <v>4</v>
      </c>
      <c r="H534" s="21">
        <v>50</v>
      </c>
      <c r="I534" s="21">
        <v>9</v>
      </c>
      <c r="J534" s="21">
        <f>SUM(DataTbl[[#This Row],[Likes]:[Shares]])</f>
        <v>65</v>
      </c>
      <c r="K534" s="24">
        <f>DataTbl[[#This Row],[Engagement]]/DataTbl[[#This Row],[Views]]</f>
        <v>6.749740394600208E-2</v>
      </c>
      <c r="L534" s="21">
        <f>SUM(DataTbl[[#This Row],[Profile Visits]:[New Followers]])</f>
        <v>59</v>
      </c>
    </row>
    <row r="535" spans="1:12" x14ac:dyDescent="0.3">
      <c r="A535" s="23">
        <v>46096</v>
      </c>
      <c r="B535" s="21">
        <v>992</v>
      </c>
      <c r="C535" s="21">
        <v>28768</v>
      </c>
      <c r="D535" s="21">
        <v>28</v>
      </c>
      <c r="E535" s="21">
        <v>13</v>
      </c>
      <c r="F535" s="21">
        <v>3</v>
      </c>
      <c r="G535" s="21">
        <v>4</v>
      </c>
      <c r="H535" s="21">
        <v>49</v>
      </c>
      <c r="I535" s="21">
        <v>7</v>
      </c>
      <c r="J535" s="21">
        <f>SUM(DataTbl[[#This Row],[Likes]:[Shares]])</f>
        <v>48</v>
      </c>
      <c r="K535" s="24">
        <f>DataTbl[[#This Row],[Engagement]]/DataTbl[[#This Row],[Views]]</f>
        <v>4.8387096774193547E-2</v>
      </c>
      <c r="L535" s="21">
        <f>SUM(DataTbl[[#This Row],[Profile Visits]:[New Followers]])</f>
        <v>56</v>
      </c>
    </row>
    <row r="536" spans="1:12" x14ac:dyDescent="0.3">
      <c r="A536" s="23">
        <v>46097</v>
      </c>
      <c r="B536" s="21">
        <v>783</v>
      </c>
      <c r="C536" s="21">
        <v>18792</v>
      </c>
      <c r="D536" s="21">
        <v>30</v>
      </c>
      <c r="E536" s="21">
        <v>10</v>
      </c>
      <c r="F536" s="21">
        <v>3</v>
      </c>
      <c r="G536" s="21">
        <v>3</v>
      </c>
      <c r="H536" s="21">
        <v>42</v>
      </c>
      <c r="I536" s="21">
        <v>6</v>
      </c>
      <c r="J536" s="21">
        <f>SUM(DataTbl[[#This Row],[Likes]:[Shares]])</f>
        <v>46</v>
      </c>
      <c r="K536" s="24">
        <f>DataTbl[[#This Row],[Engagement]]/DataTbl[[#This Row],[Views]]</f>
        <v>5.8748403575989781E-2</v>
      </c>
      <c r="L536" s="21">
        <f>SUM(DataTbl[[#This Row],[Profile Visits]:[New Followers]])</f>
        <v>48</v>
      </c>
    </row>
    <row r="537" spans="1:12" x14ac:dyDescent="0.3">
      <c r="A537" s="23">
        <v>46098</v>
      </c>
      <c r="B537" s="21">
        <v>734</v>
      </c>
      <c r="C537" s="21">
        <v>17616</v>
      </c>
      <c r="D537" s="21">
        <v>24</v>
      </c>
      <c r="E537" s="21">
        <v>9</v>
      </c>
      <c r="F537" s="21">
        <v>4</v>
      </c>
      <c r="G537" s="21">
        <v>3</v>
      </c>
      <c r="H537" s="21">
        <v>37</v>
      </c>
      <c r="I537" s="21">
        <v>7</v>
      </c>
      <c r="J537" s="21">
        <f>SUM(DataTbl[[#This Row],[Likes]:[Shares]])</f>
        <v>40</v>
      </c>
      <c r="K537" s="24">
        <f>DataTbl[[#This Row],[Engagement]]/DataTbl[[#This Row],[Views]]</f>
        <v>5.4495912806539509E-2</v>
      </c>
      <c r="L537" s="21">
        <f>SUM(DataTbl[[#This Row],[Profile Visits]:[New Followers]])</f>
        <v>44</v>
      </c>
    </row>
    <row r="538" spans="1:12" x14ac:dyDescent="0.3">
      <c r="A538" s="23">
        <v>46099</v>
      </c>
      <c r="B538" s="21">
        <v>724</v>
      </c>
      <c r="C538" s="21">
        <v>20272</v>
      </c>
      <c r="D538" s="21">
        <v>30</v>
      </c>
      <c r="E538" s="21">
        <v>12</v>
      </c>
      <c r="F538" s="21">
        <v>4</v>
      </c>
      <c r="G538" s="21">
        <v>4</v>
      </c>
      <c r="H538" s="21">
        <v>43</v>
      </c>
      <c r="I538" s="21">
        <v>5</v>
      </c>
      <c r="J538" s="21">
        <f>SUM(DataTbl[[#This Row],[Likes]:[Shares]])</f>
        <v>50</v>
      </c>
      <c r="K538" s="24">
        <f>DataTbl[[#This Row],[Engagement]]/DataTbl[[#This Row],[Views]]</f>
        <v>6.9060773480662987E-2</v>
      </c>
      <c r="L538" s="21">
        <f>SUM(DataTbl[[#This Row],[Profile Visits]:[New Followers]])</f>
        <v>48</v>
      </c>
    </row>
    <row r="539" spans="1:12" x14ac:dyDescent="0.3">
      <c r="A539" s="23">
        <v>46100</v>
      </c>
      <c r="B539" s="21">
        <v>686</v>
      </c>
      <c r="C539" s="21">
        <v>16464</v>
      </c>
      <c r="D539" s="21">
        <v>20</v>
      </c>
      <c r="E539" s="21">
        <v>7</v>
      </c>
      <c r="F539" s="21">
        <v>3</v>
      </c>
      <c r="G539" s="21">
        <v>2</v>
      </c>
      <c r="H539" s="21">
        <v>29</v>
      </c>
      <c r="I539" s="21">
        <v>4</v>
      </c>
      <c r="J539" s="21">
        <f>SUM(DataTbl[[#This Row],[Likes]:[Shares]])</f>
        <v>32</v>
      </c>
      <c r="K539" s="24">
        <f>DataTbl[[#This Row],[Engagement]]/DataTbl[[#This Row],[Views]]</f>
        <v>4.6647230320699708E-2</v>
      </c>
      <c r="L539" s="21">
        <f>SUM(DataTbl[[#This Row],[Profile Visits]:[New Followers]])</f>
        <v>33</v>
      </c>
    </row>
    <row r="540" spans="1:12" x14ac:dyDescent="0.3">
      <c r="A540" s="23">
        <v>46101</v>
      </c>
      <c r="B540" s="21">
        <v>811</v>
      </c>
      <c r="C540" s="21">
        <v>24330</v>
      </c>
      <c r="D540" s="21">
        <v>30</v>
      </c>
      <c r="E540" s="21">
        <v>11</v>
      </c>
      <c r="F540" s="21">
        <v>4</v>
      </c>
      <c r="G540" s="21">
        <v>4</v>
      </c>
      <c r="H540" s="21">
        <v>46</v>
      </c>
      <c r="I540" s="21">
        <v>8</v>
      </c>
      <c r="J540" s="21">
        <f>SUM(DataTbl[[#This Row],[Likes]:[Shares]])</f>
        <v>49</v>
      </c>
      <c r="K540" s="24">
        <f>DataTbl[[#This Row],[Engagement]]/DataTbl[[#This Row],[Views]]</f>
        <v>6.0419235511713937E-2</v>
      </c>
      <c r="L540" s="21">
        <f>SUM(DataTbl[[#This Row],[Profile Visits]:[New Followers]])</f>
        <v>54</v>
      </c>
    </row>
    <row r="541" spans="1:12" x14ac:dyDescent="0.3">
      <c r="A541" s="23">
        <v>46102</v>
      </c>
      <c r="B541" s="21">
        <v>951</v>
      </c>
      <c r="C541" s="21">
        <v>23775</v>
      </c>
      <c r="D541" s="21">
        <v>25</v>
      </c>
      <c r="E541" s="21">
        <v>9</v>
      </c>
      <c r="F541" s="21">
        <v>3</v>
      </c>
      <c r="G541" s="21">
        <v>2</v>
      </c>
      <c r="H541" s="21">
        <v>48</v>
      </c>
      <c r="I541" s="21">
        <v>7</v>
      </c>
      <c r="J541" s="21">
        <f>SUM(DataTbl[[#This Row],[Likes]:[Shares]])</f>
        <v>39</v>
      </c>
      <c r="K541" s="24">
        <f>DataTbl[[#This Row],[Engagement]]/DataTbl[[#This Row],[Views]]</f>
        <v>4.1009463722397478E-2</v>
      </c>
      <c r="L541" s="21">
        <f>SUM(DataTbl[[#This Row],[Profile Visits]:[New Followers]])</f>
        <v>55</v>
      </c>
    </row>
    <row r="542" spans="1:12" x14ac:dyDescent="0.3">
      <c r="A542" s="23">
        <v>46103</v>
      </c>
      <c r="B542" s="21">
        <v>751</v>
      </c>
      <c r="C542" s="21">
        <v>25534</v>
      </c>
      <c r="D542" s="21">
        <v>33</v>
      </c>
      <c r="E542" s="21">
        <v>13</v>
      </c>
      <c r="F542" s="21">
        <v>5</v>
      </c>
      <c r="G542" s="21">
        <v>5</v>
      </c>
      <c r="H542" s="21">
        <v>34</v>
      </c>
      <c r="I542" s="21">
        <v>4</v>
      </c>
      <c r="J542" s="21">
        <f>SUM(DataTbl[[#This Row],[Likes]:[Shares]])</f>
        <v>56</v>
      </c>
      <c r="K542" s="24">
        <f>DataTbl[[#This Row],[Engagement]]/DataTbl[[#This Row],[Views]]</f>
        <v>7.456724367509987E-2</v>
      </c>
      <c r="L542" s="21">
        <f>SUM(DataTbl[[#This Row],[Profile Visits]:[New Followers]])</f>
        <v>38</v>
      </c>
    </row>
    <row r="543" spans="1:12" x14ac:dyDescent="0.3">
      <c r="A543" s="23">
        <v>46104</v>
      </c>
      <c r="B543" s="21">
        <v>880</v>
      </c>
      <c r="C543" s="21">
        <v>20240</v>
      </c>
      <c r="D543" s="21">
        <v>31</v>
      </c>
      <c r="E543" s="21">
        <v>12</v>
      </c>
      <c r="F543" s="21">
        <v>5</v>
      </c>
      <c r="G543" s="21">
        <v>5</v>
      </c>
      <c r="H543" s="21">
        <v>53</v>
      </c>
      <c r="I543" s="21">
        <v>5</v>
      </c>
      <c r="J543" s="21">
        <f>SUM(DataTbl[[#This Row],[Likes]:[Shares]])</f>
        <v>53</v>
      </c>
      <c r="K543" s="24">
        <f>DataTbl[[#This Row],[Engagement]]/DataTbl[[#This Row],[Views]]</f>
        <v>6.0227272727272727E-2</v>
      </c>
      <c r="L543" s="21">
        <f>SUM(DataTbl[[#This Row],[Profile Visits]:[New Followers]])</f>
        <v>58</v>
      </c>
    </row>
    <row r="544" spans="1:12" x14ac:dyDescent="0.3">
      <c r="A544" s="23">
        <v>46105</v>
      </c>
      <c r="B544" s="21">
        <v>822</v>
      </c>
      <c r="C544" s="21">
        <v>20550</v>
      </c>
      <c r="D544" s="21">
        <v>30</v>
      </c>
      <c r="E544" s="21">
        <v>15</v>
      </c>
      <c r="F544" s="21">
        <v>5</v>
      </c>
      <c r="G544" s="21">
        <v>4</v>
      </c>
      <c r="H544" s="21">
        <v>45</v>
      </c>
      <c r="I544" s="21">
        <v>5</v>
      </c>
      <c r="J544" s="21">
        <f>SUM(DataTbl[[#This Row],[Likes]:[Shares]])</f>
        <v>54</v>
      </c>
      <c r="K544" s="24">
        <f>DataTbl[[#This Row],[Engagement]]/DataTbl[[#This Row],[Views]]</f>
        <v>6.569343065693431E-2</v>
      </c>
      <c r="L544" s="21">
        <f>SUM(DataTbl[[#This Row],[Profile Visits]:[New Followers]])</f>
        <v>50</v>
      </c>
    </row>
    <row r="545" spans="1:12" x14ac:dyDescent="0.3">
      <c r="A545" s="23">
        <v>46106</v>
      </c>
      <c r="B545" s="21">
        <v>767</v>
      </c>
      <c r="C545" s="21">
        <v>23777</v>
      </c>
      <c r="D545" s="21">
        <v>21</v>
      </c>
      <c r="E545" s="21">
        <v>10</v>
      </c>
      <c r="F545" s="21">
        <v>3</v>
      </c>
      <c r="G545" s="21">
        <v>3</v>
      </c>
      <c r="H545" s="21">
        <v>57</v>
      </c>
      <c r="I545" s="21">
        <v>6</v>
      </c>
      <c r="J545" s="21">
        <f>SUM(DataTbl[[#This Row],[Likes]:[Shares]])</f>
        <v>37</v>
      </c>
      <c r="K545" s="24">
        <f>DataTbl[[#This Row],[Engagement]]/DataTbl[[#This Row],[Views]]</f>
        <v>4.8239895697522815E-2</v>
      </c>
      <c r="L545" s="21">
        <f>SUM(DataTbl[[#This Row],[Profile Visits]:[New Followers]])</f>
        <v>63</v>
      </c>
    </row>
    <row r="546" spans="1:12" x14ac:dyDescent="0.3">
      <c r="A546" s="23">
        <v>46107</v>
      </c>
      <c r="B546" s="21">
        <v>766</v>
      </c>
      <c r="C546" s="21">
        <v>19150</v>
      </c>
      <c r="D546" s="21">
        <v>21</v>
      </c>
      <c r="E546" s="21">
        <v>8</v>
      </c>
      <c r="F546" s="21">
        <v>3</v>
      </c>
      <c r="G546" s="21">
        <v>2</v>
      </c>
      <c r="H546" s="21">
        <v>32</v>
      </c>
      <c r="I546" s="21">
        <v>5</v>
      </c>
      <c r="J546" s="21">
        <f>SUM(DataTbl[[#This Row],[Likes]:[Shares]])</f>
        <v>34</v>
      </c>
      <c r="K546" s="24">
        <f>DataTbl[[#This Row],[Engagement]]/DataTbl[[#This Row],[Views]]</f>
        <v>4.4386422976501305E-2</v>
      </c>
      <c r="L546" s="21">
        <f>SUM(DataTbl[[#This Row],[Profile Visits]:[New Followers]])</f>
        <v>37</v>
      </c>
    </row>
    <row r="547" spans="1:12" x14ac:dyDescent="0.3">
      <c r="A547" s="23">
        <v>46108</v>
      </c>
      <c r="B547" s="21">
        <v>824</v>
      </c>
      <c r="C547" s="21">
        <v>17304</v>
      </c>
      <c r="D547" s="21">
        <v>23</v>
      </c>
      <c r="E547" s="21">
        <v>11</v>
      </c>
      <c r="F547" s="21">
        <v>2</v>
      </c>
      <c r="G547" s="21">
        <v>4</v>
      </c>
      <c r="H547" s="21">
        <v>36</v>
      </c>
      <c r="I547" s="21">
        <v>5</v>
      </c>
      <c r="J547" s="21">
        <f>SUM(DataTbl[[#This Row],[Likes]:[Shares]])</f>
        <v>40</v>
      </c>
      <c r="K547" s="24">
        <f>DataTbl[[#This Row],[Engagement]]/DataTbl[[#This Row],[Views]]</f>
        <v>4.8543689320388349E-2</v>
      </c>
      <c r="L547" s="21">
        <f>SUM(DataTbl[[#This Row],[Profile Visits]:[New Followers]])</f>
        <v>41</v>
      </c>
    </row>
    <row r="548" spans="1:12" x14ac:dyDescent="0.3">
      <c r="A548" s="23">
        <v>46109</v>
      </c>
      <c r="B548" s="21">
        <v>2466</v>
      </c>
      <c r="C548" s="21">
        <v>69048</v>
      </c>
      <c r="D548" s="21">
        <v>77</v>
      </c>
      <c r="E548" s="21">
        <v>31</v>
      </c>
      <c r="F548" s="21">
        <v>9</v>
      </c>
      <c r="G548" s="21">
        <v>6</v>
      </c>
      <c r="H548" s="21">
        <v>175</v>
      </c>
      <c r="I548" s="21">
        <v>34</v>
      </c>
      <c r="J548" s="21">
        <f>SUM(DataTbl[[#This Row],[Likes]:[Shares]])</f>
        <v>123</v>
      </c>
      <c r="K548" s="24">
        <f>DataTbl[[#This Row],[Engagement]]/DataTbl[[#This Row],[Views]]</f>
        <v>4.9878345498783457E-2</v>
      </c>
      <c r="L548" s="21">
        <f>SUM(DataTbl[[#This Row],[Profile Visits]:[New Followers]])</f>
        <v>209</v>
      </c>
    </row>
    <row r="549" spans="1:12" x14ac:dyDescent="0.3">
      <c r="A549" s="23">
        <v>46110</v>
      </c>
      <c r="B549" s="21">
        <v>832</v>
      </c>
      <c r="C549" s="21">
        <v>25792</v>
      </c>
      <c r="D549" s="21">
        <v>19</v>
      </c>
      <c r="E549" s="21">
        <v>6</v>
      </c>
      <c r="F549" s="21">
        <v>2</v>
      </c>
      <c r="G549" s="21">
        <v>2</v>
      </c>
      <c r="H549" s="21">
        <v>39</v>
      </c>
      <c r="I549" s="21">
        <v>5</v>
      </c>
      <c r="J549" s="21">
        <f>SUM(DataTbl[[#This Row],[Likes]:[Shares]])</f>
        <v>29</v>
      </c>
      <c r="K549" s="24">
        <f>DataTbl[[#This Row],[Engagement]]/DataTbl[[#This Row],[Views]]</f>
        <v>3.4855769230769232E-2</v>
      </c>
      <c r="L549" s="21">
        <f>SUM(DataTbl[[#This Row],[Profile Visits]:[New Followers]])</f>
        <v>44</v>
      </c>
    </row>
    <row r="550" spans="1:12" x14ac:dyDescent="0.3">
      <c r="A550" s="23">
        <v>46111</v>
      </c>
      <c r="B550" s="21">
        <v>746</v>
      </c>
      <c r="C550" s="21">
        <v>23872</v>
      </c>
      <c r="D550" s="21">
        <v>29</v>
      </c>
      <c r="E550" s="21">
        <v>10</v>
      </c>
      <c r="F550" s="21">
        <v>3</v>
      </c>
      <c r="G550" s="21">
        <v>5</v>
      </c>
      <c r="H550" s="21">
        <v>31</v>
      </c>
      <c r="I550" s="21">
        <v>5</v>
      </c>
      <c r="J550" s="21">
        <f>SUM(DataTbl[[#This Row],[Likes]:[Shares]])</f>
        <v>47</v>
      </c>
      <c r="K550" s="24">
        <f>DataTbl[[#This Row],[Engagement]]/DataTbl[[#This Row],[Views]]</f>
        <v>6.3002680965147453E-2</v>
      </c>
      <c r="L550" s="21">
        <f>SUM(DataTbl[[#This Row],[Profile Visits]:[New Followers]])</f>
        <v>36</v>
      </c>
    </row>
    <row r="551" spans="1:12" x14ac:dyDescent="0.3">
      <c r="A551" s="23">
        <v>46112</v>
      </c>
      <c r="B551" s="21">
        <v>880</v>
      </c>
      <c r="C551" s="21">
        <v>16720</v>
      </c>
      <c r="D551" s="21">
        <v>29</v>
      </c>
      <c r="E551" s="21">
        <v>13</v>
      </c>
      <c r="F551" s="21">
        <v>4</v>
      </c>
      <c r="G551" s="21">
        <v>3</v>
      </c>
      <c r="H551" s="21">
        <v>57</v>
      </c>
      <c r="I551" s="21">
        <v>11</v>
      </c>
      <c r="J551" s="21">
        <f>SUM(DataTbl[[#This Row],[Likes]:[Shares]])</f>
        <v>49</v>
      </c>
      <c r="K551" s="24">
        <f>DataTbl[[#This Row],[Engagement]]/DataTbl[[#This Row],[Views]]</f>
        <v>5.568181818181818E-2</v>
      </c>
      <c r="L551" s="21">
        <f>SUM(DataTbl[[#This Row],[Profile Visits]:[New Followers]])</f>
        <v>68</v>
      </c>
    </row>
    <row r="552" spans="1:12" x14ac:dyDescent="0.3">
      <c r="A552" s="23">
        <v>46113</v>
      </c>
      <c r="B552" s="21">
        <v>845</v>
      </c>
      <c r="C552" s="21">
        <v>27040</v>
      </c>
      <c r="D552" s="21">
        <v>19</v>
      </c>
      <c r="E552" s="21">
        <v>7</v>
      </c>
      <c r="F552" s="21">
        <v>2</v>
      </c>
      <c r="G552" s="21">
        <v>3</v>
      </c>
      <c r="H552" s="21">
        <v>61</v>
      </c>
      <c r="I552" s="21">
        <v>10</v>
      </c>
      <c r="J552" s="21">
        <f>SUM(DataTbl[[#This Row],[Likes]:[Shares]])</f>
        <v>31</v>
      </c>
      <c r="K552" s="24">
        <f>DataTbl[[#This Row],[Engagement]]/DataTbl[[#This Row],[Views]]</f>
        <v>3.6686390532544376E-2</v>
      </c>
      <c r="L552" s="21">
        <f>SUM(DataTbl[[#This Row],[Profile Visits]:[New Followers]])</f>
        <v>71</v>
      </c>
    </row>
    <row r="553" spans="1:12" x14ac:dyDescent="0.3">
      <c r="A553" s="23">
        <v>46114</v>
      </c>
      <c r="B553" s="21">
        <v>822</v>
      </c>
      <c r="C553" s="21">
        <v>16440</v>
      </c>
      <c r="D553" s="21">
        <v>16</v>
      </c>
      <c r="E553" s="21">
        <v>8</v>
      </c>
      <c r="F553" s="21">
        <v>2</v>
      </c>
      <c r="G553" s="21">
        <v>3</v>
      </c>
      <c r="H553" s="21">
        <v>57</v>
      </c>
      <c r="I553" s="21">
        <v>9</v>
      </c>
      <c r="J553" s="21">
        <f>SUM(DataTbl[[#This Row],[Likes]:[Shares]])</f>
        <v>29</v>
      </c>
      <c r="K553" s="24">
        <f>DataTbl[[#This Row],[Engagement]]/DataTbl[[#This Row],[Views]]</f>
        <v>3.5279805352798052E-2</v>
      </c>
      <c r="L553" s="21">
        <f>SUM(DataTbl[[#This Row],[Profile Visits]:[New Followers]])</f>
        <v>66</v>
      </c>
    </row>
    <row r="554" spans="1:12" x14ac:dyDescent="0.3">
      <c r="A554" s="23">
        <v>46115</v>
      </c>
      <c r="B554" s="21">
        <v>1115</v>
      </c>
      <c r="C554" s="21">
        <v>32335</v>
      </c>
      <c r="D554" s="21">
        <v>30</v>
      </c>
      <c r="E554" s="21">
        <v>11</v>
      </c>
      <c r="F554" s="21">
        <v>4</v>
      </c>
      <c r="G554" s="21">
        <v>5</v>
      </c>
      <c r="H554" s="21">
        <v>77</v>
      </c>
      <c r="I554" s="21">
        <v>8</v>
      </c>
      <c r="J554" s="21">
        <f>SUM(DataTbl[[#This Row],[Likes]:[Shares]])</f>
        <v>50</v>
      </c>
      <c r="K554" s="24">
        <f>DataTbl[[#This Row],[Engagement]]/DataTbl[[#This Row],[Views]]</f>
        <v>4.4843049327354258E-2</v>
      </c>
      <c r="L554" s="21">
        <f>SUM(DataTbl[[#This Row],[Profile Visits]:[New Followers]])</f>
        <v>85</v>
      </c>
    </row>
    <row r="555" spans="1:12" x14ac:dyDescent="0.3">
      <c r="A555" s="23">
        <v>46116</v>
      </c>
      <c r="B555" s="21">
        <v>1297</v>
      </c>
      <c r="C555" s="21">
        <v>42801</v>
      </c>
      <c r="D555" s="21">
        <v>41</v>
      </c>
      <c r="E555" s="21">
        <v>19</v>
      </c>
      <c r="F555" s="21">
        <v>5</v>
      </c>
      <c r="G555" s="21">
        <v>5</v>
      </c>
      <c r="H555" s="21">
        <v>59</v>
      </c>
      <c r="I555" s="21">
        <v>8</v>
      </c>
      <c r="J555" s="21">
        <f>SUM(DataTbl[[#This Row],[Likes]:[Shares]])</f>
        <v>70</v>
      </c>
      <c r="K555" s="24">
        <f>DataTbl[[#This Row],[Engagement]]/DataTbl[[#This Row],[Views]]</f>
        <v>5.3970701619121049E-2</v>
      </c>
      <c r="L555" s="21">
        <f>SUM(DataTbl[[#This Row],[Profile Visits]:[New Followers]])</f>
        <v>67</v>
      </c>
    </row>
    <row r="556" spans="1:12" x14ac:dyDescent="0.3">
      <c r="A556" s="23">
        <v>46117</v>
      </c>
      <c r="B556" s="21">
        <v>1208</v>
      </c>
      <c r="C556" s="21">
        <v>33824</v>
      </c>
      <c r="D556" s="21">
        <v>41</v>
      </c>
      <c r="E556" s="21">
        <v>20</v>
      </c>
      <c r="F556" s="21">
        <v>4</v>
      </c>
      <c r="G556" s="21">
        <v>7</v>
      </c>
      <c r="H556" s="21">
        <v>75</v>
      </c>
      <c r="I556" s="21">
        <v>12</v>
      </c>
      <c r="J556" s="21">
        <f>SUM(DataTbl[[#This Row],[Likes]:[Shares]])</f>
        <v>72</v>
      </c>
      <c r="K556" s="24">
        <f>DataTbl[[#This Row],[Engagement]]/DataTbl[[#This Row],[Views]]</f>
        <v>5.9602649006622516E-2</v>
      </c>
      <c r="L556" s="21">
        <f>SUM(DataTbl[[#This Row],[Profile Visits]:[New Followers]])</f>
        <v>87</v>
      </c>
    </row>
    <row r="557" spans="1:12" x14ac:dyDescent="0.3">
      <c r="A557" s="23">
        <v>46118</v>
      </c>
      <c r="B557" s="21">
        <v>865</v>
      </c>
      <c r="C557" s="21">
        <v>25950</v>
      </c>
      <c r="D557" s="21">
        <v>26</v>
      </c>
      <c r="E557" s="21">
        <v>10</v>
      </c>
      <c r="F557" s="21">
        <v>4</v>
      </c>
      <c r="G557" s="21">
        <v>3</v>
      </c>
      <c r="H557" s="21">
        <v>61</v>
      </c>
      <c r="I557" s="21">
        <v>12</v>
      </c>
      <c r="J557" s="21">
        <f>SUM(DataTbl[[#This Row],[Likes]:[Shares]])</f>
        <v>43</v>
      </c>
      <c r="K557" s="24">
        <f>DataTbl[[#This Row],[Engagement]]/DataTbl[[#This Row],[Views]]</f>
        <v>4.971098265895954E-2</v>
      </c>
      <c r="L557" s="21">
        <f>SUM(DataTbl[[#This Row],[Profile Visits]:[New Followers]])</f>
        <v>73</v>
      </c>
    </row>
    <row r="558" spans="1:12" x14ac:dyDescent="0.3">
      <c r="A558" s="23">
        <v>46119</v>
      </c>
      <c r="B558" s="21">
        <v>779</v>
      </c>
      <c r="C558" s="21">
        <v>14022</v>
      </c>
      <c r="D558" s="21">
        <v>22</v>
      </c>
      <c r="E558" s="21">
        <v>8</v>
      </c>
      <c r="F558" s="21">
        <v>3</v>
      </c>
      <c r="G558" s="21">
        <v>2</v>
      </c>
      <c r="H558" s="21">
        <v>34</v>
      </c>
      <c r="I558" s="21">
        <v>4</v>
      </c>
      <c r="J558" s="21">
        <f>SUM(DataTbl[[#This Row],[Likes]:[Shares]])</f>
        <v>35</v>
      </c>
      <c r="K558" s="24">
        <f>DataTbl[[#This Row],[Engagement]]/DataTbl[[#This Row],[Views]]</f>
        <v>4.4929396662387676E-2</v>
      </c>
      <c r="L558" s="21">
        <f>SUM(DataTbl[[#This Row],[Profile Visits]:[New Followers]])</f>
        <v>38</v>
      </c>
    </row>
    <row r="559" spans="1:12" x14ac:dyDescent="0.3">
      <c r="A559" s="23">
        <v>46120</v>
      </c>
      <c r="B559" s="21">
        <v>749</v>
      </c>
      <c r="C559" s="21">
        <v>23968</v>
      </c>
      <c r="D559" s="21">
        <v>21</v>
      </c>
      <c r="E559" s="21">
        <v>10</v>
      </c>
      <c r="F559" s="21">
        <v>3</v>
      </c>
      <c r="G559" s="21">
        <v>4</v>
      </c>
      <c r="H559" s="21">
        <v>45</v>
      </c>
      <c r="I559" s="21">
        <v>7</v>
      </c>
      <c r="J559" s="21">
        <f>SUM(DataTbl[[#This Row],[Likes]:[Shares]])</f>
        <v>38</v>
      </c>
      <c r="K559" s="24">
        <f>DataTbl[[#This Row],[Engagement]]/DataTbl[[#This Row],[Views]]</f>
        <v>5.0734312416555405E-2</v>
      </c>
      <c r="L559" s="21">
        <f>SUM(DataTbl[[#This Row],[Profile Visits]:[New Followers]])</f>
        <v>52</v>
      </c>
    </row>
    <row r="560" spans="1:12" x14ac:dyDescent="0.3">
      <c r="A560" s="23">
        <v>46121</v>
      </c>
      <c r="B560" s="21">
        <v>887</v>
      </c>
      <c r="C560" s="21">
        <v>27497</v>
      </c>
      <c r="D560" s="21">
        <v>23</v>
      </c>
      <c r="E560" s="21">
        <v>10</v>
      </c>
      <c r="F560" s="21">
        <v>3</v>
      </c>
      <c r="G560" s="21">
        <v>2</v>
      </c>
      <c r="H560" s="21">
        <v>50</v>
      </c>
      <c r="I560" s="21">
        <v>9</v>
      </c>
      <c r="J560" s="21">
        <f>SUM(DataTbl[[#This Row],[Likes]:[Shares]])</f>
        <v>38</v>
      </c>
      <c r="K560" s="24">
        <f>DataTbl[[#This Row],[Engagement]]/DataTbl[[#This Row],[Views]]</f>
        <v>4.2841037204058623E-2</v>
      </c>
      <c r="L560" s="21">
        <f>SUM(DataTbl[[#This Row],[Profile Visits]:[New Followers]])</f>
        <v>59</v>
      </c>
    </row>
    <row r="561" spans="1:12" x14ac:dyDescent="0.3">
      <c r="A561" s="23">
        <v>46122</v>
      </c>
      <c r="B561" s="21">
        <v>671</v>
      </c>
      <c r="C561" s="21">
        <v>21472</v>
      </c>
      <c r="D561" s="21">
        <v>26</v>
      </c>
      <c r="E561" s="21">
        <v>13</v>
      </c>
      <c r="F561" s="21">
        <v>4</v>
      </c>
      <c r="G561" s="21">
        <v>3</v>
      </c>
      <c r="H561" s="21">
        <v>33</v>
      </c>
      <c r="I561" s="21">
        <v>6</v>
      </c>
      <c r="J561" s="21">
        <f>SUM(DataTbl[[#This Row],[Likes]:[Shares]])</f>
        <v>46</v>
      </c>
      <c r="K561" s="24">
        <f>DataTbl[[#This Row],[Engagement]]/DataTbl[[#This Row],[Views]]</f>
        <v>6.8554396423248884E-2</v>
      </c>
      <c r="L561" s="21">
        <f>SUM(DataTbl[[#This Row],[Profile Visits]:[New Followers]])</f>
        <v>39</v>
      </c>
    </row>
    <row r="562" spans="1:12" x14ac:dyDescent="0.3">
      <c r="A562" s="23">
        <v>46123</v>
      </c>
      <c r="B562" s="21">
        <v>1050</v>
      </c>
      <c r="C562" s="21">
        <v>30450</v>
      </c>
      <c r="D562" s="21">
        <v>30</v>
      </c>
      <c r="E562" s="21">
        <v>14</v>
      </c>
      <c r="F562" s="21">
        <v>3</v>
      </c>
      <c r="G562" s="21">
        <v>4</v>
      </c>
      <c r="H562" s="21">
        <v>55</v>
      </c>
      <c r="I562" s="21">
        <v>10</v>
      </c>
      <c r="J562" s="21">
        <f>SUM(DataTbl[[#This Row],[Likes]:[Shares]])</f>
        <v>51</v>
      </c>
      <c r="K562" s="24">
        <f>DataTbl[[#This Row],[Engagement]]/DataTbl[[#This Row],[Views]]</f>
        <v>4.8571428571428571E-2</v>
      </c>
      <c r="L562" s="21">
        <f>SUM(DataTbl[[#This Row],[Profile Visits]:[New Followers]])</f>
        <v>65</v>
      </c>
    </row>
    <row r="563" spans="1:12" x14ac:dyDescent="0.3">
      <c r="A563" s="23">
        <v>46124</v>
      </c>
      <c r="B563" s="21">
        <v>771</v>
      </c>
      <c r="C563" s="21">
        <v>18504</v>
      </c>
      <c r="D563" s="21">
        <v>21</v>
      </c>
      <c r="E563" s="21">
        <v>9</v>
      </c>
      <c r="F563" s="21">
        <v>2</v>
      </c>
      <c r="G563" s="21">
        <v>3</v>
      </c>
      <c r="H563" s="21">
        <v>36</v>
      </c>
      <c r="I563" s="21">
        <v>4</v>
      </c>
      <c r="J563" s="21">
        <f>SUM(DataTbl[[#This Row],[Likes]:[Shares]])</f>
        <v>35</v>
      </c>
      <c r="K563" s="24">
        <f>DataTbl[[#This Row],[Engagement]]/DataTbl[[#This Row],[Views]]</f>
        <v>4.5395590142671853E-2</v>
      </c>
      <c r="L563" s="21">
        <f>SUM(DataTbl[[#This Row],[Profile Visits]:[New Followers]])</f>
        <v>40</v>
      </c>
    </row>
    <row r="564" spans="1:12" x14ac:dyDescent="0.3">
      <c r="A564" s="23">
        <v>46125</v>
      </c>
      <c r="B564" s="21">
        <v>818</v>
      </c>
      <c r="C564" s="21">
        <v>26176</v>
      </c>
      <c r="D564" s="21">
        <v>34</v>
      </c>
      <c r="E564" s="21">
        <v>17</v>
      </c>
      <c r="F564" s="21">
        <v>3</v>
      </c>
      <c r="G564" s="21">
        <v>4</v>
      </c>
      <c r="H564" s="21">
        <v>56</v>
      </c>
      <c r="I564" s="21">
        <v>10</v>
      </c>
      <c r="J564" s="21">
        <f>SUM(DataTbl[[#This Row],[Likes]:[Shares]])</f>
        <v>58</v>
      </c>
      <c r="K564" s="24">
        <f>DataTbl[[#This Row],[Engagement]]/DataTbl[[#This Row],[Views]]</f>
        <v>7.090464547677261E-2</v>
      </c>
      <c r="L564" s="21">
        <f>SUM(DataTbl[[#This Row],[Profile Visits]:[New Followers]])</f>
        <v>66</v>
      </c>
    </row>
    <row r="565" spans="1:12" x14ac:dyDescent="0.3">
      <c r="A565" s="23">
        <v>46126</v>
      </c>
      <c r="B565" s="21">
        <v>654</v>
      </c>
      <c r="C565" s="21">
        <v>19620</v>
      </c>
      <c r="D565" s="21">
        <v>19</v>
      </c>
      <c r="E565" s="21">
        <v>7</v>
      </c>
      <c r="F565" s="21">
        <v>3</v>
      </c>
      <c r="G565" s="21">
        <v>2</v>
      </c>
      <c r="H565" s="21">
        <v>50</v>
      </c>
      <c r="I565" s="21">
        <v>7</v>
      </c>
      <c r="J565" s="21">
        <f>SUM(DataTbl[[#This Row],[Likes]:[Shares]])</f>
        <v>31</v>
      </c>
      <c r="K565" s="24">
        <f>DataTbl[[#This Row],[Engagement]]/DataTbl[[#This Row],[Views]]</f>
        <v>4.7400611620795105E-2</v>
      </c>
      <c r="L565" s="21">
        <f>SUM(DataTbl[[#This Row],[Profile Visits]:[New Followers]])</f>
        <v>57</v>
      </c>
    </row>
    <row r="566" spans="1:12" x14ac:dyDescent="0.3">
      <c r="A566" s="23">
        <v>46127</v>
      </c>
      <c r="B566" s="21">
        <v>877</v>
      </c>
      <c r="C566" s="21">
        <v>25433</v>
      </c>
      <c r="D566" s="21">
        <v>25</v>
      </c>
      <c r="E566" s="21">
        <v>9</v>
      </c>
      <c r="F566" s="21">
        <v>3</v>
      </c>
      <c r="G566" s="21">
        <v>4</v>
      </c>
      <c r="H566" s="21">
        <v>51</v>
      </c>
      <c r="I566" s="21">
        <v>10</v>
      </c>
      <c r="J566" s="21">
        <f>SUM(DataTbl[[#This Row],[Likes]:[Shares]])</f>
        <v>41</v>
      </c>
      <c r="K566" s="24">
        <f>DataTbl[[#This Row],[Engagement]]/DataTbl[[#This Row],[Views]]</f>
        <v>4.6750285062713795E-2</v>
      </c>
      <c r="L566" s="21">
        <f>SUM(DataTbl[[#This Row],[Profile Visits]:[New Followers]])</f>
        <v>61</v>
      </c>
    </row>
    <row r="567" spans="1:12" x14ac:dyDescent="0.3">
      <c r="A567" s="23">
        <v>46128</v>
      </c>
      <c r="B567" s="21">
        <v>771</v>
      </c>
      <c r="C567" s="21">
        <v>25443</v>
      </c>
      <c r="D567" s="21">
        <v>28</v>
      </c>
      <c r="E567" s="21">
        <v>13</v>
      </c>
      <c r="F567" s="21">
        <v>3</v>
      </c>
      <c r="G567" s="21">
        <v>3</v>
      </c>
      <c r="H567" s="21">
        <v>33</v>
      </c>
      <c r="I567" s="21">
        <v>6</v>
      </c>
      <c r="J567" s="21">
        <f>SUM(DataTbl[[#This Row],[Likes]:[Shares]])</f>
        <v>47</v>
      </c>
      <c r="K567" s="24">
        <f>DataTbl[[#This Row],[Engagement]]/DataTbl[[#This Row],[Views]]</f>
        <v>6.0959792477302203E-2</v>
      </c>
      <c r="L567" s="21">
        <f>SUM(DataTbl[[#This Row],[Profile Visits]:[New Followers]])</f>
        <v>39</v>
      </c>
    </row>
    <row r="568" spans="1:12" x14ac:dyDescent="0.3">
      <c r="A568" s="23">
        <v>46129</v>
      </c>
      <c r="B568" s="21">
        <v>2203</v>
      </c>
      <c r="C568" s="21">
        <v>39654</v>
      </c>
      <c r="D568" s="21">
        <v>66</v>
      </c>
      <c r="E568" s="21">
        <v>26</v>
      </c>
      <c r="F568" s="21">
        <v>7</v>
      </c>
      <c r="G568" s="21">
        <v>8</v>
      </c>
      <c r="H568" s="21">
        <v>136</v>
      </c>
      <c r="I568" s="21">
        <v>26</v>
      </c>
      <c r="J568" s="21">
        <f>SUM(DataTbl[[#This Row],[Likes]:[Shares]])</f>
        <v>107</v>
      </c>
      <c r="K568" s="24">
        <f>DataTbl[[#This Row],[Engagement]]/DataTbl[[#This Row],[Views]]</f>
        <v>4.8570131638674532E-2</v>
      </c>
      <c r="L568" s="21">
        <f>SUM(DataTbl[[#This Row],[Profile Visits]:[New Followers]])</f>
        <v>162</v>
      </c>
    </row>
    <row r="569" spans="1:12" x14ac:dyDescent="0.3">
      <c r="A569" s="23">
        <v>46130</v>
      </c>
      <c r="B569" s="21">
        <v>866</v>
      </c>
      <c r="C569" s="21">
        <v>19052</v>
      </c>
      <c r="D569" s="21">
        <v>32</v>
      </c>
      <c r="E569" s="21">
        <v>12</v>
      </c>
      <c r="F569" s="21">
        <v>4</v>
      </c>
      <c r="G569" s="21">
        <v>3</v>
      </c>
      <c r="H569" s="21">
        <v>36</v>
      </c>
      <c r="I569" s="21">
        <v>5</v>
      </c>
      <c r="J569" s="21">
        <f>SUM(DataTbl[[#This Row],[Likes]:[Shares]])</f>
        <v>51</v>
      </c>
      <c r="K569" s="24">
        <f>DataTbl[[#This Row],[Engagement]]/DataTbl[[#This Row],[Views]]</f>
        <v>5.889145496535797E-2</v>
      </c>
      <c r="L569" s="21">
        <f>SUM(DataTbl[[#This Row],[Profile Visits]:[New Followers]])</f>
        <v>41</v>
      </c>
    </row>
    <row r="570" spans="1:12" x14ac:dyDescent="0.3">
      <c r="A570" s="23">
        <v>46131</v>
      </c>
      <c r="B570" s="21">
        <v>862</v>
      </c>
      <c r="C570" s="21">
        <v>24136</v>
      </c>
      <c r="D570" s="21">
        <v>34</v>
      </c>
      <c r="E570" s="21">
        <v>14</v>
      </c>
      <c r="F570" s="21">
        <v>5</v>
      </c>
      <c r="G570" s="21">
        <v>3</v>
      </c>
      <c r="H570" s="21">
        <v>38</v>
      </c>
      <c r="I570" s="21">
        <v>5</v>
      </c>
      <c r="J570" s="21">
        <f>SUM(DataTbl[[#This Row],[Likes]:[Shares]])</f>
        <v>56</v>
      </c>
      <c r="K570" s="24">
        <f>DataTbl[[#This Row],[Engagement]]/DataTbl[[#This Row],[Views]]</f>
        <v>6.4965197215777259E-2</v>
      </c>
      <c r="L570" s="21">
        <f>SUM(DataTbl[[#This Row],[Profile Visits]:[New Followers]])</f>
        <v>43</v>
      </c>
    </row>
    <row r="571" spans="1:12" x14ac:dyDescent="0.3">
      <c r="A571" s="23">
        <v>46132</v>
      </c>
      <c r="B571" s="21">
        <v>898</v>
      </c>
      <c r="C571" s="21">
        <v>21552</v>
      </c>
      <c r="D571" s="21">
        <v>37</v>
      </c>
      <c r="E571" s="21">
        <v>14</v>
      </c>
      <c r="F571" s="21">
        <v>4</v>
      </c>
      <c r="G571" s="21">
        <v>4</v>
      </c>
      <c r="H571" s="21">
        <v>54</v>
      </c>
      <c r="I571" s="21">
        <v>7</v>
      </c>
      <c r="J571" s="21">
        <f>SUM(DataTbl[[#This Row],[Likes]:[Shares]])</f>
        <v>59</v>
      </c>
      <c r="K571" s="24">
        <f>DataTbl[[#This Row],[Engagement]]/DataTbl[[#This Row],[Views]]</f>
        <v>6.5701559020044542E-2</v>
      </c>
      <c r="L571" s="21">
        <f>SUM(DataTbl[[#This Row],[Profile Visits]:[New Followers]])</f>
        <v>61</v>
      </c>
    </row>
    <row r="572" spans="1:12" x14ac:dyDescent="0.3">
      <c r="A572" s="23">
        <v>46133</v>
      </c>
      <c r="B572" s="21">
        <v>688</v>
      </c>
      <c r="C572" s="21">
        <v>22016</v>
      </c>
      <c r="D572" s="21">
        <v>31</v>
      </c>
      <c r="E572" s="21">
        <v>13</v>
      </c>
      <c r="F572" s="21">
        <v>3</v>
      </c>
      <c r="G572" s="21">
        <v>4</v>
      </c>
      <c r="H572" s="21">
        <v>54</v>
      </c>
      <c r="I572" s="21">
        <v>10</v>
      </c>
      <c r="J572" s="21">
        <f>SUM(DataTbl[[#This Row],[Likes]:[Shares]])</f>
        <v>51</v>
      </c>
      <c r="K572" s="24">
        <f>DataTbl[[#This Row],[Engagement]]/DataTbl[[#This Row],[Views]]</f>
        <v>7.4127906976744193E-2</v>
      </c>
      <c r="L572" s="21">
        <f>SUM(DataTbl[[#This Row],[Profile Visits]:[New Followers]])</f>
        <v>64</v>
      </c>
    </row>
    <row r="573" spans="1:12" x14ac:dyDescent="0.3">
      <c r="A573" s="23">
        <v>46134</v>
      </c>
      <c r="B573" s="21">
        <v>706</v>
      </c>
      <c r="C573" s="21">
        <v>22592</v>
      </c>
      <c r="D573" s="21">
        <v>17</v>
      </c>
      <c r="E573" s="21">
        <v>9</v>
      </c>
      <c r="F573" s="21">
        <v>3</v>
      </c>
      <c r="G573" s="21">
        <v>2</v>
      </c>
      <c r="H573" s="21">
        <v>30</v>
      </c>
      <c r="I573" s="21">
        <v>4</v>
      </c>
      <c r="J573" s="21">
        <f>SUM(DataTbl[[#This Row],[Likes]:[Shares]])</f>
        <v>31</v>
      </c>
      <c r="K573" s="24">
        <f>DataTbl[[#This Row],[Engagement]]/DataTbl[[#This Row],[Views]]</f>
        <v>4.3909348441926344E-2</v>
      </c>
      <c r="L573" s="21">
        <f>SUM(DataTbl[[#This Row],[Profile Visits]:[New Followers]])</f>
        <v>34</v>
      </c>
    </row>
    <row r="574" spans="1:12" x14ac:dyDescent="0.3">
      <c r="A574" s="23">
        <v>46135</v>
      </c>
      <c r="B574" s="21">
        <v>735</v>
      </c>
      <c r="C574" s="21">
        <v>21315</v>
      </c>
      <c r="D574" s="21">
        <v>15</v>
      </c>
      <c r="E574" s="21">
        <v>7</v>
      </c>
      <c r="F574" s="21">
        <v>2</v>
      </c>
      <c r="G574" s="21">
        <v>2</v>
      </c>
      <c r="H574" s="21">
        <v>55</v>
      </c>
      <c r="I574" s="21">
        <v>7</v>
      </c>
      <c r="J574" s="21">
        <f>SUM(DataTbl[[#This Row],[Likes]:[Shares]])</f>
        <v>26</v>
      </c>
      <c r="K574" s="24">
        <f>DataTbl[[#This Row],[Engagement]]/DataTbl[[#This Row],[Views]]</f>
        <v>3.5374149659863949E-2</v>
      </c>
      <c r="L574" s="21">
        <f>SUM(DataTbl[[#This Row],[Profile Visits]:[New Followers]])</f>
        <v>62</v>
      </c>
    </row>
    <row r="575" spans="1:12" x14ac:dyDescent="0.3">
      <c r="A575" s="23">
        <v>46136</v>
      </c>
      <c r="B575" s="21">
        <v>856</v>
      </c>
      <c r="C575" s="21">
        <v>29960</v>
      </c>
      <c r="D575" s="21">
        <v>27</v>
      </c>
      <c r="E575" s="21">
        <v>13</v>
      </c>
      <c r="F575" s="21">
        <v>3</v>
      </c>
      <c r="G575" s="21">
        <v>4</v>
      </c>
      <c r="H575" s="21">
        <v>45</v>
      </c>
      <c r="I575" s="21">
        <v>5</v>
      </c>
      <c r="J575" s="21">
        <f>SUM(DataTbl[[#This Row],[Likes]:[Shares]])</f>
        <v>47</v>
      </c>
      <c r="K575" s="24">
        <f>DataTbl[[#This Row],[Engagement]]/DataTbl[[#This Row],[Views]]</f>
        <v>5.4906542056074766E-2</v>
      </c>
      <c r="L575" s="21">
        <f>SUM(DataTbl[[#This Row],[Profile Visits]:[New Followers]])</f>
        <v>50</v>
      </c>
    </row>
    <row r="576" spans="1:12" x14ac:dyDescent="0.3">
      <c r="A576" s="23">
        <v>46137</v>
      </c>
      <c r="B576" s="21">
        <v>859</v>
      </c>
      <c r="C576" s="21">
        <v>16321</v>
      </c>
      <c r="D576" s="21">
        <v>28</v>
      </c>
      <c r="E576" s="21">
        <v>14</v>
      </c>
      <c r="F576" s="21">
        <v>3</v>
      </c>
      <c r="G576" s="21">
        <v>3</v>
      </c>
      <c r="H576" s="21">
        <v>35</v>
      </c>
      <c r="I576" s="21">
        <v>4</v>
      </c>
      <c r="J576" s="21">
        <f>SUM(DataTbl[[#This Row],[Likes]:[Shares]])</f>
        <v>48</v>
      </c>
      <c r="K576" s="24">
        <f>DataTbl[[#This Row],[Engagement]]/DataTbl[[#This Row],[Views]]</f>
        <v>5.5878928987194411E-2</v>
      </c>
      <c r="L576" s="21">
        <f>SUM(DataTbl[[#This Row],[Profile Visits]:[New Followers]])</f>
        <v>39</v>
      </c>
    </row>
    <row r="577" spans="1:12" x14ac:dyDescent="0.3">
      <c r="A577" s="23">
        <v>46138</v>
      </c>
      <c r="B577" s="21">
        <v>1089</v>
      </c>
      <c r="C577" s="21">
        <v>25047</v>
      </c>
      <c r="D577" s="21">
        <v>26</v>
      </c>
      <c r="E577" s="21">
        <v>10</v>
      </c>
      <c r="F577" s="21">
        <v>3</v>
      </c>
      <c r="G577" s="21">
        <v>4</v>
      </c>
      <c r="H577" s="21">
        <v>68</v>
      </c>
      <c r="I577" s="21">
        <v>11</v>
      </c>
      <c r="J577" s="21">
        <f>SUM(DataTbl[[#This Row],[Likes]:[Shares]])</f>
        <v>43</v>
      </c>
      <c r="K577" s="24">
        <f>DataTbl[[#This Row],[Engagement]]/DataTbl[[#This Row],[Views]]</f>
        <v>3.948576675849403E-2</v>
      </c>
      <c r="L577" s="21">
        <f>SUM(DataTbl[[#This Row],[Profile Visits]:[New Followers]])</f>
        <v>79</v>
      </c>
    </row>
    <row r="578" spans="1:12" x14ac:dyDescent="0.3">
      <c r="A578" s="23">
        <v>46139</v>
      </c>
      <c r="B578" s="21">
        <v>662</v>
      </c>
      <c r="C578" s="21">
        <v>13902</v>
      </c>
      <c r="D578" s="21">
        <v>23</v>
      </c>
      <c r="E578" s="21">
        <v>8</v>
      </c>
      <c r="F578" s="21">
        <v>4</v>
      </c>
      <c r="G578" s="21">
        <v>3</v>
      </c>
      <c r="H578" s="21">
        <v>46</v>
      </c>
      <c r="I578" s="21">
        <v>7</v>
      </c>
      <c r="J578" s="21">
        <f>SUM(DataTbl[[#This Row],[Likes]:[Shares]])</f>
        <v>38</v>
      </c>
      <c r="K578" s="24">
        <f>DataTbl[[#This Row],[Engagement]]/DataTbl[[#This Row],[Views]]</f>
        <v>5.7401812688821753E-2</v>
      </c>
      <c r="L578" s="21">
        <f>SUM(DataTbl[[#This Row],[Profile Visits]:[New Followers]])</f>
        <v>53</v>
      </c>
    </row>
    <row r="579" spans="1:12" x14ac:dyDescent="0.3">
      <c r="A579" s="23">
        <v>46140</v>
      </c>
      <c r="B579" s="21">
        <v>772</v>
      </c>
      <c r="C579" s="21">
        <v>20844</v>
      </c>
      <c r="D579" s="21">
        <v>19</v>
      </c>
      <c r="E579" s="21">
        <v>9</v>
      </c>
      <c r="F579" s="21">
        <v>2</v>
      </c>
      <c r="G579" s="21">
        <v>3</v>
      </c>
      <c r="H579" s="21">
        <v>49</v>
      </c>
      <c r="I579" s="21">
        <v>8</v>
      </c>
      <c r="J579" s="21">
        <f>SUM(DataTbl[[#This Row],[Likes]:[Shares]])</f>
        <v>33</v>
      </c>
      <c r="K579" s="24">
        <f>DataTbl[[#This Row],[Engagement]]/DataTbl[[#This Row],[Views]]</f>
        <v>4.2746113989637305E-2</v>
      </c>
      <c r="L579" s="21">
        <f>SUM(DataTbl[[#This Row],[Profile Visits]:[New Followers]])</f>
        <v>57</v>
      </c>
    </row>
    <row r="580" spans="1:12" x14ac:dyDescent="0.3">
      <c r="A580" s="23">
        <v>46141</v>
      </c>
      <c r="B580" s="21">
        <v>678</v>
      </c>
      <c r="C580" s="21">
        <v>23052</v>
      </c>
      <c r="D580" s="21">
        <v>26</v>
      </c>
      <c r="E580" s="21">
        <v>12</v>
      </c>
      <c r="F580" s="21">
        <v>3</v>
      </c>
      <c r="G580" s="21">
        <v>4</v>
      </c>
      <c r="H580" s="21">
        <v>42</v>
      </c>
      <c r="I580" s="21">
        <v>7</v>
      </c>
      <c r="J580" s="21">
        <f>SUM(DataTbl[[#This Row],[Likes]:[Shares]])</f>
        <v>45</v>
      </c>
      <c r="K580" s="24">
        <f>DataTbl[[#This Row],[Engagement]]/DataTbl[[#This Row],[Views]]</f>
        <v>6.637168141592921E-2</v>
      </c>
      <c r="L580" s="21">
        <f>SUM(DataTbl[[#This Row],[Profile Visits]:[New Followers]])</f>
        <v>49</v>
      </c>
    </row>
    <row r="581" spans="1:12" x14ac:dyDescent="0.3">
      <c r="A581" s="23">
        <v>46142</v>
      </c>
      <c r="B581" s="21">
        <v>678</v>
      </c>
      <c r="C581" s="21">
        <v>15594</v>
      </c>
      <c r="D581" s="21">
        <v>15</v>
      </c>
      <c r="E581" s="21">
        <v>6</v>
      </c>
      <c r="F581" s="21">
        <v>2</v>
      </c>
      <c r="G581" s="21">
        <v>2</v>
      </c>
      <c r="H581" s="21">
        <v>39</v>
      </c>
      <c r="I581" s="21">
        <v>5</v>
      </c>
      <c r="J581" s="21">
        <f>SUM(DataTbl[[#This Row],[Likes]:[Shares]])</f>
        <v>25</v>
      </c>
      <c r="K581" s="24">
        <f>DataTbl[[#This Row],[Engagement]]/DataTbl[[#This Row],[Views]]</f>
        <v>3.687315634218289E-2</v>
      </c>
      <c r="L581" s="21">
        <f>SUM(DataTbl[[#This Row],[Profile Visits]:[New Followers]])</f>
        <v>44</v>
      </c>
    </row>
  </sheetData>
  <phoneticPr fontId="1" type="noConversion"/>
  <dataValidations count="2">
    <dataValidation allowBlank="1" showInputMessage="1" showErrorMessage="1" prompt="Likes + Saves + Comments + Shares_x000a_" sqref="J2:K2" xr:uid="{14E6A7FF-A640-4CF5-85C2-9DA3EFAF2476}"/>
    <dataValidation allowBlank="1" showInputMessage="1" showErrorMessage="1" prompt="Profile Visites + New Followers_x000a_" sqref="L2" xr:uid="{081E390F-45D7-40E9-BFBC-F69022DD563B}"/>
  </dataValidations>
  <pageMargins left="0.7" right="0.7" top="0.75" bottom="0.75" header="0.3" footer="0.3"/>
  <ignoredErrors>
    <ignoredError sqref="J3:K4 L3:L4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9520-6823-49CC-ACD9-6627972909B9}">
  <dimension ref="A1:L701"/>
  <sheetViews>
    <sheetView workbookViewId="0">
      <selection activeCell="C18" sqref="C18"/>
    </sheetView>
  </sheetViews>
  <sheetFormatPr baseColWidth="10" defaultRowHeight="14.4" x14ac:dyDescent="0.3"/>
  <cols>
    <col min="1" max="1" width="13" style="21" bestFit="1" customWidth="1"/>
    <col min="2" max="2" width="16.88671875" style="21" bestFit="1" customWidth="1"/>
    <col min="3" max="3" width="20.33203125" style="21" customWidth="1"/>
    <col min="4" max="4" width="8.21875" style="21" bestFit="1" customWidth="1"/>
    <col min="5" max="5" width="7.109375" style="21" bestFit="1" customWidth="1"/>
    <col min="6" max="6" width="11.6640625" style="21" bestFit="1" customWidth="1"/>
    <col min="7" max="7" width="8" style="21" bestFit="1" customWidth="1"/>
    <col min="8" max="8" width="13.44140625" style="21" bestFit="1" customWidth="1"/>
    <col min="9" max="9" width="14.6640625" style="21" bestFit="1" customWidth="1"/>
    <col min="10" max="10" width="12.5546875" style="21" bestFit="1" customWidth="1"/>
    <col min="11" max="11" width="16.88671875" style="21" bestFit="1" customWidth="1"/>
    <col min="12" max="12" width="16" style="21" customWidth="1"/>
  </cols>
  <sheetData>
    <row r="1" spans="1:12" ht="18.600000000000001" thickBot="1" x14ac:dyDescent="0.35">
      <c r="A1" s="26" t="s">
        <v>48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3">
      <c r="A2" s="21" t="s">
        <v>0</v>
      </c>
      <c r="B2" s="21" t="s">
        <v>5</v>
      </c>
      <c r="C2" s="21" t="s">
        <v>46</v>
      </c>
      <c r="D2" s="21" t="s">
        <v>10</v>
      </c>
      <c r="E2" s="21" t="s">
        <v>41</v>
      </c>
      <c r="F2" s="21" t="s">
        <v>42</v>
      </c>
      <c r="G2" s="21" t="s">
        <v>43</v>
      </c>
      <c r="H2" s="21" t="s">
        <v>44</v>
      </c>
      <c r="I2" s="21" t="s">
        <v>7</v>
      </c>
      <c r="J2" s="21" t="s">
        <v>6</v>
      </c>
      <c r="K2" s="21" t="s">
        <v>8</v>
      </c>
      <c r="L2" s="21" t="s">
        <v>45</v>
      </c>
    </row>
    <row r="3" spans="1:12" x14ac:dyDescent="0.3">
      <c r="A3" s="23" cm="1">
        <f t="array" ref="A3:A92">IFERROR(_xlfn._xlws.SORT(_xlfn._xlws.FILTER(DataTbl[Date],(DataTbl[Date]&gt;=Dashboard!$C$7)*(DataTbl[Date]&lt;=Dashboard!$D$7))),"")</f>
        <v>46053</v>
      </c>
      <c r="B3" s="21" cm="1">
        <f t="array" ref="B3:B92">IFERROR(_xlfn.XLOOKUP(_xlfn.ANCHORARRAY(A3),DataTbl[Date],DataTbl[Views]),"")</f>
        <v>1016</v>
      </c>
      <c r="C3" s="21" cm="1">
        <f t="array" ref="C3:C92">IFERROR(_xlfn.XLOOKUP(_xlfn.ANCHORARRAY(A3),DataTbl[Date],DataTbl[Total Watch Time (s)]),"")</f>
        <v>25400</v>
      </c>
      <c r="D3" s="21" cm="1">
        <f t="array" ref="D3:D92">IFERROR(_xlfn.XLOOKUP(_xlfn.ANCHORARRAY(A3),DataTbl[Date],DataTbl[Likes]),"")</f>
        <v>44</v>
      </c>
      <c r="E3" s="21" cm="1">
        <f t="array" ref="E3:E92">IFERROR(_xlfn.XLOOKUP(_xlfn.ANCHORARRAY($A$3),DataTbl[Date],DataTbl[Saves]),"")</f>
        <v>15</v>
      </c>
      <c r="F3" s="21" cm="1">
        <f t="array" ref="F3:F92">IFERROR(_xlfn.XLOOKUP(_xlfn.ANCHORARRAY($A$3),DataTbl[Date],DataTbl[Comments]),"")</f>
        <v>5</v>
      </c>
      <c r="G3" s="21" cm="1">
        <f t="array" ref="G3:G92">IFERROR(_xlfn.XLOOKUP(_xlfn.ANCHORARRAY($A$3),DataTbl[Date],DataTbl[Shares]),"")</f>
        <v>4</v>
      </c>
      <c r="H3" s="21" cm="1">
        <f t="array" ref="H3:H92">IFERROR(_xlfn.XLOOKUP(_xlfn.ANCHORARRAY($A$3),DataTbl[Date],DataTbl[Profile Visits]),"")</f>
        <v>43</v>
      </c>
      <c r="I3" s="21" cm="1">
        <f t="array" ref="I3:I92">IFERROR(_xlfn.XLOOKUP(_xlfn.ANCHORARRAY($A$3),DataTbl[Date],DataTbl[New Followers]),"")</f>
        <v>6</v>
      </c>
      <c r="J3" s="21" cm="1">
        <f t="array" ref="J3:J92">IFERROR(_xlfn.XLOOKUP(_xlfn.ANCHORARRAY($A$3),DataTbl[Date],DataTbl[Engagement]),"")</f>
        <v>68</v>
      </c>
      <c r="K3" s="25" cm="1">
        <f t="array" ref="K3:K92">IFERROR(_xlfn.XLOOKUP(_xlfn.ANCHORARRAY($A$3),DataTbl[Date],DataTbl[Engagement Rate]),"")</f>
        <v>6.6929133858267723E-2</v>
      </c>
      <c r="L3" s="21" cm="1">
        <f t="array" ref="L3:L92">IFERROR(_xlfn.XLOOKUP(_xlfn.ANCHORARRAY($A$3),DataTbl[Date],DataTbl[Brand Awareness]),"")</f>
        <v>49</v>
      </c>
    </row>
    <row r="4" spans="1:12" x14ac:dyDescent="0.3">
      <c r="A4" s="23">
        <v>46054</v>
      </c>
      <c r="B4" s="21">
        <v>908</v>
      </c>
      <c r="C4" s="21">
        <v>19068</v>
      </c>
      <c r="D4" s="21">
        <v>35</v>
      </c>
      <c r="E4" s="21">
        <v>17</v>
      </c>
      <c r="F4" s="21">
        <v>6</v>
      </c>
      <c r="G4" s="21">
        <v>4</v>
      </c>
      <c r="H4" s="21">
        <v>57</v>
      </c>
      <c r="I4" s="21">
        <v>7</v>
      </c>
      <c r="J4" s="21">
        <v>62</v>
      </c>
      <c r="K4" s="24">
        <v>6.8281938325991193E-2</v>
      </c>
      <c r="L4" s="21">
        <v>64</v>
      </c>
    </row>
    <row r="5" spans="1:12" x14ac:dyDescent="0.3">
      <c r="A5" s="23">
        <v>46055</v>
      </c>
      <c r="B5" s="21">
        <v>815</v>
      </c>
      <c r="C5" s="21">
        <v>17115</v>
      </c>
      <c r="D5" s="21">
        <v>26</v>
      </c>
      <c r="E5" s="21">
        <v>9</v>
      </c>
      <c r="F5" s="21">
        <v>2</v>
      </c>
      <c r="G5" s="21">
        <v>2</v>
      </c>
      <c r="H5" s="21">
        <v>46</v>
      </c>
      <c r="I5" s="21">
        <v>8</v>
      </c>
      <c r="J5" s="21">
        <v>39</v>
      </c>
      <c r="K5" s="24">
        <v>4.785276073619632E-2</v>
      </c>
      <c r="L5" s="21">
        <v>54</v>
      </c>
    </row>
    <row r="6" spans="1:12" x14ac:dyDescent="0.3">
      <c r="A6" s="23">
        <v>46056</v>
      </c>
      <c r="B6" s="21">
        <v>808</v>
      </c>
      <c r="C6" s="21">
        <v>15352</v>
      </c>
      <c r="D6" s="21">
        <v>17</v>
      </c>
      <c r="E6" s="21">
        <v>9</v>
      </c>
      <c r="F6" s="21">
        <v>2</v>
      </c>
      <c r="G6" s="21">
        <v>2</v>
      </c>
      <c r="H6" s="21">
        <v>60</v>
      </c>
      <c r="I6" s="21">
        <v>11</v>
      </c>
      <c r="J6" s="21">
        <v>30</v>
      </c>
      <c r="K6" s="24">
        <v>3.7128712871287127E-2</v>
      </c>
      <c r="L6" s="21">
        <v>71</v>
      </c>
    </row>
    <row r="7" spans="1:12" x14ac:dyDescent="0.3">
      <c r="A7" s="23">
        <v>46057</v>
      </c>
      <c r="B7" s="21">
        <v>673</v>
      </c>
      <c r="C7" s="21">
        <v>14806</v>
      </c>
      <c r="D7" s="21">
        <v>30</v>
      </c>
      <c r="E7" s="21">
        <v>13</v>
      </c>
      <c r="F7" s="21">
        <v>4</v>
      </c>
      <c r="G7" s="21">
        <v>5</v>
      </c>
      <c r="H7" s="21">
        <v>28</v>
      </c>
      <c r="I7" s="21">
        <v>3</v>
      </c>
      <c r="J7" s="21">
        <v>52</v>
      </c>
      <c r="K7" s="24">
        <v>7.7265973254086184E-2</v>
      </c>
      <c r="L7" s="21">
        <v>31</v>
      </c>
    </row>
    <row r="8" spans="1:12" x14ac:dyDescent="0.3">
      <c r="A8" s="23">
        <v>46058</v>
      </c>
      <c r="B8" s="21">
        <v>736</v>
      </c>
      <c r="C8" s="21">
        <v>22080</v>
      </c>
      <c r="D8" s="21">
        <v>29</v>
      </c>
      <c r="E8" s="21">
        <v>11</v>
      </c>
      <c r="F8" s="21">
        <v>3</v>
      </c>
      <c r="G8" s="21">
        <v>3</v>
      </c>
      <c r="H8" s="21">
        <v>54</v>
      </c>
      <c r="I8" s="21">
        <v>9</v>
      </c>
      <c r="J8" s="21">
        <v>46</v>
      </c>
      <c r="K8" s="24">
        <v>6.25E-2</v>
      </c>
      <c r="L8" s="21">
        <v>63</v>
      </c>
    </row>
    <row r="9" spans="1:12" x14ac:dyDescent="0.3">
      <c r="A9" s="23">
        <v>46059</v>
      </c>
      <c r="B9" s="21">
        <v>658</v>
      </c>
      <c r="C9" s="21">
        <v>13818</v>
      </c>
      <c r="D9" s="21">
        <v>30</v>
      </c>
      <c r="E9" s="21">
        <v>10</v>
      </c>
      <c r="F9" s="21">
        <v>3</v>
      </c>
      <c r="G9" s="21">
        <v>5</v>
      </c>
      <c r="H9" s="21">
        <v>29</v>
      </c>
      <c r="I9" s="21">
        <v>5</v>
      </c>
      <c r="J9" s="21">
        <v>48</v>
      </c>
      <c r="K9" s="24">
        <v>7.29483282674772E-2</v>
      </c>
      <c r="L9" s="21">
        <v>34</v>
      </c>
    </row>
    <row r="10" spans="1:12" x14ac:dyDescent="0.3">
      <c r="A10" s="23">
        <v>46060</v>
      </c>
      <c r="B10" s="21">
        <v>1031</v>
      </c>
      <c r="C10" s="21">
        <v>28868</v>
      </c>
      <c r="D10" s="21">
        <v>32</v>
      </c>
      <c r="E10" s="21">
        <v>14</v>
      </c>
      <c r="F10" s="21">
        <v>4</v>
      </c>
      <c r="G10" s="21">
        <v>5</v>
      </c>
      <c r="H10" s="21">
        <v>55</v>
      </c>
      <c r="I10" s="21">
        <v>7</v>
      </c>
      <c r="J10" s="21">
        <v>55</v>
      </c>
      <c r="K10" s="24">
        <v>5.33462657613967E-2</v>
      </c>
      <c r="L10" s="21">
        <v>62</v>
      </c>
    </row>
    <row r="11" spans="1:12" x14ac:dyDescent="0.3">
      <c r="A11" s="23">
        <v>46061</v>
      </c>
      <c r="B11" s="21">
        <v>1043</v>
      </c>
      <c r="C11" s="21">
        <v>26075</v>
      </c>
      <c r="D11" s="21">
        <v>48</v>
      </c>
      <c r="E11" s="21">
        <v>16</v>
      </c>
      <c r="F11" s="21">
        <v>7</v>
      </c>
      <c r="G11" s="21">
        <v>6</v>
      </c>
      <c r="H11" s="21">
        <v>65</v>
      </c>
      <c r="I11" s="21">
        <v>9</v>
      </c>
      <c r="J11" s="21">
        <v>77</v>
      </c>
      <c r="K11" s="24">
        <v>7.3825503355704702E-2</v>
      </c>
      <c r="L11" s="21">
        <v>74</v>
      </c>
    </row>
    <row r="12" spans="1:12" x14ac:dyDescent="0.3">
      <c r="A12" s="23">
        <v>46062</v>
      </c>
      <c r="B12" s="21">
        <v>613</v>
      </c>
      <c r="C12" s="21">
        <v>12873</v>
      </c>
      <c r="D12" s="21">
        <v>22</v>
      </c>
      <c r="E12" s="21">
        <v>8</v>
      </c>
      <c r="F12" s="21">
        <v>3</v>
      </c>
      <c r="G12" s="21">
        <v>4</v>
      </c>
      <c r="H12" s="21">
        <v>44</v>
      </c>
      <c r="I12" s="21">
        <v>7</v>
      </c>
      <c r="J12" s="21">
        <v>37</v>
      </c>
      <c r="K12" s="24">
        <v>6.0358890701468187E-2</v>
      </c>
      <c r="L12" s="21">
        <v>51</v>
      </c>
    </row>
    <row r="13" spans="1:12" x14ac:dyDescent="0.3">
      <c r="A13" s="23">
        <v>46063</v>
      </c>
      <c r="B13" s="21">
        <v>766</v>
      </c>
      <c r="C13" s="21">
        <v>23746</v>
      </c>
      <c r="D13" s="21">
        <v>23</v>
      </c>
      <c r="E13" s="21">
        <v>12</v>
      </c>
      <c r="F13" s="21">
        <v>4</v>
      </c>
      <c r="G13" s="21">
        <v>2</v>
      </c>
      <c r="H13" s="21">
        <v>34</v>
      </c>
      <c r="I13" s="21">
        <v>4</v>
      </c>
      <c r="J13" s="21">
        <v>41</v>
      </c>
      <c r="K13" s="24">
        <v>5.3524804177545689E-2</v>
      </c>
      <c r="L13" s="21">
        <v>38</v>
      </c>
    </row>
    <row r="14" spans="1:12" x14ac:dyDescent="0.3">
      <c r="A14" s="23">
        <v>46064</v>
      </c>
      <c r="B14" s="21">
        <v>803</v>
      </c>
      <c r="C14" s="21">
        <v>22484</v>
      </c>
      <c r="D14" s="21">
        <v>30</v>
      </c>
      <c r="E14" s="21">
        <v>12</v>
      </c>
      <c r="F14" s="21">
        <v>3</v>
      </c>
      <c r="G14" s="21">
        <v>4</v>
      </c>
      <c r="H14" s="21">
        <v>53</v>
      </c>
      <c r="I14" s="21">
        <v>9</v>
      </c>
      <c r="J14" s="21">
        <v>49</v>
      </c>
      <c r="K14" s="24">
        <v>6.1021170610211707E-2</v>
      </c>
      <c r="L14" s="21">
        <v>62</v>
      </c>
    </row>
    <row r="15" spans="1:12" x14ac:dyDescent="0.3">
      <c r="A15" s="23">
        <v>46065</v>
      </c>
      <c r="B15" s="21">
        <v>634</v>
      </c>
      <c r="C15" s="21">
        <v>15216</v>
      </c>
      <c r="D15" s="21">
        <v>23</v>
      </c>
      <c r="E15" s="21">
        <v>10</v>
      </c>
      <c r="F15" s="21">
        <v>3</v>
      </c>
      <c r="G15" s="21">
        <v>2</v>
      </c>
      <c r="H15" s="21">
        <v>27</v>
      </c>
      <c r="I15" s="21">
        <v>5</v>
      </c>
      <c r="J15" s="21">
        <v>38</v>
      </c>
      <c r="K15" s="24">
        <v>5.993690851735016E-2</v>
      </c>
      <c r="L15" s="21">
        <v>32</v>
      </c>
    </row>
    <row r="16" spans="1:12" x14ac:dyDescent="0.3">
      <c r="A16" s="23">
        <v>46066</v>
      </c>
      <c r="B16" s="21">
        <v>1284</v>
      </c>
      <c r="C16" s="21">
        <v>33384</v>
      </c>
      <c r="D16" s="21">
        <v>33</v>
      </c>
      <c r="E16" s="21">
        <v>14</v>
      </c>
      <c r="F16" s="21">
        <v>3</v>
      </c>
      <c r="G16" s="21">
        <v>4</v>
      </c>
      <c r="H16" s="21">
        <v>101</v>
      </c>
      <c r="I16" s="21">
        <v>22</v>
      </c>
      <c r="J16" s="21">
        <v>54</v>
      </c>
      <c r="K16" s="24">
        <v>4.2056074766355138E-2</v>
      </c>
      <c r="L16" s="21">
        <v>123</v>
      </c>
    </row>
    <row r="17" spans="1:12" x14ac:dyDescent="0.3">
      <c r="A17" s="23">
        <v>46067</v>
      </c>
      <c r="B17" s="21">
        <v>2242</v>
      </c>
      <c r="C17" s="21">
        <v>67260</v>
      </c>
      <c r="D17" s="21">
        <v>59</v>
      </c>
      <c r="E17" s="21">
        <v>23</v>
      </c>
      <c r="F17" s="21">
        <v>7</v>
      </c>
      <c r="G17" s="21">
        <v>8</v>
      </c>
      <c r="H17" s="21">
        <v>176</v>
      </c>
      <c r="I17" s="21">
        <v>21</v>
      </c>
      <c r="J17" s="21">
        <v>97</v>
      </c>
      <c r="K17" s="24">
        <v>4.3264942016057094E-2</v>
      </c>
      <c r="L17" s="21">
        <v>197</v>
      </c>
    </row>
    <row r="18" spans="1:12" x14ac:dyDescent="0.3">
      <c r="A18" s="23">
        <v>46068</v>
      </c>
      <c r="B18" s="21">
        <v>2001</v>
      </c>
      <c r="C18" s="21">
        <v>54027</v>
      </c>
      <c r="D18" s="21">
        <v>65</v>
      </c>
      <c r="E18" s="21">
        <v>27</v>
      </c>
      <c r="F18" s="21">
        <v>6</v>
      </c>
      <c r="G18" s="21">
        <v>8</v>
      </c>
      <c r="H18" s="21">
        <v>99</v>
      </c>
      <c r="I18" s="21">
        <v>22</v>
      </c>
      <c r="J18" s="21">
        <v>106</v>
      </c>
      <c r="K18" s="24">
        <v>5.297351324337831E-2</v>
      </c>
      <c r="L18" s="21">
        <v>121</v>
      </c>
    </row>
    <row r="19" spans="1:12" x14ac:dyDescent="0.3">
      <c r="A19" s="23">
        <v>46069</v>
      </c>
      <c r="B19" s="21">
        <v>2280</v>
      </c>
      <c r="C19" s="21">
        <v>75240</v>
      </c>
      <c r="D19" s="21">
        <v>76</v>
      </c>
      <c r="E19" s="21">
        <v>35</v>
      </c>
      <c r="F19" s="21">
        <v>7</v>
      </c>
      <c r="G19" s="21">
        <v>9</v>
      </c>
      <c r="H19" s="21">
        <v>169</v>
      </c>
      <c r="I19" s="21">
        <v>21</v>
      </c>
      <c r="J19" s="21">
        <v>127</v>
      </c>
      <c r="K19" s="24">
        <v>5.5701754385964912E-2</v>
      </c>
      <c r="L19" s="21">
        <v>190</v>
      </c>
    </row>
    <row r="20" spans="1:12" x14ac:dyDescent="0.3">
      <c r="A20" s="23">
        <v>46070</v>
      </c>
      <c r="B20" s="21">
        <v>2083</v>
      </c>
      <c r="C20" s="21">
        <v>70822</v>
      </c>
      <c r="D20" s="21">
        <v>55</v>
      </c>
      <c r="E20" s="21">
        <v>25</v>
      </c>
      <c r="F20" s="21">
        <v>9</v>
      </c>
      <c r="G20" s="21">
        <v>6</v>
      </c>
      <c r="H20" s="21">
        <v>147</v>
      </c>
      <c r="I20" s="21">
        <v>28</v>
      </c>
      <c r="J20" s="21">
        <v>95</v>
      </c>
      <c r="K20" s="24">
        <v>4.5607297167546808E-2</v>
      </c>
      <c r="L20" s="21">
        <v>175</v>
      </c>
    </row>
    <row r="21" spans="1:12" x14ac:dyDescent="0.3">
      <c r="A21" s="23">
        <v>46071</v>
      </c>
      <c r="B21" s="21">
        <v>2302</v>
      </c>
      <c r="C21" s="21">
        <v>71362</v>
      </c>
      <c r="D21" s="21">
        <v>90</v>
      </c>
      <c r="E21" s="21">
        <v>30</v>
      </c>
      <c r="F21" s="21">
        <v>7</v>
      </c>
      <c r="G21" s="21">
        <v>13</v>
      </c>
      <c r="H21" s="21">
        <v>142</v>
      </c>
      <c r="I21" s="21">
        <v>25</v>
      </c>
      <c r="J21" s="21">
        <v>140</v>
      </c>
      <c r="K21" s="24">
        <v>6.0816681146828845E-2</v>
      </c>
      <c r="L21" s="21">
        <v>167</v>
      </c>
    </row>
    <row r="22" spans="1:12" x14ac:dyDescent="0.3">
      <c r="A22" s="23">
        <v>46072</v>
      </c>
      <c r="B22" s="21">
        <v>1970</v>
      </c>
      <c r="C22" s="21">
        <v>43340</v>
      </c>
      <c r="D22" s="21">
        <v>68</v>
      </c>
      <c r="E22" s="21">
        <v>29</v>
      </c>
      <c r="F22" s="21">
        <v>9</v>
      </c>
      <c r="G22" s="21">
        <v>11</v>
      </c>
      <c r="H22" s="21">
        <v>81</v>
      </c>
      <c r="I22" s="21">
        <v>22</v>
      </c>
      <c r="J22" s="21">
        <v>117</v>
      </c>
      <c r="K22" s="24">
        <v>5.9390862944162438E-2</v>
      </c>
      <c r="L22" s="21">
        <v>103</v>
      </c>
    </row>
    <row r="23" spans="1:12" x14ac:dyDescent="0.3">
      <c r="A23" s="23">
        <v>46073</v>
      </c>
      <c r="B23" s="21">
        <v>1600</v>
      </c>
      <c r="C23" s="21">
        <v>41600</v>
      </c>
      <c r="D23" s="21">
        <v>58</v>
      </c>
      <c r="E23" s="21">
        <v>25</v>
      </c>
      <c r="F23" s="21">
        <v>6</v>
      </c>
      <c r="G23" s="21">
        <v>6</v>
      </c>
      <c r="H23" s="21">
        <v>71</v>
      </c>
      <c r="I23" s="21">
        <v>15</v>
      </c>
      <c r="J23" s="21">
        <v>95</v>
      </c>
      <c r="K23" s="24">
        <v>5.9374999999999997E-2</v>
      </c>
      <c r="L23" s="21">
        <v>86</v>
      </c>
    </row>
    <row r="24" spans="1:12" x14ac:dyDescent="0.3">
      <c r="A24" s="23">
        <v>46074</v>
      </c>
      <c r="B24" s="21">
        <v>739</v>
      </c>
      <c r="C24" s="21">
        <v>19953</v>
      </c>
      <c r="D24" s="21">
        <v>24</v>
      </c>
      <c r="E24" s="21">
        <v>9</v>
      </c>
      <c r="F24" s="21">
        <v>2</v>
      </c>
      <c r="G24" s="21">
        <v>4</v>
      </c>
      <c r="H24" s="21">
        <v>56</v>
      </c>
      <c r="I24" s="21">
        <v>9</v>
      </c>
      <c r="J24" s="21">
        <v>39</v>
      </c>
      <c r="K24" s="24">
        <v>5.2774018944519621E-2</v>
      </c>
      <c r="L24" s="21">
        <v>65</v>
      </c>
    </row>
    <row r="25" spans="1:12" x14ac:dyDescent="0.3">
      <c r="A25" s="23">
        <v>46075</v>
      </c>
      <c r="B25" s="21">
        <v>770</v>
      </c>
      <c r="C25" s="21">
        <v>13860</v>
      </c>
      <c r="D25" s="21">
        <v>20</v>
      </c>
      <c r="E25" s="21">
        <v>11</v>
      </c>
      <c r="F25" s="21">
        <v>3</v>
      </c>
      <c r="G25" s="21">
        <v>3</v>
      </c>
      <c r="H25" s="21">
        <v>40</v>
      </c>
      <c r="I25" s="21">
        <v>8</v>
      </c>
      <c r="J25" s="21">
        <v>37</v>
      </c>
      <c r="K25" s="24">
        <v>4.8051948051948054E-2</v>
      </c>
      <c r="L25" s="21">
        <v>48</v>
      </c>
    </row>
    <row r="26" spans="1:12" x14ac:dyDescent="0.3">
      <c r="A26" s="23">
        <v>46076</v>
      </c>
      <c r="B26" s="21">
        <v>746</v>
      </c>
      <c r="C26" s="21">
        <v>14174</v>
      </c>
      <c r="D26" s="21">
        <v>19</v>
      </c>
      <c r="E26" s="21">
        <v>8</v>
      </c>
      <c r="F26" s="21">
        <v>3</v>
      </c>
      <c r="G26" s="21">
        <v>2</v>
      </c>
      <c r="H26" s="21">
        <v>57</v>
      </c>
      <c r="I26" s="21">
        <v>6</v>
      </c>
      <c r="J26" s="21">
        <v>32</v>
      </c>
      <c r="K26" s="24">
        <v>4.2895442359249331E-2</v>
      </c>
      <c r="L26" s="21">
        <v>63</v>
      </c>
    </row>
    <row r="27" spans="1:12" x14ac:dyDescent="0.3">
      <c r="A27" s="23">
        <v>46077</v>
      </c>
      <c r="B27" s="21">
        <v>773</v>
      </c>
      <c r="C27" s="21">
        <v>16233</v>
      </c>
      <c r="D27" s="21">
        <v>25</v>
      </c>
      <c r="E27" s="21">
        <v>9</v>
      </c>
      <c r="F27" s="21">
        <v>4</v>
      </c>
      <c r="G27" s="21">
        <v>3</v>
      </c>
      <c r="H27" s="21">
        <v>52</v>
      </c>
      <c r="I27" s="21">
        <v>10</v>
      </c>
      <c r="J27" s="21">
        <v>41</v>
      </c>
      <c r="K27" s="24">
        <v>5.3040103492884863E-2</v>
      </c>
      <c r="L27" s="21">
        <v>62</v>
      </c>
    </row>
    <row r="28" spans="1:12" x14ac:dyDescent="0.3">
      <c r="A28" s="23">
        <v>46078</v>
      </c>
      <c r="B28" s="21">
        <v>682</v>
      </c>
      <c r="C28" s="21">
        <v>12958</v>
      </c>
      <c r="D28" s="21">
        <v>18</v>
      </c>
      <c r="E28" s="21">
        <v>8</v>
      </c>
      <c r="F28" s="21">
        <v>2</v>
      </c>
      <c r="G28" s="21">
        <v>3</v>
      </c>
      <c r="H28" s="21">
        <v>53</v>
      </c>
      <c r="I28" s="21">
        <v>8</v>
      </c>
      <c r="J28" s="21">
        <v>31</v>
      </c>
      <c r="K28" s="24">
        <v>4.5454545454545456E-2</v>
      </c>
      <c r="L28" s="21">
        <v>61</v>
      </c>
    </row>
    <row r="29" spans="1:12" x14ac:dyDescent="0.3">
      <c r="A29" s="23">
        <v>46079</v>
      </c>
      <c r="B29" s="21">
        <v>881</v>
      </c>
      <c r="C29" s="21">
        <v>29954</v>
      </c>
      <c r="D29" s="21">
        <v>22</v>
      </c>
      <c r="E29" s="21">
        <v>8</v>
      </c>
      <c r="F29" s="21">
        <v>2</v>
      </c>
      <c r="G29" s="21">
        <v>3</v>
      </c>
      <c r="H29" s="21">
        <v>59</v>
      </c>
      <c r="I29" s="21">
        <v>10</v>
      </c>
      <c r="J29" s="21">
        <v>35</v>
      </c>
      <c r="K29" s="24">
        <v>3.9727582292849034E-2</v>
      </c>
      <c r="L29" s="21">
        <v>69</v>
      </c>
    </row>
    <row r="30" spans="1:12" x14ac:dyDescent="0.3">
      <c r="A30" s="23">
        <v>46080</v>
      </c>
      <c r="B30" s="21">
        <v>663</v>
      </c>
      <c r="C30" s="21">
        <v>16575</v>
      </c>
      <c r="D30" s="21">
        <v>16</v>
      </c>
      <c r="E30" s="21">
        <v>8</v>
      </c>
      <c r="F30" s="21">
        <v>3</v>
      </c>
      <c r="G30" s="21">
        <v>2</v>
      </c>
      <c r="H30" s="21">
        <v>41</v>
      </c>
      <c r="I30" s="21">
        <v>4</v>
      </c>
      <c r="J30" s="21">
        <v>29</v>
      </c>
      <c r="K30" s="24">
        <v>4.3740573152337855E-2</v>
      </c>
      <c r="L30" s="21">
        <v>45</v>
      </c>
    </row>
    <row r="31" spans="1:12" x14ac:dyDescent="0.3">
      <c r="A31" s="23">
        <v>46081</v>
      </c>
      <c r="B31" s="21">
        <v>955</v>
      </c>
      <c r="C31" s="21">
        <v>17190</v>
      </c>
      <c r="D31" s="21">
        <v>40</v>
      </c>
      <c r="E31" s="21">
        <v>14</v>
      </c>
      <c r="F31" s="21">
        <v>6</v>
      </c>
      <c r="G31" s="21">
        <v>4</v>
      </c>
      <c r="H31" s="21">
        <v>57</v>
      </c>
      <c r="I31" s="21">
        <v>11</v>
      </c>
      <c r="J31" s="21">
        <v>64</v>
      </c>
      <c r="K31" s="24">
        <v>6.7015706806282729E-2</v>
      </c>
      <c r="L31" s="21">
        <v>68</v>
      </c>
    </row>
    <row r="32" spans="1:12" x14ac:dyDescent="0.3">
      <c r="A32" s="23">
        <v>46082</v>
      </c>
      <c r="B32" s="21">
        <v>1059</v>
      </c>
      <c r="C32" s="21">
        <v>26475</v>
      </c>
      <c r="D32" s="21">
        <v>43</v>
      </c>
      <c r="E32" s="21">
        <v>18</v>
      </c>
      <c r="F32" s="21">
        <v>6</v>
      </c>
      <c r="G32" s="21">
        <v>5</v>
      </c>
      <c r="H32" s="21">
        <v>84</v>
      </c>
      <c r="I32" s="21">
        <v>14</v>
      </c>
      <c r="J32" s="21">
        <v>72</v>
      </c>
      <c r="K32" s="24">
        <v>6.79886685552408E-2</v>
      </c>
      <c r="L32" s="21">
        <v>98</v>
      </c>
    </row>
    <row r="33" spans="1:12" x14ac:dyDescent="0.3">
      <c r="A33" s="23">
        <v>46083</v>
      </c>
      <c r="B33" s="21">
        <v>766</v>
      </c>
      <c r="C33" s="21">
        <v>21448</v>
      </c>
      <c r="D33" s="21">
        <v>27</v>
      </c>
      <c r="E33" s="21">
        <v>12</v>
      </c>
      <c r="F33" s="21">
        <v>4</v>
      </c>
      <c r="G33" s="21">
        <v>3</v>
      </c>
      <c r="H33" s="21">
        <v>56</v>
      </c>
      <c r="I33" s="21">
        <v>10</v>
      </c>
      <c r="J33" s="21">
        <v>46</v>
      </c>
      <c r="K33" s="24">
        <v>6.0052219321148827E-2</v>
      </c>
      <c r="L33" s="21">
        <v>66</v>
      </c>
    </row>
    <row r="34" spans="1:12" x14ac:dyDescent="0.3">
      <c r="A34" s="23">
        <v>46084</v>
      </c>
      <c r="B34" s="21">
        <v>746</v>
      </c>
      <c r="C34" s="21">
        <v>18650</v>
      </c>
      <c r="D34" s="21">
        <v>18</v>
      </c>
      <c r="E34" s="21">
        <v>9</v>
      </c>
      <c r="F34" s="21">
        <v>2</v>
      </c>
      <c r="G34" s="21">
        <v>2</v>
      </c>
      <c r="H34" s="21">
        <v>59</v>
      </c>
      <c r="I34" s="21">
        <v>10</v>
      </c>
      <c r="J34" s="21">
        <v>31</v>
      </c>
      <c r="K34" s="24">
        <v>4.1554959785522788E-2</v>
      </c>
      <c r="L34" s="21">
        <v>69</v>
      </c>
    </row>
    <row r="35" spans="1:12" x14ac:dyDescent="0.3">
      <c r="A35" s="23">
        <v>46085</v>
      </c>
      <c r="B35" s="21">
        <v>798</v>
      </c>
      <c r="C35" s="21">
        <v>21546</v>
      </c>
      <c r="D35" s="21">
        <v>31</v>
      </c>
      <c r="E35" s="21">
        <v>11</v>
      </c>
      <c r="F35" s="21">
        <v>3</v>
      </c>
      <c r="G35" s="21">
        <v>3</v>
      </c>
      <c r="H35" s="21">
        <v>61</v>
      </c>
      <c r="I35" s="21">
        <v>10</v>
      </c>
      <c r="J35" s="21">
        <v>48</v>
      </c>
      <c r="K35" s="24">
        <v>6.0150375939849621E-2</v>
      </c>
      <c r="L35" s="21">
        <v>71</v>
      </c>
    </row>
    <row r="36" spans="1:12" x14ac:dyDescent="0.3">
      <c r="A36" s="23">
        <v>46086</v>
      </c>
      <c r="B36" s="21">
        <v>666</v>
      </c>
      <c r="C36" s="21">
        <v>20646</v>
      </c>
      <c r="D36" s="21">
        <v>27</v>
      </c>
      <c r="E36" s="21">
        <v>13</v>
      </c>
      <c r="F36" s="21">
        <v>3</v>
      </c>
      <c r="G36" s="21">
        <v>3</v>
      </c>
      <c r="H36" s="21">
        <v>27</v>
      </c>
      <c r="I36" s="21">
        <v>3</v>
      </c>
      <c r="J36" s="21">
        <v>46</v>
      </c>
      <c r="K36" s="24">
        <v>6.9069069069069067E-2</v>
      </c>
      <c r="L36" s="21">
        <v>30</v>
      </c>
    </row>
    <row r="37" spans="1:12" x14ac:dyDescent="0.3">
      <c r="A37" s="23">
        <v>46087</v>
      </c>
      <c r="B37" s="21">
        <v>714</v>
      </c>
      <c r="C37" s="21">
        <v>17850</v>
      </c>
      <c r="D37" s="21">
        <v>26</v>
      </c>
      <c r="E37" s="21">
        <v>12</v>
      </c>
      <c r="F37" s="21">
        <v>2</v>
      </c>
      <c r="G37" s="21">
        <v>2</v>
      </c>
      <c r="H37" s="21">
        <v>45</v>
      </c>
      <c r="I37" s="21">
        <v>8</v>
      </c>
      <c r="J37" s="21">
        <v>42</v>
      </c>
      <c r="K37" s="24">
        <v>5.8823529411764705E-2</v>
      </c>
      <c r="L37" s="21">
        <v>53</v>
      </c>
    </row>
    <row r="38" spans="1:12" x14ac:dyDescent="0.3">
      <c r="A38" s="23">
        <v>46088</v>
      </c>
      <c r="B38" s="21">
        <v>1333</v>
      </c>
      <c r="C38" s="21">
        <v>38657</v>
      </c>
      <c r="D38" s="21">
        <v>49</v>
      </c>
      <c r="E38" s="21">
        <v>17</v>
      </c>
      <c r="F38" s="21">
        <v>6</v>
      </c>
      <c r="G38" s="21">
        <v>7</v>
      </c>
      <c r="H38" s="21">
        <v>72</v>
      </c>
      <c r="I38" s="21">
        <v>13</v>
      </c>
      <c r="J38" s="21">
        <v>79</v>
      </c>
      <c r="K38" s="24">
        <v>5.926481620405101E-2</v>
      </c>
      <c r="L38" s="21">
        <v>85</v>
      </c>
    </row>
    <row r="39" spans="1:12" x14ac:dyDescent="0.3">
      <c r="A39" s="23">
        <v>46089</v>
      </c>
      <c r="B39" s="21">
        <v>1410</v>
      </c>
      <c r="C39" s="21">
        <v>39480</v>
      </c>
      <c r="D39" s="21">
        <v>44</v>
      </c>
      <c r="E39" s="21">
        <v>18</v>
      </c>
      <c r="F39" s="21">
        <v>7</v>
      </c>
      <c r="G39" s="21">
        <v>4</v>
      </c>
      <c r="H39" s="21">
        <v>101</v>
      </c>
      <c r="I39" s="21">
        <v>22</v>
      </c>
      <c r="J39" s="21">
        <v>73</v>
      </c>
      <c r="K39" s="24">
        <v>5.1773049645390069E-2</v>
      </c>
      <c r="L39" s="21">
        <v>123</v>
      </c>
    </row>
    <row r="40" spans="1:12" x14ac:dyDescent="0.3">
      <c r="A40" s="23">
        <v>46090</v>
      </c>
      <c r="B40" s="21">
        <v>855</v>
      </c>
      <c r="C40" s="21">
        <v>19665</v>
      </c>
      <c r="D40" s="21">
        <v>30</v>
      </c>
      <c r="E40" s="21">
        <v>9</v>
      </c>
      <c r="F40" s="21">
        <v>4</v>
      </c>
      <c r="G40" s="21">
        <v>3</v>
      </c>
      <c r="H40" s="21">
        <v>67</v>
      </c>
      <c r="I40" s="21">
        <v>10</v>
      </c>
      <c r="J40" s="21">
        <v>46</v>
      </c>
      <c r="K40" s="24">
        <v>5.3801169590643273E-2</v>
      </c>
      <c r="L40" s="21">
        <v>77</v>
      </c>
    </row>
    <row r="41" spans="1:12" x14ac:dyDescent="0.3">
      <c r="A41" s="23">
        <v>46091</v>
      </c>
      <c r="B41" s="21">
        <v>788</v>
      </c>
      <c r="C41" s="21">
        <v>14972</v>
      </c>
      <c r="D41" s="21">
        <v>23</v>
      </c>
      <c r="E41" s="21">
        <v>8</v>
      </c>
      <c r="F41" s="21">
        <v>3</v>
      </c>
      <c r="G41" s="21">
        <v>4</v>
      </c>
      <c r="H41" s="21">
        <v>56</v>
      </c>
      <c r="I41" s="21">
        <v>7</v>
      </c>
      <c r="J41" s="21">
        <v>38</v>
      </c>
      <c r="K41" s="24">
        <v>4.8223350253807105E-2</v>
      </c>
      <c r="L41" s="21">
        <v>63</v>
      </c>
    </row>
    <row r="42" spans="1:12" x14ac:dyDescent="0.3">
      <c r="A42" s="23">
        <v>46092</v>
      </c>
      <c r="B42" s="21">
        <v>663</v>
      </c>
      <c r="C42" s="21">
        <v>16575</v>
      </c>
      <c r="D42" s="21">
        <v>19</v>
      </c>
      <c r="E42" s="21">
        <v>7</v>
      </c>
      <c r="F42" s="21">
        <v>2</v>
      </c>
      <c r="G42" s="21">
        <v>2</v>
      </c>
      <c r="H42" s="21">
        <v>50</v>
      </c>
      <c r="I42" s="21">
        <v>6</v>
      </c>
      <c r="J42" s="21">
        <v>30</v>
      </c>
      <c r="K42" s="24">
        <v>4.5248868778280542E-2</v>
      </c>
      <c r="L42" s="21">
        <v>56</v>
      </c>
    </row>
    <row r="43" spans="1:12" x14ac:dyDescent="0.3">
      <c r="A43" s="23">
        <v>46093</v>
      </c>
      <c r="B43" s="21">
        <v>758</v>
      </c>
      <c r="C43" s="21">
        <v>18192</v>
      </c>
      <c r="D43" s="21">
        <v>25</v>
      </c>
      <c r="E43" s="21">
        <v>9</v>
      </c>
      <c r="F43" s="21">
        <v>3</v>
      </c>
      <c r="G43" s="21">
        <v>3</v>
      </c>
      <c r="H43" s="21">
        <v>60</v>
      </c>
      <c r="I43" s="21">
        <v>10</v>
      </c>
      <c r="J43" s="21">
        <v>40</v>
      </c>
      <c r="K43" s="24">
        <v>5.2770448548812667E-2</v>
      </c>
      <c r="L43" s="21">
        <v>70</v>
      </c>
    </row>
    <row r="44" spans="1:12" x14ac:dyDescent="0.3">
      <c r="A44" s="23">
        <v>46094</v>
      </c>
      <c r="B44" s="21">
        <v>690</v>
      </c>
      <c r="C44" s="21">
        <v>17940</v>
      </c>
      <c r="D44" s="21">
        <v>31</v>
      </c>
      <c r="E44" s="21">
        <v>13</v>
      </c>
      <c r="F44" s="21">
        <v>3</v>
      </c>
      <c r="G44" s="21">
        <v>4</v>
      </c>
      <c r="H44" s="21">
        <v>54</v>
      </c>
      <c r="I44" s="21">
        <v>9</v>
      </c>
      <c r="J44" s="21">
        <v>51</v>
      </c>
      <c r="K44" s="24">
        <v>7.3913043478260873E-2</v>
      </c>
      <c r="L44" s="21">
        <v>63</v>
      </c>
    </row>
    <row r="45" spans="1:12" x14ac:dyDescent="0.3">
      <c r="A45" s="23">
        <v>46095</v>
      </c>
      <c r="B45" s="21">
        <v>963</v>
      </c>
      <c r="C45" s="21">
        <v>26964</v>
      </c>
      <c r="D45" s="21">
        <v>37</v>
      </c>
      <c r="E45" s="21">
        <v>19</v>
      </c>
      <c r="F45" s="21">
        <v>5</v>
      </c>
      <c r="G45" s="21">
        <v>4</v>
      </c>
      <c r="H45" s="21">
        <v>50</v>
      </c>
      <c r="I45" s="21">
        <v>9</v>
      </c>
      <c r="J45" s="21">
        <v>65</v>
      </c>
      <c r="K45" s="24">
        <v>6.749740394600208E-2</v>
      </c>
      <c r="L45" s="21">
        <v>59</v>
      </c>
    </row>
    <row r="46" spans="1:12" x14ac:dyDescent="0.3">
      <c r="A46" s="23">
        <v>46096</v>
      </c>
      <c r="B46" s="21">
        <v>992</v>
      </c>
      <c r="C46" s="21">
        <v>28768</v>
      </c>
      <c r="D46" s="21">
        <v>28</v>
      </c>
      <c r="E46" s="21">
        <v>13</v>
      </c>
      <c r="F46" s="21">
        <v>3</v>
      </c>
      <c r="G46" s="21">
        <v>4</v>
      </c>
      <c r="H46" s="21">
        <v>49</v>
      </c>
      <c r="I46" s="21">
        <v>7</v>
      </c>
      <c r="J46" s="21">
        <v>48</v>
      </c>
      <c r="K46" s="24">
        <v>4.8387096774193547E-2</v>
      </c>
      <c r="L46" s="21">
        <v>56</v>
      </c>
    </row>
    <row r="47" spans="1:12" x14ac:dyDescent="0.3">
      <c r="A47" s="23">
        <v>46097</v>
      </c>
      <c r="B47" s="21">
        <v>783</v>
      </c>
      <c r="C47" s="21">
        <v>18792</v>
      </c>
      <c r="D47" s="21">
        <v>30</v>
      </c>
      <c r="E47" s="21">
        <v>10</v>
      </c>
      <c r="F47" s="21">
        <v>3</v>
      </c>
      <c r="G47" s="21">
        <v>3</v>
      </c>
      <c r="H47" s="21">
        <v>42</v>
      </c>
      <c r="I47" s="21">
        <v>6</v>
      </c>
      <c r="J47" s="21">
        <v>46</v>
      </c>
      <c r="K47" s="24">
        <v>5.8748403575989781E-2</v>
      </c>
      <c r="L47" s="21">
        <v>48</v>
      </c>
    </row>
    <row r="48" spans="1:12" x14ac:dyDescent="0.3">
      <c r="A48" s="23">
        <v>46098</v>
      </c>
      <c r="B48" s="21">
        <v>734</v>
      </c>
      <c r="C48" s="21">
        <v>17616</v>
      </c>
      <c r="D48" s="21">
        <v>24</v>
      </c>
      <c r="E48" s="21">
        <v>9</v>
      </c>
      <c r="F48" s="21">
        <v>4</v>
      </c>
      <c r="G48" s="21">
        <v>3</v>
      </c>
      <c r="H48" s="21">
        <v>37</v>
      </c>
      <c r="I48" s="21">
        <v>7</v>
      </c>
      <c r="J48" s="21">
        <v>40</v>
      </c>
      <c r="K48" s="24">
        <v>5.4495912806539509E-2</v>
      </c>
      <c r="L48" s="21">
        <v>44</v>
      </c>
    </row>
    <row r="49" spans="1:12" x14ac:dyDescent="0.3">
      <c r="A49" s="23">
        <v>46099</v>
      </c>
      <c r="B49" s="21">
        <v>724</v>
      </c>
      <c r="C49" s="21">
        <v>20272</v>
      </c>
      <c r="D49" s="21">
        <v>30</v>
      </c>
      <c r="E49" s="21">
        <v>12</v>
      </c>
      <c r="F49" s="21">
        <v>4</v>
      </c>
      <c r="G49" s="21">
        <v>4</v>
      </c>
      <c r="H49" s="21">
        <v>43</v>
      </c>
      <c r="I49" s="21">
        <v>5</v>
      </c>
      <c r="J49" s="21">
        <v>50</v>
      </c>
      <c r="K49" s="24">
        <v>6.9060773480662987E-2</v>
      </c>
      <c r="L49" s="21">
        <v>48</v>
      </c>
    </row>
    <row r="50" spans="1:12" x14ac:dyDescent="0.3">
      <c r="A50" s="23">
        <v>46100</v>
      </c>
      <c r="B50" s="21">
        <v>686</v>
      </c>
      <c r="C50" s="21">
        <v>16464</v>
      </c>
      <c r="D50" s="21">
        <v>20</v>
      </c>
      <c r="E50" s="21">
        <v>7</v>
      </c>
      <c r="F50" s="21">
        <v>3</v>
      </c>
      <c r="G50" s="21">
        <v>2</v>
      </c>
      <c r="H50" s="21">
        <v>29</v>
      </c>
      <c r="I50" s="21">
        <v>4</v>
      </c>
      <c r="J50" s="21">
        <v>32</v>
      </c>
      <c r="K50" s="24">
        <v>4.6647230320699708E-2</v>
      </c>
      <c r="L50" s="21">
        <v>33</v>
      </c>
    </row>
    <row r="51" spans="1:12" x14ac:dyDescent="0.3">
      <c r="A51" s="23">
        <v>46101</v>
      </c>
      <c r="B51" s="21">
        <v>811</v>
      </c>
      <c r="C51" s="21">
        <v>24330</v>
      </c>
      <c r="D51" s="21">
        <v>30</v>
      </c>
      <c r="E51" s="21">
        <v>11</v>
      </c>
      <c r="F51" s="21">
        <v>4</v>
      </c>
      <c r="G51" s="21">
        <v>4</v>
      </c>
      <c r="H51" s="21">
        <v>46</v>
      </c>
      <c r="I51" s="21">
        <v>8</v>
      </c>
      <c r="J51" s="21">
        <v>49</v>
      </c>
      <c r="K51" s="24">
        <v>6.0419235511713937E-2</v>
      </c>
      <c r="L51" s="21">
        <v>54</v>
      </c>
    </row>
    <row r="52" spans="1:12" x14ac:dyDescent="0.3">
      <c r="A52" s="23">
        <v>46102</v>
      </c>
      <c r="B52" s="21">
        <v>951</v>
      </c>
      <c r="C52" s="21">
        <v>23775</v>
      </c>
      <c r="D52" s="21">
        <v>25</v>
      </c>
      <c r="E52" s="21">
        <v>9</v>
      </c>
      <c r="F52" s="21">
        <v>3</v>
      </c>
      <c r="G52" s="21">
        <v>2</v>
      </c>
      <c r="H52" s="21">
        <v>48</v>
      </c>
      <c r="I52" s="21">
        <v>7</v>
      </c>
      <c r="J52" s="21">
        <v>39</v>
      </c>
      <c r="K52" s="24">
        <v>4.1009463722397478E-2</v>
      </c>
      <c r="L52" s="21">
        <v>55</v>
      </c>
    </row>
    <row r="53" spans="1:12" x14ac:dyDescent="0.3">
      <c r="A53" s="23">
        <v>46103</v>
      </c>
      <c r="B53" s="21">
        <v>751</v>
      </c>
      <c r="C53" s="21">
        <v>25534</v>
      </c>
      <c r="D53" s="21">
        <v>33</v>
      </c>
      <c r="E53" s="21">
        <v>13</v>
      </c>
      <c r="F53" s="21">
        <v>5</v>
      </c>
      <c r="G53" s="21">
        <v>5</v>
      </c>
      <c r="H53" s="21">
        <v>34</v>
      </c>
      <c r="I53" s="21">
        <v>4</v>
      </c>
      <c r="J53" s="21">
        <v>56</v>
      </c>
      <c r="K53" s="24">
        <v>7.456724367509987E-2</v>
      </c>
      <c r="L53" s="21">
        <v>38</v>
      </c>
    </row>
    <row r="54" spans="1:12" x14ac:dyDescent="0.3">
      <c r="A54" s="23">
        <v>46104</v>
      </c>
      <c r="B54" s="21">
        <v>880</v>
      </c>
      <c r="C54" s="21">
        <v>20240</v>
      </c>
      <c r="D54" s="21">
        <v>31</v>
      </c>
      <c r="E54" s="21">
        <v>12</v>
      </c>
      <c r="F54" s="21">
        <v>5</v>
      </c>
      <c r="G54" s="21">
        <v>5</v>
      </c>
      <c r="H54" s="21">
        <v>53</v>
      </c>
      <c r="I54" s="21">
        <v>5</v>
      </c>
      <c r="J54" s="21">
        <v>53</v>
      </c>
      <c r="K54" s="24">
        <v>6.0227272727272727E-2</v>
      </c>
      <c r="L54" s="21">
        <v>58</v>
      </c>
    </row>
    <row r="55" spans="1:12" x14ac:dyDescent="0.3">
      <c r="A55" s="23">
        <v>46105</v>
      </c>
      <c r="B55" s="21">
        <v>822</v>
      </c>
      <c r="C55" s="21">
        <v>20550</v>
      </c>
      <c r="D55" s="21">
        <v>30</v>
      </c>
      <c r="E55" s="21">
        <v>15</v>
      </c>
      <c r="F55" s="21">
        <v>5</v>
      </c>
      <c r="G55" s="21">
        <v>4</v>
      </c>
      <c r="H55" s="21">
        <v>45</v>
      </c>
      <c r="I55" s="21">
        <v>5</v>
      </c>
      <c r="J55" s="21">
        <v>54</v>
      </c>
      <c r="K55" s="24">
        <v>6.569343065693431E-2</v>
      </c>
      <c r="L55" s="21">
        <v>50</v>
      </c>
    </row>
    <row r="56" spans="1:12" x14ac:dyDescent="0.3">
      <c r="A56" s="23">
        <v>46106</v>
      </c>
      <c r="B56" s="21">
        <v>767</v>
      </c>
      <c r="C56" s="21">
        <v>23777</v>
      </c>
      <c r="D56" s="21">
        <v>21</v>
      </c>
      <c r="E56" s="21">
        <v>10</v>
      </c>
      <c r="F56" s="21">
        <v>3</v>
      </c>
      <c r="G56" s="21">
        <v>3</v>
      </c>
      <c r="H56" s="21">
        <v>57</v>
      </c>
      <c r="I56" s="21">
        <v>6</v>
      </c>
      <c r="J56" s="21">
        <v>37</v>
      </c>
      <c r="K56" s="24">
        <v>4.8239895697522815E-2</v>
      </c>
      <c r="L56" s="21">
        <v>63</v>
      </c>
    </row>
    <row r="57" spans="1:12" x14ac:dyDescent="0.3">
      <c r="A57" s="23">
        <v>46107</v>
      </c>
      <c r="B57" s="21">
        <v>766</v>
      </c>
      <c r="C57" s="21">
        <v>19150</v>
      </c>
      <c r="D57" s="21">
        <v>21</v>
      </c>
      <c r="E57" s="21">
        <v>8</v>
      </c>
      <c r="F57" s="21">
        <v>3</v>
      </c>
      <c r="G57" s="21">
        <v>2</v>
      </c>
      <c r="H57" s="21">
        <v>32</v>
      </c>
      <c r="I57" s="21">
        <v>5</v>
      </c>
      <c r="J57" s="21">
        <v>34</v>
      </c>
      <c r="K57" s="24">
        <v>4.4386422976501305E-2</v>
      </c>
      <c r="L57" s="21">
        <v>37</v>
      </c>
    </row>
    <row r="58" spans="1:12" x14ac:dyDescent="0.3">
      <c r="A58" s="23">
        <v>46108</v>
      </c>
      <c r="B58" s="21">
        <v>824</v>
      </c>
      <c r="C58" s="21">
        <v>17304</v>
      </c>
      <c r="D58" s="21">
        <v>23</v>
      </c>
      <c r="E58" s="21">
        <v>11</v>
      </c>
      <c r="F58" s="21">
        <v>2</v>
      </c>
      <c r="G58" s="21">
        <v>4</v>
      </c>
      <c r="H58" s="21">
        <v>36</v>
      </c>
      <c r="I58" s="21">
        <v>5</v>
      </c>
      <c r="J58" s="21">
        <v>40</v>
      </c>
      <c r="K58" s="24">
        <v>4.8543689320388349E-2</v>
      </c>
      <c r="L58" s="21">
        <v>41</v>
      </c>
    </row>
    <row r="59" spans="1:12" x14ac:dyDescent="0.3">
      <c r="A59" s="23">
        <v>46109</v>
      </c>
      <c r="B59" s="21">
        <v>2466</v>
      </c>
      <c r="C59" s="21">
        <v>69048</v>
      </c>
      <c r="D59" s="21">
        <v>77</v>
      </c>
      <c r="E59" s="21">
        <v>31</v>
      </c>
      <c r="F59" s="21">
        <v>9</v>
      </c>
      <c r="G59" s="21">
        <v>6</v>
      </c>
      <c r="H59" s="21">
        <v>175</v>
      </c>
      <c r="I59" s="21">
        <v>34</v>
      </c>
      <c r="J59" s="21">
        <v>123</v>
      </c>
      <c r="K59" s="24">
        <v>4.9878345498783457E-2</v>
      </c>
      <c r="L59" s="21">
        <v>209</v>
      </c>
    </row>
    <row r="60" spans="1:12" x14ac:dyDescent="0.3">
      <c r="A60" s="23">
        <v>46110</v>
      </c>
      <c r="B60" s="21">
        <v>832</v>
      </c>
      <c r="C60" s="21">
        <v>25792</v>
      </c>
      <c r="D60" s="21">
        <v>19</v>
      </c>
      <c r="E60" s="21">
        <v>6</v>
      </c>
      <c r="F60" s="21">
        <v>2</v>
      </c>
      <c r="G60" s="21">
        <v>2</v>
      </c>
      <c r="H60" s="21">
        <v>39</v>
      </c>
      <c r="I60" s="21">
        <v>5</v>
      </c>
      <c r="J60" s="21">
        <v>29</v>
      </c>
      <c r="K60" s="24">
        <v>3.4855769230769232E-2</v>
      </c>
      <c r="L60" s="21">
        <v>44</v>
      </c>
    </row>
    <row r="61" spans="1:12" x14ac:dyDescent="0.3">
      <c r="A61" s="23">
        <v>46111</v>
      </c>
      <c r="B61" s="21">
        <v>746</v>
      </c>
      <c r="C61" s="21">
        <v>23872</v>
      </c>
      <c r="D61" s="21">
        <v>29</v>
      </c>
      <c r="E61" s="21">
        <v>10</v>
      </c>
      <c r="F61" s="21">
        <v>3</v>
      </c>
      <c r="G61" s="21">
        <v>5</v>
      </c>
      <c r="H61" s="21">
        <v>31</v>
      </c>
      <c r="I61" s="21">
        <v>5</v>
      </c>
      <c r="J61" s="21">
        <v>47</v>
      </c>
      <c r="K61" s="24">
        <v>6.3002680965147453E-2</v>
      </c>
      <c r="L61" s="21">
        <v>36</v>
      </c>
    </row>
    <row r="62" spans="1:12" x14ac:dyDescent="0.3">
      <c r="A62" s="23">
        <v>46112</v>
      </c>
      <c r="B62" s="21">
        <v>880</v>
      </c>
      <c r="C62" s="21">
        <v>16720</v>
      </c>
      <c r="D62" s="21">
        <v>29</v>
      </c>
      <c r="E62" s="21">
        <v>13</v>
      </c>
      <c r="F62" s="21">
        <v>4</v>
      </c>
      <c r="G62" s="21">
        <v>3</v>
      </c>
      <c r="H62" s="21">
        <v>57</v>
      </c>
      <c r="I62" s="21">
        <v>11</v>
      </c>
      <c r="J62" s="21">
        <v>49</v>
      </c>
      <c r="K62" s="24">
        <v>5.568181818181818E-2</v>
      </c>
      <c r="L62" s="21">
        <v>68</v>
      </c>
    </row>
    <row r="63" spans="1:12" x14ac:dyDescent="0.3">
      <c r="A63" s="23">
        <v>46113</v>
      </c>
      <c r="B63" s="21">
        <v>845</v>
      </c>
      <c r="C63" s="21">
        <v>27040</v>
      </c>
      <c r="D63" s="21">
        <v>19</v>
      </c>
      <c r="E63" s="21">
        <v>7</v>
      </c>
      <c r="F63" s="21">
        <v>2</v>
      </c>
      <c r="G63" s="21">
        <v>3</v>
      </c>
      <c r="H63" s="21">
        <v>61</v>
      </c>
      <c r="I63" s="21">
        <v>10</v>
      </c>
      <c r="J63" s="21">
        <v>31</v>
      </c>
      <c r="K63" s="24">
        <v>3.6686390532544376E-2</v>
      </c>
      <c r="L63" s="21">
        <v>71</v>
      </c>
    </row>
    <row r="64" spans="1:12" x14ac:dyDescent="0.3">
      <c r="A64" s="23">
        <v>46114</v>
      </c>
      <c r="B64" s="21">
        <v>822</v>
      </c>
      <c r="C64" s="21">
        <v>16440</v>
      </c>
      <c r="D64" s="21">
        <v>16</v>
      </c>
      <c r="E64" s="21">
        <v>8</v>
      </c>
      <c r="F64" s="21">
        <v>2</v>
      </c>
      <c r="G64" s="21">
        <v>3</v>
      </c>
      <c r="H64" s="21">
        <v>57</v>
      </c>
      <c r="I64" s="21">
        <v>9</v>
      </c>
      <c r="J64" s="21">
        <v>29</v>
      </c>
      <c r="K64" s="24">
        <v>3.5279805352798052E-2</v>
      </c>
      <c r="L64" s="21">
        <v>66</v>
      </c>
    </row>
    <row r="65" spans="1:12" x14ac:dyDescent="0.3">
      <c r="A65" s="23">
        <v>46115</v>
      </c>
      <c r="B65" s="21">
        <v>1115</v>
      </c>
      <c r="C65" s="21">
        <v>32335</v>
      </c>
      <c r="D65" s="21">
        <v>30</v>
      </c>
      <c r="E65" s="21">
        <v>11</v>
      </c>
      <c r="F65" s="21">
        <v>4</v>
      </c>
      <c r="G65" s="21">
        <v>5</v>
      </c>
      <c r="H65" s="21">
        <v>77</v>
      </c>
      <c r="I65" s="21">
        <v>8</v>
      </c>
      <c r="J65" s="21">
        <v>50</v>
      </c>
      <c r="K65" s="24">
        <v>4.4843049327354258E-2</v>
      </c>
      <c r="L65" s="21">
        <v>85</v>
      </c>
    </row>
    <row r="66" spans="1:12" x14ac:dyDescent="0.3">
      <c r="A66" s="23">
        <v>46116</v>
      </c>
      <c r="B66" s="21">
        <v>1297</v>
      </c>
      <c r="C66" s="21">
        <v>42801</v>
      </c>
      <c r="D66" s="21">
        <v>41</v>
      </c>
      <c r="E66" s="21">
        <v>19</v>
      </c>
      <c r="F66" s="21">
        <v>5</v>
      </c>
      <c r="G66" s="21">
        <v>5</v>
      </c>
      <c r="H66" s="21">
        <v>59</v>
      </c>
      <c r="I66" s="21">
        <v>8</v>
      </c>
      <c r="J66" s="21">
        <v>70</v>
      </c>
      <c r="K66" s="24">
        <v>5.3970701619121049E-2</v>
      </c>
      <c r="L66" s="21">
        <v>67</v>
      </c>
    </row>
    <row r="67" spans="1:12" x14ac:dyDescent="0.3">
      <c r="A67" s="23">
        <v>46117</v>
      </c>
      <c r="B67" s="21">
        <v>1208</v>
      </c>
      <c r="C67" s="21">
        <v>33824</v>
      </c>
      <c r="D67" s="21">
        <v>41</v>
      </c>
      <c r="E67" s="21">
        <v>20</v>
      </c>
      <c r="F67" s="21">
        <v>4</v>
      </c>
      <c r="G67" s="21">
        <v>7</v>
      </c>
      <c r="H67" s="21">
        <v>75</v>
      </c>
      <c r="I67" s="21">
        <v>12</v>
      </c>
      <c r="J67" s="21">
        <v>72</v>
      </c>
      <c r="K67" s="24">
        <v>5.9602649006622516E-2</v>
      </c>
      <c r="L67" s="21">
        <v>87</v>
      </c>
    </row>
    <row r="68" spans="1:12" x14ac:dyDescent="0.3">
      <c r="A68" s="23">
        <v>46118</v>
      </c>
      <c r="B68" s="21">
        <v>865</v>
      </c>
      <c r="C68" s="21">
        <v>25950</v>
      </c>
      <c r="D68" s="21">
        <v>26</v>
      </c>
      <c r="E68" s="21">
        <v>10</v>
      </c>
      <c r="F68" s="21">
        <v>4</v>
      </c>
      <c r="G68" s="21">
        <v>3</v>
      </c>
      <c r="H68" s="21">
        <v>61</v>
      </c>
      <c r="I68" s="21">
        <v>12</v>
      </c>
      <c r="J68" s="21">
        <v>43</v>
      </c>
      <c r="K68" s="24">
        <v>4.971098265895954E-2</v>
      </c>
      <c r="L68" s="21">
        <v>73</v>
      </c>
    </row>
    <row r="69" spans="1:12" x14ac:dyDescent="0.3">
      <c r="A69" s="23">
        <v>46119</v>
      </c>
      <c r="B69" s="21">
        <v>779</v>
      </c>
      <c r="C69" s="21">
        <v>14022</v>
      </c>
      <c r="D69" s="21">
        <v>22</v>
      </c>
      <c r="E69" s="21">
        <v>8</v>
      </c>
      <c r="F69" s="21">
        <v>3</v>
      </c>
      <c r="G69" s="21">
        <v>2</v>
      </c>
      <c r="H69" s="21">
        <v>34</v>
      </c>
      <c r="I69" s="21">
        <v>4</v>
      </c>
      <c r="J69" s="21">
        <v>35</v>
      </c>
      <c r="K69" s="24">
        <v>4.4929396662387676E-2</v>
      </c>
      <c r="L69" s="21">
        <v>38</v>
      </c>
    </row>
    <row r="70" spans="1:12" x14ac:dyDescent="0.3">
      <c r="A70" s="23">
        <v>46120</v>
      </c>
      <c r="B70" s="21">
        <v>749</v>
      </c>
      <c r="C70" s="21">
        <v>23968</v>
      </c>
      <c r="D70" s="21">
        <v>21</v>
      </c>
      <c r="E70" s="21">
        <v>10</v>
      </c>
      <c r="F70" s="21">
        <v>3</v>
      </c>
      <c r="G70" s="21">
        <v>4</v>
      </c>
      <c r="H70" s="21">
        <v>45</v>
      </c>
      <c r="I70" s="21">
        <v>7</v>
      </c>
      <c r="J70" s="21">
        <v>38</v>
      </c>
      <c r="K70" s="24">
        <v>5.0734312416555405E-2</v>
      </c>
      <c r="L70" s="21">
        <v>52</v>
      </c>
    </row>
    <row r="71" spans="1:12" x14ac:dyDescent="0.3">
      <c r="A71" s="23">
        <v>46121</v>
      </c>
      <c r="B71" s="21">
        <v>887</v>
      </c>
      <c r="C71" s="21">
        <v>27497</v>
      </c>
      <c r="D71" s="21">
        <v>23</v>
      </c>
      <c r="E71" s="21">
        <v>10</v>
      </c>
      <c r="F71" s="21">
        <v>3</v>
      </c>
      <c r="G71" s="21">
        <v>2</v>
      </c>
      <c r="H71" s="21">
        <v>50</v>
      </c>
      <c r="I71" s="21">
        <v>9</v>
      </c>
      <c r="J71" s="21">
        <v>38</v>
      </c>
      <c r="K71" s="24">
        <v>4.2841037204058623E-2</v>
      </c>
      <c r="L71" s="21">
        <v>59</v>
      </c>
    </row>
    <row r="72" spans="1:12" x14ac:dyDescent="0.3">
      <c r="A72" s="23">
        <v>46122</v>
      </c>
      <c r="B72" s="21">
        <v>671</v>
      </c>
      <c r="C72" s="21">
        <v>21472</v>
      </c>
      <c r="D72" s="21">
        <v>26</v>
      </c>
      <c r="E72" s="21">
        <v>13</v>
      </c>
      <c r="F72" s="21">
        <v>4</v>
      </c>
      <c r="G72" s="21">
        <v>3</v>
      </c>
      <c r="H72" s="21">
        <v>33</v>
      </c>
      <c r="I72" s="21">
        <v>6</v>
      </c>
      <c r="J72" s="21">
        <v>46</v>
      </c>
      <c r="K72" s="24">
        <v>6.8554396423248884E-2</v>
      </c>
      <c r="L72" s="21">
        <v>39</v>
      </c>
    </row>
    <row r="73" spans="1:12" x14ac:dyDescent="0.3">
      <c r="A73" s="23">
        <v>46123</v>
      </c>
      <c r="B73" s="21">
        <v>1050</v>
      </c>
      <c r="C73" s="21">
        <v>30450</v>
      </c>
      <c r="D73" s="21">
        <v>30</v>
      </c>
      <c r="E73" s="21">
        <v>14</v>
      </c>
      <c r="F73" s="21">
        <v>3</v>
      </c>
      <c r="G73" s="21">
        <v>4</v>
      </c>
      <c r="H73" s="21">
        <v>55</v>
      </c>
      <c r="I73" s="21">
        <v>10</v>
      </c>
      <c r="J73" s="21">
        <v>51</v>
      </c>
      <c r="K73" s="24">
        <v>4.8571428571428571E-2</v>
      </c>
      <c r="L73" s="21">
        <v>65</v>
      </c>
    </row>
    <row r="74" spans="1:12" x14ac:dyDescent="0.3">
      <c r="A74" s="23">
        <v>46124</v>
      </c>
      <c r="B74" s="21">
        <v>771</v>
      </c>
      <c r="C74" s="21">
        <v>18504</v>
      </c>
      <c r="D74" s="21">
        <v>21</v>
      </c>
      <c r="E74" s="21">
        <v>9</v>
      </c>
      <c r="F74" s="21">
        <v>2</v>
      </c>
      <c r="G74" s="21">
        <v>3</v>
      </c>
      <c r="H74" s="21">
        <v>36</v>
      </c>
      <c r="I74" s="21">
        <v>4</v>
      </c>
      <c r="J74" s="21">
        <v>35</v>
      </c>
      <c r="K74" s="24">
        <v>4.5395590142671853E-2</v>
      </c>
      <c r="L74" s="21">
        <v>40</v>
      </c>
    </row>
    <row r="75" spans="1:12" x14ac:dyDescent="0.3">
      <c r="A75" s="23">
        <v>46125</v>
      </c>
      <c r="B75" s="21">
        <v>818</v>
      </c>
      <c r="C75" s="21">
        <v>26176</v>
      </c>
      <c r="D75" s="21">
        <v>34</v>
      </c>
      <c r="E75" s="21">
        <v>17</v>
      </c>
      <c r="F75" s="21">
        <v>3</v>
      </c>
      <c r="G75" s="21">
        <v>4</v>
      </c>
      <c r="H75" s="21">
        <v>56</v>
      </c>
      <c r="I75" s="21">
        <v>10</v>
      </c>
      <c r="J75" s="21">
        <v>58</v>
      </c>
      <c r="K75" s="24">
        <v>7.090464547677261E-2</v>
      </c>
      <c r="L75" s="21">
        <v>66</v>
      </c>
    </row>
    <row r="76" spans="1:12" x14ac:dyDescent="0.3">
      <c r="A76" s="23">
        <v>46126</v>
      </c>
      <c r="B76" s="21">
        <v>654</v>
      </c>
      <c r="C76" s="21">
        <v>19620</v>
      </c>
      <c r="D76" s="21">
        <v>19</v>
      </c>
      <c r="E76" s="21">
        <v>7</v>
      </c>
      <c r="F76" s="21">
        <v>3</v>
      </c>
      <c r="G76" s="21">
        <v>2</v>
      </c>
      <c r="H76" s="21">
        <v>50</v>
      </c>
      <c r="I76" s="21">
        <v>7</v>
      </c>
      <c r="J76" s="21">
        <v>31</v>
      </c>
      <c r="K76" s="24">
        <v>4.7400611620795105E-2</v>
      </c>
      <c r="L76" s="21">
        <v>57</v>
      </c>
    </row>
    <row r="77" spans="1:12" x14ac:dyDescent="0.3">
      <c r="A77" s="23">
        <v>46127</v>
      </c>
      <c r="B77" s="21">
        <v>877</v>
      </c>
      <c r="C77" s="21">
        <v>25433</v>
      </c>
      <c r="D77" s="21">
        <v>25</v>
      </c>
      <c r="E77" s="21">
        <v>9</v>
      </c>
      <c r="F77" s="21">
        <v>3</v>
      </c>
      <c r="G77" s="21">
        <v>4</v>
      </c>
      <c r="H77" s="21">
        <v>51</v>
      </c>
      <c r="I77" s="21">
        <v>10</v>
      </c>
      <c r="J77" s="21">
        <v>41</v>
      </c>
      <c r="K77" s="24">
        <v>4.6750285062713795E-2</v>
      </c>
      <c r="L77" s="21">
        <v>61</v>
      </c>
    </row>
    <row r="78" spans="1:12" x14ac:dyDescent="0.3">
      <c r="A78" s="23">
        <v>46128</v>
      </c>
      <c r="B78" s="21">
        <v>771</v>
      </c>
      <c r="C78" s="21">
        <v>25443</v>
      </c>
      <c r="D78" s="21">
        <v>28</v>
      </c>
      <c r="E78" s="21">
        <v>13</v>
      </c>
      <c r="F78" s="21">
        <v>3</v>
      </c>
      <c r="G78" s="21">
        <v>3</v>
      </c>
      <c r="H78" s="21">
        <v>33</v>
      </c>
      <c r="I78" s="21">
        <v>6</v>
      </c>
      <c r="J78" s="21">
        <v>47</v>
      </c>
      <c r="K78" s="24">
        <v>6.0959792477302203E-2</v>
      </c>
      <c r="L78" s="21">
        <v>39</v>
      </c>
    </row>
    <row r="79" spans="1:12" x14ac:dyDescent="0.3">
      <c r="A79" s="23">
        <v>46129</v>
      </c>
      <c r="B79" s="21">
        <v>2203</v>
      </c>
      <c r="C79" s="21">
        <v>39654</v>
      </c>
      <c r="D79" s="21">
        <v>66</v>
      </c>
      <c r="E79" s="21">
        <v>26</v>
      </c>
      <c r="F79" s="21">
        <v>7</v>
      </c>
      <c r="G79" s="21">
        <v>8</v>
      </c>
      <c r="H79" s="21">
        <v>136</v>
      </c>
      <c r="I79" s="21">
        <v>26</v>
      </c>
      <c r="J79" s="21">
        <v>107</v>
      </c>
      <c r="K79" s="24">
        <v>4.8570131638674532E-2</v>
      </c>
      <c r="L79" s="21">
        <v>162</v>
      </c>
    </row>
    <row r="80" spans="1:12" x14ac:dyDescent="0.3">
      <c r="A80" s="23">
        <v>46130</v>
      </c>
      <c r="B80" s="21">
        <v>866</v>
      </c>
      <c r="C80" s="21">
        <v>19052</v>
      </c>
      <c r="D80" s="21">
        <v>32</v>
      </c>
      <c r="E80" s="21">
        <v>12</v>
      </c>
      <c r="F80" s="21">
        <v>4</v>
      </c>
      <c r="G80" s="21">
        <v>3</v>
      </c>
      <c r="H80" s="21">
        <v>36</v>
      </c>
      <c r="I80" s="21">
        <v>5</v>
      </c>
      <c r="J80" s="21">
        <v>51</v>
      </c>
      <c r="K80" s="24">
        <v>5.889145496535797E-2</v>
      </c>
      <c r="L80" s="21">
        <v>41</v>
      </c>
    </row>
    <row r="81" spans="1:12" x14ac:dyDescent="0.3">
      <c r="A81" s="23">
        <v>46131</v>
      </c>
      <c r="B81" s="21">
        <v>862</v>
      </c>
      <c r="C81" s="21">
        <v>24136</v>
      </c>
      <c r="D81" s="21">
        <v>34</v>
      </c>
      <c r="E81" s="21">
        <v>14</v>
      </c>
      <c r="F81" s="21">
        <v>5</v>
      </c>
      <c r="G81" s="21">
        <v>3</v>
      </c>
      <c r="H81" s="21">
        <v>38</v>
      </c>
      <c r="I81" s="21">
        <v>5</v>
      </c>
      <c r="J81" s="21">
        <v>56</v>
      </c>
      <c r="K81" s="24">
        <v>6.4965197215777259E-2</v>
      </c>
      <c r="L81" s="21">
        <v>43</v>
      </c>
    </row>
    <row r="82" spans="1:12" x14ac:dyDescent="0.3">
      <c r="A82" s="23">
        <v>46132</v>
      </c>
      <c r="B82" s="21">
        <v>898</v>
      </c>
      <c r="C82" s="21">
        <v>21552</v>
      </c>
      <c r="D82" s="21">
        <v>37</v>
      </c>
      <c r="E82" s="21">
        <v>14</v>
      </c>
      <c r="F82" s="21">
        <v>4</v>
      </c>
      <c r="G82" s="21">
        <v>4</v>
      </c>
      <c r="H82" s="21">
        <v>54</v>
      </c>
      <c r="I82" s="21">
        <v>7</v>
      </c>
      <c r="J82" s="21">
        <v>59</v>
      </c>
      <c r="K82" s="24">
        <v>6.5701559020044542E-2</v>
      </c>
      <c r="L82" s="21">
        <v>61</v>
      </c>
    </row>
    <row r="83" spans="1:12" x14ac:dyDescent="0.3">
      <c r="A83" s="23">
        <v>46133</v>
      </c>
      <c r="B83" s="21">
        <v>688</v>
      </c>
      <c r="C83" s="21">
        <v>22016</v>
      </c>
      <c r="D83" s="21">
        <v>31</v>
      </c>
      <c r="E83" s="21">
        <v>13</v>
      </c>
      <c r="F83" s="21">
        <v>3</v>
      </c>
      <c r="G83" s="21">
        <v>4</v>
      </c>
      <c r="H83" s="21">
        <v>54</v>
      </c>
      <c r="I83" s="21">
        <v>10</v>
      </c>
      <c r="J83" s="21">
        <v>51</v>
      </c>
      <c r="K83" s="24">
        <v>7.4127906976744193E-2</v>
      </c>
      <c r="L83" s="21">
        <v>64</v>
      </c>
    </row>
    <row r="84" spans="1:12" x14ac:dyDescent="0.3">
      <c r="A84" s="23">
        <v>46134</v>
      </c>
      <c r="B84" s="21">
        <v>706</v>
      </c>
      <c r="C84" s="21">
        <v>22592</v>
      </c>
      <c r="D84" s="21">
        <v>17</v>
      </c>
      <c r="E84" s="21">
        <v>9</v>
      </c>
      <c r="F84" s="21">
        <v>3</v>
      </c>
      <c r="G84" s="21">
        <v>2</v>
      </c>
      <c r="H84" s="21">
        <v>30</v>
      </c>
      <c r="I84" s="21">
        <v>4</v>
      </c>
      <c r="J84" s="21">
        <v>31</v>
      </c>
      <c r="K84" s="24">
        <v>4.3909348441926344E-2</v>
      </c>
      <c r="L84" s="21">
        <v>34</v>
      </c>
    </row>
    <row r="85" spans="1:12" x14ac:dyDescent="0.3">
      <c r="A85" s="23">
        <v>46135</v>
      </c>
      <c r="B85" s="21">
        <v>735</v>
      </c>
      <c r="C85" s="21">
        <v>21315</v>
      </c>
      <c r="D85" s="21">
        <v>15</v>
      </c>
      <c r="E85" s="21">
        <v>7</v>
      </c>
      <c r="F85" s="21">
        <v>2</v>
      </c>
      <c r="G85" s="21">
        <v>2</v>
      </c>
      <c r="H85" s="21">
        <v>55</v>
      </c>
      <c r="I85" s="21">
        <v>7</v>
      </c>
      <c r="J85" s="21">
        <v>26</v>
      </c>
      <c r="K85" s="24">
        <v>3.5374149659863949E-2</v>
      </c>
      <c r="L85" s="21">
        <v>62</v>
      </c>
    </row>
    <row r="86" spans="1:12" x14ac:dyDescent="0.3">
      <c r="A86" s="23">
        <v>46136</v>
      </c>
      <c r="B86" s="21">
        <v>856</v>
      </c>
      <c r="C86" s="21">
        <v>29960</v>
      </c>
      <c r="D86" s="21">
        <v>27</v>
      </c>
      <c r="E86" s="21">
        <v>13</v>
      </c>
      <c r="F86" s="21">
        <v>3</v>
      </c>
      <c r="G86" s="21">
        <v>4</v>
      </c>
      <c r="H86" s="21">
        <v>45</v>
      </c>
      <c r="I86" s="21">
        <v>5</v>
      </c>
      <c r="J86" s="21">
        <v>47</v>
      </c>
      <c r="K86" s="24">
        <v>5.4906542056074766E-2</v>
      </c>
      <c r="L86" s="21">
        <v>50</v>
      </c>
    </row>
    <row r="87" spans="1:12" x14ac:dyDescent="0.3">
      <c r="A87" s="23">
        <v>46137</v>
      </c>
      <c r="B87" s="21">
        <v>859</v>
      </c>
      <c r="C87" s="21">
        <v>16321</v>
      </c>
      <c r="D87" s="21">
        <v>28</v>
      </c>
      <c r="E87" s="21">
        <v>14</v>
      </c>
      <c r="F87" s="21">
        <v>3</v>
      </c>
      <c r="G87" s="21">
        <v>3</v>
      </c>
      <c r="H87" s="21">
        <v>35</v>
      </c>
      <c r="I87" s="21">
        <v>4</v>
      </c>
      <c r="J87" s="21">
        <v>48</v>
      </c>
      <c r="K87" s="24">
        <v>5.5878928987194411E-2</v>
      </c>
      <c r="L87" s="21">
        <v>39</v>
      </c>
    </row>
    <row r="88" spans="1:12" x14ac:dyDescent="0.3">
      <c r="A88" s="23">
        <v>46138</v>
      </c>
      <c r="B88" s="21">
        <v>1089</v>
      </c>
      <c r="C88" s="21">
        <v>25047</v>
      </c>
      <c r="D88" s="21">
        <v>26</v>
      </c>
      <c r="E88" s="21">
        <v>10</v>
      </c>
      <c r="F88" s="21">
        <v>3</v>
      </c>
      <c r="G88" s="21">
        <v>4</v>
      </c>
      <c r="H88" s="21">
        <v>68</v>
      </c>
      <c r="I88" s="21">
        <v>11</v>
      </c>
      <c r="J88" s="21">
        <v>43</v>
      </c>
      <c r="K88" s="24">
        <v>3.948576675849403E-2</v>
      </c>
      <c r="L88" s="21">
        <v>79</v>
      </c>
    </row>
    <row r="89" spans="1:12" x14ac:dyDescent="0.3">
      <c r="A89" s="23">
        <v>46139</v>
      </c>
      <c r="B89" s="21">
        <v>662</v>
      </c>
      <c r="C89" s="21">
        <v>13902</v>
      </c>
      <c r="D89" s="21">
        <v>23</v>
      </c>
      <c r="E89" s="21">
        <v>8</v>
      </c>
      <c r="F89" s="21">
        <v>4</v>
      </c>
      <c r="G89" s="21">
        <v>3</v>
      </c>
      <c r="H89" s="21">
        <v>46</v>
      </c>
      <c r="I89" s="21">
        <v>7</v>
      </c>
      <c r="J89" s="21">
        <v>38</v>
      </c>
      <c r="K89" s="24">
        <v>5.7401812688821753E-2</v>
      </c>
      <c r="L89" s="21">
        <v>53</v>
      </c>
    </row>
    <row r="90" spans="1:12" x14ac:dyDescent="0.3">
      <c r="A90" s="23">
        <v>46140</v>
      </c>
      <c r="B90" s="21">
        <v>772</v>
      </c>
      <c r="C90" s="21">
        <v>20844</v>
      </c>
      <c r="D90" s="21">
        <v>19</v>
      </c>
      <c r="E90" s="21">
        <v>9</v>
      </c>
      <c r="F90" s="21">
        <v>2</v>
      </c>
      <c r="G90" s="21">
        <v>3</v>
      </c>
      <c r="H90" s="21">
        <v>49</v>
      </c>
      <c r="I90" s="21">
        <v>8</v>
      </c>
      <c r="J90" s="21">
        <v>33</v>
      </c>
      <c r="K90" s="24">
        <v>4.2746113989637305E-2</v>
      </c>
      <c r="L90" s="21">
        <v>57</v>
      </c>
    </row>
    <row r="91" spans="1:12" x14ac:dyDescent="0.3">
      <c r="A91" s="23">
        <v>46141</v>
      </c>
      <c r="B91" s="21">
        <v>678</v>
      </c>
      <c r="C91" s="21">
        <v>23052</v>
      </c>
      <c r="D91" s="21">
        <v>26</v>
      </c>
      <c r="E91" s="21">
        <v>12</v>
      </c>
      <c r="F91" s="21">
        <v>3</v>
      </c>
      <c r="G91" s="21">
        <v>4</v>
      </c>
      <c r="H91" s="21">
        <v>42</v>
      </c>
      <c r="I91" s="21">
        <v>7</v>
      </c>
      <c r="J91" s="21">
        <v>45</v>
      </c>
      <c r="K91" s="24">
        <v>6.637168141592921E-2</v>
      </c>
      <c r="L91" s="21">
        <v>49</v>
      </c>
    </row>
    <row r="92" spans="1:12" x14ac:dyDescent="0.3">
      <c r="A92" s="23">
        <v>46142</v>
      </c>
      <c r="B92" s="21">
        <v>678</v>
      </c>
      <c r="C92" s="21">
        <v>15594</v>
      </c>
      <c r="D92" s="21">
        <v>15</v>
      </c>
      <c r="E92" s="21">
        <v>6</v>
      </c>
      <c r="F92" s="21">
        <v>2</v>
      </c>
      <c r="G92" s="21">
        <v>2</v>
      </c>
      <c r="H92" s="21">
        <v>39</v>
      </c>
      <c r="I92" s="21">
        <v>5</v>
      </c>
      <c r="J92" s="21">
        <v>25</v>
      </c>
      <c r="K92" s="24">
        <v>3.687315634218289E-2</v>
      </c>
      <c r="L92" s="21">
        <v>44</v>
      </c>
    </row>
    <row r="93" spans="1:12" x14ac:dyDescent="0.3">
      <c r="A93" s="23"/>
      <c r="K93" s="24"/>
    </row>
    <row r="94" spans="1:12" x14ac:dyDescent="0.3">
      <c r="A94" s="23"/>
      <c r="K94" s="24"/>
    </row>
    <row r="95" spans="1:12" x14ac:dyDescent="0.3">
      <c r="A95" s="23"/>
      <c r="K95" s="24"/>
    </row>
    <row r="96" spans="1:12" x14ac:dyDescent="0.3">
      <c r="A96" s="23"/>
      <c r="K96" s="24"/>
    </row>
    <row r="97" spans="1:11" x14ac:dyDescent="0.3">
      <c r="A97" s="23"/>
      <c r="K97" s="24"/>
    </row>
    <row r="98" spans="1:11" x14ac:dyDescent="0.3">
      <c r="A98" s="23"/>
      <c r="K98" s="24"/>
    </row>
    <row r="99" spans="1:11" x14ac:dyDescent="0.3">
      <c r="A99" s="23"/>
      <c r="K99" s="24"/>
    </row>
    <row r="100" spans="1:11" x14ac:dyDescent="0.3">
      <c r="A100" s="23"/>
      <c r="K100" s="24"/>
    </row>
    <row r="101" spans="1:11" x14ac:dyDescent="0.3">
      <c r="A101" s="23"/>
      <c r="K101" s="24"/>
    </row>
    <row r="102" spans="1:11" x14ac:dyDescent="0.3">
      <c r="A102" s="23"/>
      <c r="K102" s="24"/>
    </row>
    <row r="103" spans="1:11" x14ac:dyDescent="0.3">
      <c r="A103" s="23"/>
      <c r="K103" s="24"/>
    </row>
    <row r="104" spans="1:11" x14ac:dyDescent="0.3">
      <c r="A104" s="23"/>
      <c r="K104" s="24"/>
    </row>
    <row r="105" spans="1:11" x14ac:dyDescent="0.3">
      <c r="A105" s="23"/>
      <c r="K105" s="24"/>
    </row>
    <row r="106" spans="1:11" x14ac:dyDescent="0.3">
      <c r="A106" s="23"/>
      <c r="K106" s="24"/>
    </row>
    <row r="107" spans="1:11" x14ac:dyDescent="0.3">
      <c r="A107" s="23"/>
      <c r="K107" s="24"/>
    </row>
    <row r="108" spans="1:11" x14ac:dyDescent="0.3">
      <c r="A108" s="23"/>
      <c r="K108" s="24"/>
    </row>
    <row r="109" spans="1:11" x14ac:dyDescent="0.3">
      <c r="A109" s="23"/>
      <c r="K109" s="24"/>
    </row>
    <row r="110" spans="1:11" x14ac:dyDescent="0.3">
      <c r="A110" s="23"/>
      <c r="K110" s="24"/>
    </row>
    <row r="111" spans="1:11" x14ac:dyDescent="0.3">
      <c r="A111" s="23"/>
      <c r="K111" s="24"/>
    </row>
    <row r="112" spans="1:11" x14ac:dyDescent="0.3">
      <c r="A112" s="23"/>
      <c r="K112" s="24"/>
    </row>
    <row r="113" spans="1:11" x14ac:dyDescent="0.3">
      <c r="A113" s="23"/>
      <c r="K113" s="24"/>
    </row>
    <row r="114" spans="1:11" x14ac:dyDescent="0.3">
      <c r="A114" s="23"/>
      <c r="K114" s="24"/>
    </row>
    <row r="115" spans="1:11" x14ac:dyDescent="0.3">
      <c r="A115" s="23"/>
      <c r="K115" s="24"/>
    </row>
    <row r="116" spans="1:11" x14ac:dyDescent="0.3">
      <c r="A116" s="23"/>
      <c r="K116" s="24"/>
    </row>
    <row r="117" spans="1:11" x14ac:dyDescent="0.3">
      <c r="A117" s="23"/>
      <c r="K117" s="24"/>
    </row>
    <row r="118" spans="1:11" x14ac:dyDescent="0.3">
      <c r="A118" s="23"/>
      <c r="K118" s="24"/>
    </row>
    <row r="119" spans="1:11" x14ac:dyDescent="0.3">
      <c r="A119" s="23"/>
      <c r="K119" s="24"/>
    </row>
    <row r="120" spans="1:11" x14ac:dyDescent="0.3">
      <c r="A120" s="23"/>
      <c r="K120" s="24"/>
    </row>
    <row r="121" spans="1:11" x14ac:dyDescent="0.3">
      <c r="A121" s="23"/>
      <c r="K121" s="24"/>
    </row>
    <row r="122" spans="1:11" x14ac:dyDescent="0.3">
      <c r="A122" s="23"/>
      <c r="K122" s="24"/>
    </row>
    <row r="123" spans="1:11" x14ac:dyDescent="0.3">
      <c r="A123" s="23"/>
      <c r="K123" s="24"/>
    </row>
    <row r="124" spans="1:11" x14ac:dyDescent="0.3">
      <c r="A124" s="23"/>
      <c r="K124" s="24"/>
    </row>
    <row r="125" spans="1:11" x14ac:dyDescent="0.3">
      <c r="A125" s="23"/>
      <c r="K125" s="24"/>
    </row>
    <row r="126" spans="1:11" x14ac:dyDescent="0.3">
      <c r="A126" s="23"/>
      <c r="K126" s="24"/>
    </row>
    <row r="127" spans="1:11" x14ac:dyDescent="0.3">
      <c r="A127" s="23"/>
      <c r="K127" s="24"/>
    </row>
    <row r="128" spans="1:11" x14ac:dyDescent="0.3">
      <c r="A128" s="23"/>
      <c r="K128" s="24"/>
    </row>
    <row r="129" spans="1:11" x14ac:dyDescent="0.3">
      <c r="A129" s="23"/>
      <c r="K129" s="24"/>
    </row>
    <row r="130" spans="1:11" x14ac:dyDescent="0.3">
      <c r="A130" s="23"/>
      <c r="K130" s="24"/>
    </row>
    <row r="131" spans="1:11" x14ac:dyDescent="0.3">
      <c r="A131" s="23"/>
      <c r="K131" s="24"/>
    </row>
    <row r="132" spans="1:11" x14ac:dyDescent="0.3">
      <c r="A132" s="23"/>
      <c r="K132" s="24"/>
    </row>
    <row r="133" spans="1:11" x14ac:dyDescent="0.3">
      <c r="A133" s="23"/>
      <c r="K133" s="24"/>
    </row>
    <row r="134" spans="1:11" x14ac:dyDescent="0.3">
      <c r="A134" s="23"/>
      <c r="K134" s="24"/>
    </row>
    <row r="135" spans="1:11" x14ac:dyDescent="0.3">
      <c r="A135" s="23"/>
      <c r="K135" s="24"/>
    </row>
    <row r="136" spans="1:11" x14ac:dyDescent="0.3">
      <c r="A136" s="23"/>
      <c r="K136" s="24"/>
    </row>
    <row r="137" spans="1:11" x14ac:dyDescent="0.3">
      <c r="A137" s="23"/>
      <c r="K137" s="24"/>
    </row>
    <row r="138" spans="1:11" x14ac:dyDescent="0.3">
      <c r="A138" s="23"/>
      <c r="K138" s="24"/>
    </row>
    <row r="139" spans="1:11" x14ac:dyDescent="0.3">
      <c r="A139" s="23"/>
      <c r="K139" s="24"/>
    </row>
    <row r="140" spans="1:11" x14ac:dyDescent="0.3">
      <c r="A140" s="23"/>
      <c r="K140" s="24"/>
    </row>
    <row r="141" spans="1:11" x14ac:dyDescent="0.3">
      <c r="A141" s="23"/>
      <c r="K141" s="24"/>
    </row>
    <row r="142" spans="1:11" x14ac:dyDescent="0.3">
      <c r="A142" s="23"/>
      <c r="K142" s="24"/>
    </row>
    <row r="143" spans="1:11" x14ac:dyDescent="0.3">
      <c r="A143" s="23"/>
      <c r="K143" s="24"/>
    </row>
    <row r="144" spans="1:11" x14ac:dyDescent="0.3">
      <c r="A144" s="23"/>
      <c r="K144" s="24"/>
    </row>
    <row r="145" spans="1:11" x14ac:dyDescent="0.3">
      <c r="A145" s="23"/>
      <c r="K145" s="24"/>
    </row>
    <row r="146" spans="1:11" x14ac:dyDescent="0.3">
      <c r="A146" s="23"/>
      <c r="K146" s="24"/>
    </row>
    <row r="147" spans="1:11" x14ac:dyDescent="0.3">
      <c r="A147" s="23"/>
      <c r="K147" s="24"/>
    </row>
    <row r="148" spans="1:11" x14ac:dyDescent="0.3">
      <c r="A148" s="23"/>
      <c r="K148" s="24"/>
    </row>
    <row r="149" spans="1:11" x14ac:dyDescent="0.3">
      <c r="A149" s="23"/>
      <c r="K149" s="24"/>
    </row>
    <row r="150" spans="1:11" x14ac:dyDescent="0.3">
      <c r="A150" s="23"/>
      <c r="K150" s="24"/>
    </row>
    <row r="151" spans="1:11" x14ac:dyDescent="0.3">
      <c r="A151" s="23"/>
      <c r="K151" s="24"/>
    </row>
    <row r="152" spans="1:11" x14ac:dyDescent="0.3">
      <c r="A152" s="23"/>
      <c r="K152" s="24"/>
    </row>
    <row r="153" spans="1:11" x14ac:dyDescent="0.3">
      <c r="A153" s="23"/>
      <c r="K153" s="24"/>
    </row>
    <row r="154" spans="1:11" x14ac:dyDescent="0.3">
      <c r="A154" s="23"/>
      <c r="K154" s="24"/>
    </row>
    <row r="155" spans="1:11" x14ac:dyDescent="0.3">
      <c r="A155" s="23"/>
      <c r="K155" s="24"/>
    </row>
    <row r="156" spans="1:11" x14ac:dyDescent="0.3">
      <c r="A156" s="23"/>
      <c r="K156" s="24"/>
    </row>
    <row r="157" spans="1:11" x14ac:dyDescent="0.3">
      <c r="A157" s="23"/>
      <c r="K157" s="24"/>
    </row>
    <row r="158" spans="1:11" x14ac:dyDescent="0.3">
      <c r="A158" s="23"/>
      <c r="K158" s="24"/>
    </row>
    <row r="159" spans="1:11" x14ac:dyDescent="0.3">
      <c r="A159" s="23"/>
      <c r="K159" s="24"/>
    </row>
    <row r="160" spans="1:11" x14ac:dyDescent="0.3">
      <c r="A160" s="23"/>
      <c r="K160" s="24"/>
    </row>
    <row r="161" spans="1:11" x14ac:dyDescent="0.3">
      <c r="A161" s="23"/>
      <c r="K161" s="24"/>
    </row>
    <row r="162" spans="1:11" x14ac:dyDescent="0.3">
      <c r="A162" s="23"/>
      <c r="K162" s="24"/>
    </row>
    <row r="163" spans="1:11" x14ac:dyDescent="0.3">
      <c r="A163" s="23"/>
      <c r="K163" s="24"/>
    </row>
    <row r="164" spans="1:11" x14ac:dyDescent="0.3">
      <c r="A164" s="23"/>
      <c r="K164" s="24"/>
    </row>
    <row r="165" spans="1:11" x14ac:dyDescent="0.3">
      <c r="A165" s="23"/>
      <c r="K165" s="24"/>
    </row>
    <row r="166" spans="1:11" x14ac:dyDescent="0.3">
      <c r="A166" s="23"/>
      <c r="K166" s="24"/>
    </row>
    <row r="167" spans="1:11" x14ac:dyDescent="0.3">
      <c r="A167" s="23"/>
      <c r="K167" s="24"/>
    </row>
    <row r="168" spans="1:11" x14ac:dyDescent="0.3">
      <c r="A168" s="23"/>
      <c r="K168" s="24"/>
    </row>
    <row r="169" spans="1:11" x14ac:dyDescent="0.3">
      <c r="A169" s="23"/>
      <c r="K169" s="24"/>
    </row>
    <row r="170" spans="1:11" x14ac:dyDescent="0.3">
      <c r="A170" s="23"/>
      <c r="K170" s="24"/>
    </row>
    <row r="171" spans="1:11" x14ac:dyDescent="0.3">
      <c r="A171" s="23"/>
      <c r="K171" s="24"/>
    </row>
    <row r="172" spans="1:11" x14ac:dyDescent="0.3">
      <c r="A172" s="23"/>
      <c r="K172" s="24"/>
    </row>
    <row r="173" spans="1:11" x14ac:dyDescent="0.3">
      <c r="A173" s="23"/>
      <c r="K173" s="24"/>
    </row>
    <row r="174" spans="1:11" x14ac:dyDescent="0.3">
      <c r="A174" s="23"/>
      <c r="K174" s="24"/>
    </row>
    <row r="175" spans="1:11" x14ac:dyDescent="0.3">
      <c r="A175" s="23"/>
      <c r="K175" s="24"/>
    </row>
    <row r="176" spans="1:11" x14ac:dyDescent="0.3">
      <c r="A176" s="23"/>
      <c r="K176" s="24"/>
    </row>
    <row r="177" spans="1:11" x14ac:dyDescent="0.3">
      <c r="A177" s="23"/>
      <c r="K177" s="24"/>
    </row>
    <row r="178" spans="1:11" x14ac:dyDescent="0.3">
      <c r="A178" s="23"/>
      <c r="K178" s="24"/>
    </row>
    <row r="179" spans="1:11" x14ac:dyDescent="0.3">
      <c r="A179" s="23"/>
      <c r="K179" s="24"/>
    </row>
    <row r="180" spans="1:11" x14ac:dyDescent="0.3">
      <c r="A180" s="23"/>
      <c r="K180" s="24"/>
    </row>
    <row r="181" spans="1:11" x14ac:dyDescent="0.3">
      <c r="A181" s="23"/>
      <c r="K181" s="24"/>
    </row>
    <row r="182" spans="1:11" x14ac:dyDescent="0.3">
      <c r="A182" s="23"/>
      <c r="K182" s="24"/>
    </row>
    <row r="183" spans="1:11" x14ac:dyDescent="0.3">
      <c r="A183" s="23"/>
      <c r="K183" s="24"/>
    </row>
    <row r="184" spans="1:11" x14ac:dyDescent="0.3">
      <c r="A184" s="23"/>
      <c r="K184" s="24"/>
    </row>
    <row r="185" spans="1:11" x14ac:dyDescent="0.3">
      <c r="A185" s="23"/>
      <c r="K185" s="24"/>
    </row>
    <row r="186" spans="1:11" x14ac:dyDescent="0.3">
      <c r="A186" s="23"/>
      <c r="K186" s="24"/>
    </row>
    <row r="187" spans="1:11" x14ac:dyDescent="0.3">
      <c r="A187" s="23"/>
      <c r="K187" s="24"/>
    </row>
    <row r="188" spans="1:11" x14ac:dyDescent="0.3">
      <c r="A188" s="23"/>
      <c r="K188" s="24"/>
    </row>
    <row r="189" spans="1:11" x14ac:dyDescent="0.3">
      <c r="A189" s="23"/>
      <c r="K189" s="24"/>
    </row>
    <row r="190" spans="1:11" x14ac:dyDescent="0.3">
      <c r="A190" s="23"/>
      <c r="K190" s="24"/>
    </row>
    <row r="191" spans="1:11" x14ac:dyDescent="0.3">
      <c r="A191" s="23"/>
      <c r="K191" s="24"/>
    </row>
    <row r="192" spans="1:11" x14ac:dyDescent="0.3">
      <c r="A192" s="23"/>
      <c r="K192" s="24"/>
    </row>
    <row r="193" spans="1:11" x14ac:dyDescent="0.3">
      <c r="A193" s="23"/>
      <c r="K193" s="24"/>
    </row>
    <row r="194" spans="1:11" x14ac:dyDescent="0.3">
      <c r="A194" s="23"/>
      <c r="K194" s="24"/>
    </row>
    <row r="195" spans="1:11" x14ac:dyDescent="0.3">
      <c r="A195" s="23"/>
      <c r="K195" s="24"/>
    </row>
    <row r="196" spans="1:11" x14ac:dyDescent="0.3">
      <c r="A196" s="23"/>
      <c r="K196" s="24"/>
    </row>
    <row r="197" spans="1:11" x14ac:dyDescent="0.3">
      <c r="A197" s="23"/>
      <c r="K197" s="24"/>
    </row>
    <row r="198" spans="1:11" x14ac:dyDescent="0.3">
      <c r="A198" s="23"/>
      <c r="K198" s="24"/>
    </row>
    <row r="199" spans="1:11" x14ac:dyDescent="0.3">
      <c r="A199" s="23"/>
      <c r="K199" s="24"/>
    </row>
    <row r="200" spans="1:11" x14ac:dyDescent="0.3">
      <c r="A200" s="23"/>
      <c r="K200" s="24"/>
    </row>
    <row r="201" spans="1:11" x14ac:dyDescent="0.3">
      <c r="A201" s="23"/>
      <c r="K201" s="24"/>
    </row>
    <row r="202" spans="1:11" x14ac:dyDescent="0.3">
      <c r="A202" s="23"/>
      <c r="K202" s="24"/>
    </row>
    <row r="203" spans="1:11" x14ac:dyDescent="0.3">
      <c r="A203" s="23"/>
      <c r="K203" s="24"/>
    </row>
    <row r="204" spans="1:11" x14ac:dyDescent="0.3">
      <c r="A204" s="23"/>
      <c r="K204" s="24"/>
    </row>
    <row r="205" spans="1:11" x14ac:dyDescent="0.3">
      <c r="A205" s="23"/>
      <c r="K205" s="24"/>
    </row>
    <row r="206" spans="1:11" x14ac:dyDescent="0.3">
      <c r="A206" s="23"/>
      <c r="K206" s="24"/>
    </row>
    <row r="207" spans="1:11" x14ac:dyDescent="0.3">
      <c r="A207" s="23"/>
      <c r="K207" s="24"/>
    </row>
    <row r="208" spans="1:11" x14ac:dyDescent="0.3">
      <c r="A208" s="23"/>
      <c r="K208" s="24"/>
    </row>
    <row r="209" spans="1:11" x14ac:dyDescent="0.3">
      <c r="A209" s="23"/>
      <c r="K209" s="24"/>
    </row>
    <row r="210" spans="1:11" x14ac:dyDescent="0.3">
      <c r="A210" s="23"/>
      <c r="K210" s="24"/>
    </row>
    <row r="211" spans="1:11" x14ac:dyDescent="0.3">
      <c r="A211" s="23"/>
      <c r="K211" s="24"/>
    </row>
    <row r="212" spans="1:11" x14ac:dyDescent="0.3">
      <c r="A212" s="23"/>
      <c r="K212" s="24"/>
    </row>
    <row r="213" spans="1:11" x14ac:dyDescent="0.3">
      <c r="A213" s="23"/>
      <c r="K213" s="24"/>
    </row>
    <row r="214" spans="1:11" x14ac:dyDescent="0.3">
      <c r="A214" s="23"/>
      <c r="K214" s="24"/>
    </row>
    <row r="215" spans="1:11" x14ac:dyDescent="0.3">
      <c r="A215" s="23"/>
      <c r="K215" s="24"/>
    </row>
    <row r="216" spans="1:11" x14ac:dyDescent="0.3">
      <c r="A216" s="23"/>
      <c r="K216" s="24"/>
    </row>
    <row r="217" spans="1:11" x14ac:dyDescent="0.3">
      <c r="A217" s="23"/>
      <c r="K217" s="24"/>
    </row>
    <row r="218" spans="1:11" x14ac:dyDescent="0.3">
      <c r="A218" s="23"/>
      <c r="K218" s="24"/>
    </row>
    <row r="219" spans="1:11" x14ac:dyDescent="0.3">
      <c r="A219" s="23"/>
      <c r="K219" s="24"/>
    </row>
    <row r="220" spans="1:11" x14ac:dyDescent="0.3">
      <c r="A220" s="23"/>
      <c r="K220" s="24"/>
    </row>
    <row r="221" spans="1:11" x14ac:dyDescent="0.3">
      <c r="A221" s="23"/>
      <c r="K221" s="24"/>
    </row>
    <row r="222" spans="1:11" x14ac:dyDescent="0.3">
      <c r="A222" s="23"/>
      <c r="K222" s="24"/>
    </row>
    <row r="223" spans="1:11" x14ac:dyDescent="0.3">
      <c r="A223" s="23"/>
      <c r="K223" s="24"/>
    </row>
    <row r="224" spans="1:11" x14ac:dyDescent="0.3">
      <c r="A224" s="23"/>
      <c r="K224" s="24"/>
    </row>
    <row r="225" spans="1:11" x14ac:dyDescent="0.3">
      <c r="A225" s="23"/>
      <c r="K225" s="24"/>
    </row>
    <row r="226" spans="1:11" x14ac:dyDescent="0.3">
      <c r="A226" s="23"/>
      <c r="K226" s="24"/>
    </row>
    <row r="227" spans="1:11" x14ac:dyDescent="0.3">
      <c r="A227" s="23"/>
      <c r="K227" s="24"/>
    </row>
    <row r="228" spans="1:11" x14ac:dyDescent="0.3">
      <c r="A228" s="23"/>
      <c r="K228" s="24"/>
    </row>
    <row r="229" spans="1:11" x14ac:dyDescent="0.3">
      <c r="A229" s="23"/>
      <c r="K229" s="24"/>
    </row>
    <row r="230" spans="1:11" x14ac:dyDescent="0.3">
      <c r="A230" s="23"/>
      <c r="K230" s="24"/>
    </row>
    <row r="231" spans="1:11" x14ac:dyDescent="0.3">
      <c r="A231" s="23"/>
      <c r="K231" s="24"/>
    </row>
    <row r="232" spans="1:11" x14ac:dyDescent="0.3">
      <c r="A232" s="23"/>
      <c r="K232" s="24"/>
    </row>
    <row r="233" spans="1:11" x14ac:dyDescent="0.3">
      <c r="A233" s="23"/>
      <c r="K233" s="24"/>
    </row>
    <row r="234" spans="1:11" x14ac:dyDescent="0.3">
      <c r="A234" s="23"/>
      <c r="K234" s="24"/>
    </row>
    <row r="235" spans="1:11" x14ac:dyDescent="0.3">
      <c r="A235" s="23"/>
      <c r="K235" s="24"/>
    </row>
    <row r="236" spans="1:11" x14ac:dyDescent="0.3">
      <c r="A236" s="23"/>
      <c r="K236" s="24"/>
    </row>
    <row r="237" spans="1:11" x14ac:dyDescent="0.3">
      <c r="A237" s="23"/>
      <c r="K237" s="24"/>
    </row>
    <row r="238" spans="1:11" x14ac:dyDescent="0.3">
      <c r="A238" s="23"/>
      <c r="K238" s="24"/>
    </row>
    <row r="239" spans="1:11" x14ac:dyDescent="0.3">
      <c r="A239" s="23"/>
      <c r="K239" s="24"/>
    </row>
    <row r="240" spans="1:11" x14ac:dyDescent="0.3">
      <c r="A240" s="23"/>
      <c r="K240" s="24"/>
    </row>
    <row r="241" spans="1:11" x14ac:dyDescent="0.3">
      <c r="A241" s="23"/>
      <c r="K241" s="24"/>
    </row>
    <row r="242" spans="1:11" x14ac:dyDescent="0.3">
      <c r="A242" s="23"/>
      <c r="K242" s="24"/>
    </row>
    <row r="243" spans="1:11" x14ac:dyDescent="0.3">
      <c r="A243" s="23"/>
      <c r="K243" s="24"/>
    </row>
    <row r="244" spans="1:11" x14ac:dyDescent="0.3">
      <c r="A244" s="23"/>
      <c r="K244" s="24"/>
    </row>
    <row r="245" spans="1:11" x14ac:dyDescent="0.3">
      <c r="A245" s="23"/>
      <c r="K245" s="24"/>
    </row>
    <row r="246" spans="1:11" x14ac:dyDescent="0.3">
      <c r="A246" s="23"/>
      <c r="K246" s="24"/>
    </row>
    <row r="247" spans="1:11" x14ac:dyDescent="0.3">
      <c r="A247" s="23"/>
      <c r="K247" s="24"/>
    </row>
    <row r="248" spans="1:11" x14ac:dyDescent="0.3">
      <c r="A248" s="23"/>
      <c r="K248" s="24"/>
    </row>
    <row r="249" spans="1:11" x14ac:dyDescent="0.3">
      <c r="A249" s="23"/>
      <c r="K249" s="24"/>
    </row>
    <row r="250" spans="1:11" x14ac:dyDescent="0.3">
      <c r="A250" s="23"/>
      <c r="K250" s="24"/>
    </row>
    <row r="251" spans="1:11" x14ac:dyDescent="0.3">
      <c r="A251" s="23"/>
      <c r="K251" s="24"/>
    </row>
    <row r="252" spans="1:11" x14ac:dyDescent="0.3">
      <c r="A252" s="23"/>
      <c r="K252" s="24"/>
    </row>
    <row r="253" spans="1:11" x14ac:dyDescent="0.3">
      <c r="A253" s="23"/>
      <c r="K253" s="24"/>
    </row>
    <row r="254" spans="1:11" x14ac:dyDescent="0.3">
      <c r="A254" s="23"/>
      <c r="K254" s="24"/>
    </row>
    <row r="255" spans="1:11" x14ac:dyDescent="0.3">
      <c r="A255" s="23"/>
      <c r="K255" s="24"/>
    </row>
    <row r="256" spans="1:11" x14ac:dyDescent="0.3">
      <c r="A256" s="23"/>
      <c r="K256" s="24"/>
    </row>
    <row r="257" spans="1:11" x14ac:dyDescent="0.3">
      <c r="A257" s="23"/>
      <c r="K257" s="24"/>
    </row>
    <row r="258" spans="1:11" x14ac:dyDescent="0.3">
      <c r="A258" s="23"/>
      <c r="K258" s="24"/>
    </row>
    <row r="259" spans="1:11" x14ac:dyDescent="0.3">
      <c r="A259" s="23"/>
      <c r="K259" s="24"/>
    </row>
    <row r="260" spans="1:11" x14ac:dyDescent="0.3">
      <c r="A260" s="23"/>
      <c r="K260" s="24"/>
    </row>
    <row r="261" spans="1:11" x14ac:dyDescent="0.3">
      <c r="A261" s="23"/>
      <c r="K261" s="24"/>
    </row>
    <row r="262" spans="1:11" x14ac:dyDescent="0.3">
      <c r="A262" s="23"/>
      <c r="K262" s="24"/>
    </row>
    <row r="263" spans="1:11" x14ac:dyDescent="0.3">
      <c r="A263" s="23"/>
      <c r="K263" s="24"/>
    </row>
    <row r="264" spans="1:11" x14ac:dyDescent="0.3">
      <c r="A264" s="23"/>
      <c r="K264" s="24"/>
    </row>
    <row r="265" spans="1:11" x14ac:dyDescent="0.3">
      <c r="A265" s="23"/>
      <c r="K265" s="24"/>
    </row>
    <row r="266" spans="1:11" x14ac:dyDescent="0.3">
      <c r="A266" s="23"/>
      <c r="K266" s="24"/>
    </row>
    <row r="267" spans="1:11" x14ac:dyDescent="0.3">
      <c r="A267" s="23"/>
      <c r="K267" s="24"/>
    </row>
    <row r="268" spans="1:11" x14ac:dyDescent="0.3">
      <c r="A268" s="23"/>
      <c r="K268" s="24"/>
    </row>
    <row r="269" spans="1:11" x14ac:dyDescent="0.3">
      <c r="A269" s="23"/>
      <c r="K269" s="24"/>
    </row>
    <row r="270" spans="1:11" x14ac:dyDescent="0.3">
      <c r="A270" s="23"/>
      <c r="K270" s="24"/>
    </row>
    <row r="271" spans="1:11" x14ac:dyDescent="0.3">
      <c r="A271" s="23"/>
      <c r="K271" s="24"/>
    </row>
    <row r="272" spans="1:11" x14ac:dyDescent="0.3">
      <c r="A272" s="23"/>
      <c r="K272" s="24"/>
    </row>
    <row r="273" spans="1:11" x14ac:dyDescent="0.3">
      <c r="A273" s="23"/>
      <c r="K273" s="24"/>
    </row>
    <row r="274" spans="1:11" x14ac:dyDescent="0.3">
      <c r="A274" s="23"/>
      <c r="K274" s="24"/>
    </row>
    <row r="275" spans="1:11" x14ac:dyDescent="0.3">
      <c r="A275" s="23"/>
      <c r="K275" s="24"/>
    </row>
    <row r="276" spans="1:11" x14ac:dyDescent="0.3">
      <c r="A276" s="23"/>
      <c r="K276" s="24"/>
    </row>
    <row r="277" spans="1:11" x14ac:dyDescent="0.3">
      <c r="A277" s="23"/>
      <c r="K277" s="24"/>
    </row>
    <row r="278" spans="1:11" x14ac:dyDescent="0.3">
      <c r="A278" s="23"/>
      <c r="K278" s="24"/>
    </row>
    <row r="279" spans="1:11" x14ac:dyDescent="0.3">
      <c r="A279" s="23"/>
      <c r="K279" s="24"/>
    </row>
    <row r="280" spans="1:11" x14ac:dyDescent="0.3">
      <c r="A280" s="23"/>
      <c r="K280" s="24"/>
    </row>
    <row r="281" spans="1:11" x14ac:dyDescent="0.3">
      <c r="A281" s="23"/>
      <c r="K281" s="24"/>
    </row>
    <row r="282" spans="1:11" x14ac:dyDescent="0.3">
      <c r="A282" s="23"/>
      <c r="K282" s="24"/>
    </row>
    <row r="283" spans="1:11" x14ac:dyDescent="0.3">
      <c r="A283" s="23"/>
      <c r="K283" s="24"/>
    </row>
    <row r="284" spans="1:11" x14ac:dyDescent="0.3">
      <c r="A284" s="23"/>
      <c r="K284" s="24"/>
    </row>
    <row r="285" spans="1:11" x14ac:dyDescent="0.3">
      <c r="A285" s="23"/>
      <c r="K285" s="24"/>
    </row>
    <row r="286" spans="1:11" x14ac:dyDescent="0.3">
      <c r="A286" s="23"/>
      <c r="K286" s="24"/>
    </row>
    <row r="287" spans="1:11" x14ac:dyDescent="0.3">
      <c r="A287" s="23"/>
      <c r="K287" s="24"/>
    </row>
    <row r="288" spans="1:11" x14ac:dyDescent="0.3">
      <c r="A288" s="23"/>
      <c r="K288" s="24"/>
    </row>
    <row r="289" spans="1:11" x14ac:dyDescent="0.3">
      <c r="A289" s="23"/>
      <c r="K289" s="24"/>
    </row>
    <row r="290" spans="1:11" x14ac:dyDescent="0.3">
      <c r="A290" s="23"/>
      <c r="K290" s="24"/>
    </row>
    <row r="291" spans="1:11" x14ac:dyDescent="0.3">
      <c r="A291" s="23"/>
      <c r="K291" s="24"/>
    </row>
    <row r="292" spans="1:11" x14ac:dyDescent="0.3">
      <c r="A292" s="23"/>
      <c r="K292" s="24"/>
    </row>
    <row r="293" spans="1:11" x14ac:dyDescent="0.3">
      <c r="A293" s="23"/>
      <c r="K293" s="24"/>
    </row>
    <row r="294" spans="1:11" x14ac:dyDescent="0.3">
      <c r="A294" s="23"/>
      <c r="K294" s="24"/>
    </row>
    <row r="295" spans="1:11" x14ac:dyDescent="0.3">
      <c r="A295" s="23"/>
      <c r="K295" s="24"/>
    </row>
    <row r="296" spans="1:11" x14ac:dyDescent="0.3">
      <c r="A296" s="23"/>
      <c r="K296" s="24"/>
    </row>
    <row r="297" spans="1:11" x14ac:dyDescent="0.3">
      <c r="A297" s="23"/>
      <c r="K297" s="24"/>
    </row>
    <row r="298" spans="1:11" x14ac:dyDescent="0.3">
      <c r="A298" s="23"/>
      <c r="K298" s="24"/>
    </row>
    <row r="299" spans="1:11" x14ac:dyDescent="0.3">
      <c r="A299" s="23"/>
      <c r="K299" s="24"/>
    </row>
    <row r="300" spans="1:11" x14ac:dyDescent="0.3">
      <c r="A300" s="23"/>
      <c r="K300" s="24"/>
    </row>
    <row r="301" spans="1:11" x14ac:dyDescent="0.3">
      <c r="A301" s="23"/>
      <c r="K301" s="24"/>
    </row>
    <row r="302" spans="1:11" x14ac:dyDescent="0.3">
      <c r="A302" s="23"/>
      <c r="K302" s="24"/>
    </row>
    <row r="303" spans="1:11" x14ac:dyDescent="0.3">
      <c r="A303" s="23"/>
      <c r="K303" s="24"/>
    </row>
    <row r="304" spans="1:11" x14ac:dyDescent="0.3">
      <c r="A304" s="23"/>
      <c r="K304" s="24"/>
    </row>
    <row r="305" spans="1:11" x14ac:dyDescent="0.3">
      <c r="A305" s="23"/>
      <c r="K305" s="24"/>
    </row>
    <row r="306" spans="1:11" x14ac:dyDescent="0.3">
      <c r="A306" s="23"/>
      <c r="K306" s="24"/>
    </row>
    <row r="307" spans="1:11" x14ac:dyDescent="0.3">
      <c r="A307" s="23"/>
      <c r="K307" s="24"/>
    </row>
    <row r="308" spans="1:11" x14ac:dyDescent="0.3">
      <c r="A308" s="23"/>
      <c r="K308" s="24"/>
    </row>
    <row r="309" spans="1:11" x14ac:dyDescent="0.3">
      <c r="A309" s="23"/>
      <c r="K309" s="24"/>
    </row>
    <row r="310" spans="1:11" x14ac:dyDescent="0.3">
      <c r="A310" s="23"/>
      <c r="K310" s="24"/>
    </row>
    <row r="311" spans="1:11" x14ac:dyDescent="0.3">
      <c r="A311" s="23"/>
      <c r="K311" s="24"/>
    </row>
    <row r="312" spans="1:11" x14ac:dyDescent="0.3">
      <c r="A312" s="23"/>
      <c r="K312" s="24"/>
    </row>
    <row r="313" spans="1:11" x14ac:dyDescent="0.3">
      <c r="A313" s="23"/>
      <c r="K313" s="24"/>
    </row>
    <row r="314" spans="1:11" x14ac:dyDescent="0.3">
      <c r="A314" s="23"/>
      <c r="K314" s="24"/>
    </row>
    <row r="315" spans="1:11" x14ac:dyDescent="0.3">
      <c r="A315" s="23"/>
      <c r="K315" s="24"/>
    </row>
    <row r="316" spans="1:11" x14ac:dyDescent="0.3">
      <c r="A316" s="23"/>
      <c r="K316" s="24"/>
    </row>
    <row r="317" spans="1:11" x14ac:dyDescent="0.3">
      <c r="A317" s="23"/>
      <c r="K317" s="24"/>
    </row>
    <row r="318" spans="1:11" x14ac:dyDescent="0.3">
      <c r="A318" s="23"/>
      <c r="K318" s="24"/>
    </row>
    <row r="319" spans="1:11" x14ac:dyDescent="0.3">
      <c r="A319" s="23"/>
      <c r="K319" s="24"/>
    </row>
    <row r="320" spans="1:11" x14ac:dyDescent="0.3">
      <c r="A320" s="23"/>
      <c r="K320" s="24"/>
    </row>
    <row r="321" spans="1:11" x14ac:dyDescent="0.3">
      <c r="A321" s="23"/>
      <c r="K321" s="24"/>
    </row>
    <row r="322" spans="1:11" x14ac:dyDescent="0.3">
      <c r="A322" s="23"/>
      <c r="K322" s="24"/>
    </row>
    <row r="323" spans="1:11" x14ac:dyDescent="0.3">
      <c r="A323" s="23"/>
      <c r="K323" s="24"/>
    </row>
    <row r="324" spans="1:11" x14ac:dyDescent="0.3">
      <c r="A324" s="23"/>
      <c r="K324" s="24"/>
    </row>
    <row r="325" spans="1:11" x14ac:dyDescent="0.3">
      <c r="A325" s="23"/>
      <c r="K325" s="24"/>
    </row>
    <row r="326" spans="1:11" x14ac:dyDescent="0.3">
      <c r="A326" s="23"/>
      <c r="K326" s="24"/>
    </row>
    <row r="327" spans="1:11" x14ac:dyDescent="0.3">
      <c r="A327" s="23"/>
      <c r="K327" s="24"/>
    </row>
    <row r="328" spans="1:11" x14ac:dyDescent="0.3">
      <c r="A328" s="23"/>
      <c r="K328" s="24"/>
    </row>
    <row r="329" spans="1:11" x14ac:dyDescent="0.3">
      <c r="A329" s="23"/>
      <c r="K329" s="24"/>
    </row>
    <row r="330" spans="1:11" x14ac:dyDescent="0.3">
      <c r="A330" s="23"/>
      <c r="K330" s="24"/>
    </row>
    <row r="331" spans="1:11" x14ac:dyDescent="0.3">
      <c r="A331" s="23"/>
      <c r="K331" s="24"/>
    </row>
    <row r="332" spans="1:11" x14ac:dyDescent="0.3">
      <c r="A332" s="23"/>
      <c r="K332" s="24"/>
    </row>
    <row r="333" spans="1:11" x14ac:dyDescent="0.3">
      <c r="A333" s="23"/>
      <c r="K333" s="24"/>
    </row>
    <row r="334" spans="1:11" x14ac:dyDescent="0.3">
      <c r="A334" s="23"/>
      <c r="K334" s="24"/>
    </row>
    <row r="335" spans="1:11" x14ac:dyDescent="0.3">
      <c r="A335" s="23"/>
      <c r="K335" s="24"/>
    </row>
    <row r="336" spans="1:11" x14ac:dyDescent="0.3">
      <c r="A336" s="23"/>
      <c r="K336" s="24"/>
    </row>
    <row r="337" spans="1:11" x14ac:dyDescent="0.3">
      <c r="A337" s="23"/>
      <c r="K337" s="24"/>
    </row>
    <row r="338" spans="1:11" x14ac:dyDescent="0.3">
      <c r="A338" s="23"/>
      <c r="K338" s="24"/>
    </row>
    <row r="339" spans="1:11" x14ac:dyDescent="0.3">
      <c r="A339" s="23"/>
      <c r="K339" s="24"/>
    </row>
    <row r="340" spans="1:11" x14ac:dyDescent="0.3">
      <c r="A340" s="23"/>
      <c r="K340" s="24"/>
    </row>
    <row r="341" spans="1:11" x14ac:dyDescent="0.3">
      <c r="A341" s="23"/>
      <c r="K341" s="24"/>
    </row>
    <row r="342" spans="1:11" x14ac:dyDescent="0.3">
      <c r="A342" s="23"/>
      <c r="K342" s="24"/>
    </row>
    <row r="343" spans="1:11" x14ac:dyDescent="0.3">
      <c r="A343" s="23"/>
      <c r="K343" s="24"/>
    </row>
    <row r="344" spans="1:11" x14ac:dyDescent="0.3">
      <c r="A344" s="23"/>
      <c r="K344" s="24"/>
    </row>
    <row r="345" spans="1:11" x14ac:dyDescent="0.3">
      <c r="A345" s="23"/>
      <c r="K345" s="24"/>
    </row>
    <row r="346" spans="1:11" x14ac:dyDescent="0.3">
      <c r="A346" s="23"/>
      <c r="K346" s="24"/>
    </row>
    <row r="347" spans="1:11" x14ac:dyDescent="0.3">
      <c r="A347" s="23"/>
      <c r="K347" s="24"/>
    </row>
    <row r="348" spans="1:11" x14ac:dyDescent="0.3">
      <c r="A348" s="23"/>
      <c r="K348" s="24"/>
    </row>
    <row r="349" spans="1:11" x14ac:dyDescent="0.3">
      <c r="A349" s="23"/>
      <c r="K349" s="24"/>
    </row>
    <row r="350" spans="1:11" x14ac:dyDescent="0.3">
      <c r="A350" s="23"/>
      <c r="K350" s="24"/>
    </row>
    <row r="351" spans="1:11" x14ac:dyDescent="0.3">
      <c r="A351" s="23"/>
      <c r="K351" s="24"/>
    </row>
    <row r="352" spans="1:11" x14ac:dyDescent="0.3">
      <c r="A352" s="23"/>
      <c r="K352" s="24"/>
    </row>
    <row r="353" spans="1:11" x14ac:dyDescent="0.3">
      <c r="A353" s="23"/>
      <c r="K353" s="24"/>
    </row>
    <row r="354" spans="1:11" x14ac:dyDescent="0.3">
      <c r="A354" s="23"/>
      <c r="K354" s="24"/>
    </row>
    <row r="355" spans="1:11" x14ac:dyDescent="0.3">
      <c r="A355" s="23"/>
      <c r="K355" s="24"/>
    </row>
    <row r="356" spans="1:11" x14ac:dyDescent="0.3">
      <c r="A356" s="23"/>
      <c r="K356" s="24"/>
    </row>
    <row r="357" spans="1:11" x14ac:dyDescent="0.3">
      <c r="A357" s="23"/>
      <c r="K357" s="24"/>
    </row>
    <row r="358" spans="1:11" x14ac:dyDescent="0.3">
      <c r="A358" s="23"/>
      <c r="K358" s="24"/>
    </row>
    <row r="359" spans="1:11" x14ac:dyDescent="0.3">
      <c r="A359" s="23"/>
      <c r="K359" s="24"/>
    </row>
    <row r="360" spans="1:11" x14ac:dyDescent="0.3">
      <c r="A360" s="23"/>
      <c r="K360" s="24"/>
    </row>
    <row r="361" spans="1:11" x14ac:dyDescent="0.3">
      <c r="A361" s="23"/>
      <c r="K361" s="24"/>
    </row>
    <row r="362" spans="1:11" x14ac:dyDescent="0.3">
      <c r="A362" s="23"/>
      <c r="K362" s="24"/>
    </row>
    <row r="363" spans="1:11" x14ac:dyDescent="0.3">
      <c r="A363" s="23"/>
      <c r="K363" s="24"/>
    </row>
    <row r="364" spans="1:11" x14ac:dyDescent="0.3">
      <c r="A364" s="23"/>
      <c r="K364" s="24"/>
    </row>
    <row r="365" spans="1:11" x14ac:dyDescent="0.3">
      <c r="A365" s="23"/>
      <c r="K365" s="24"/>
    </row>
    <row r="366" spans="1:11" x14ac:dyDescent="0.3">
      <c r="A366" s="23"/>
      <c r="K366" s="24"/>
    </row>
    <row r="367" spans="1:11" x14ac:dyDescent="0.3">
      <c r="A367" s="23"/>
      <c r="K367" s="24"/>
    </row>
    <row r="368" spans="1:11" x14ac:dyDescent="0.3">
      <c r="A368" s="23"/>
      <c r="K368" s="24"/>
    </row>
    <row r="369" spans="1:11" x14ac:dyDescent="0.3">
      <c r="A369" s="23"/>
      <c r="K369" s="24"/>
    </row>
    <row r="370" spans="1:11" x14ac:dyDescent="0.3">
      <c r="A370" s="23"/>
      <c r="K370" s="24"/>
    </row>
    <row r="371" spans="1:11" x14ac:dyDescent="0.3">
      <c r="A371" s="23"/>
      <c r="K371" s="24"/>
    </row>
    <row r="372" spans="1:11" x14ac:dyDescent="0.3">
      <c r="A372" s="23"/>
      <c r="K372" s="24"/>
    </row>
    <row r="373" spans="1:11" x14ac:dyDescent="0.3">
      <c r="A373" s="23"/>
      <c r="K373" s="24"/>
    </row>
    <row r="374" spans="1:11" x14ac:dyDescent="0.3">
      <c r="A374" s="23"/>
      <c r="K374" s="24"/>
    </row>
    <row r="375" spans="1:11" x14ac:dyDescent="0.3">
      <c r="A375" s="23"/>
      <c r="K375" s="24"/>
    </row>
    <row r="376" spans="1:11" x14ac:dyDescent="0.3">
      <c r="A376" s="23"/>
      <c r="K376" s="24"/>
    </row>
    <row r="377" spans="1:11" x14ac:dyDescent="0.3">
      <c r="A377" s="23"/>
      <c r="K377" s="24"/>
    </row>
    <row r="378" spans="1:11" x14ac:dyDescent="0.3">
      <c r="A378" s="23"/>
      <c r="K378" s="24"/>
    </row>
    <row r="379" spans="1:11" x14ac:dyDescent="0.3">
      <c r="A379" s="23"/>
      <c r="K379" s="24"/>
    </row>
    <row r="380" spans="1:11" x14ac:dyDescent="0.3">
      <c r="A380" s="23"/>
      <c r="K380" s="24"/>
    </row>
    <row r="381" spans="1:11" x14ac:dyDescent="0.3">
      <c r="A381" s="23"/>
      <c r="K381" s="24"/>
    </row>
    <row r="382" spans="1:11" x14ac:dyDescent="0.3">
      <c r="A382" s="23"/>
      <c r="K382" s="24"/>
    </row>
    <row r="383" spans="1:11" x14ac:dyDescent="0.3">
      <c r="A383" s="23"/>
      <c r="K383" s="24"/>
    </row>
    <row r="384" spans="1:11" x14ac:dyDescent="0.3">
      <c r="A384" s="23"/>
      <c r="K384" s="24"/>
    </row>
    <row r="385" spans="1:11" x14ac:dyDescent="0.3">
      <c r="A385" s="23"/>
      <c r="K385" s="24"/>
    </row>
    <row r="386" spans="1:11" x14ac:dyDescent="0.3">
      <c r="A386" s="23"/>
      <c r="K386" s="24"/>
    </row>
    <row r="387" spans="1:11" x14ac:dyDescent="0.3">
      <c r="A387" s="23"/>
      <c r="K387" s="24"/>
    </row>
    <row r="388" spans="1:11" x14ac:dyDescent="0.3">
      <c r="A388" s="23"/>
      <c r="K388" s="24"/>
    </row>
    <row r="389" spans="1:11" x14ac:dyDescent="0.3">
      <c r="A389" s="23"/>
      <c r="K389" s="24"/>
    </row>
    <row r="390" spans="1:11" x14ac:dyDescent="0.3">
      <c r="A390" s="23"/>
      <c r="K390" s="24"/>
    </row>
    <row r="391" spans="1:11" x14ac:dyDescent="0.3">
      <c r="A391" s="23"/>
      <c r="K391" s="24"/>
    </row>
    <row r="392" spans="1:11" x14ac:dyDescent="0.3">
      <c r="A392" s="23"/>
      <c r="K392" s="24"/>
    </row>
    <row r="393" spans="1:11" x14ac:dyDescent="0.3">
      <c r="A393" s="23"/>
      <c r="K393" s="24"/>
    </row>
    <row r="394" spans="1:11" x14ac:dyDescent="0.3">
      <c r="A394" s="23"/>
      <c r="K394" s="24"/>
    </row>
    <row r="395" spans="1:11" x14ac:dyDescent="0.3">
      <c r="A395" s="23"/>
      <c r="K395" s="24"/>
    </row>
    <row r="396" spans="1:11" x14ac:dyDescent="0.3">
      <c r="A396" s="23"/>
      <c r="K396" s="24"/>
    </row>
    <row r="397" spans="1:11" x14ac:dyDescent="0.3">
      <c r="A397" s="23"/>
      <c r="K397" s="24"/>
    </row>
    <row r="398" spans="1:11" x14ac:dyDescent="0.3">
      <c r="A398" s="23"/>
      <c r="K398" s="24"/>
    </row>
    <row r="399" spans="1:11" x14ac:dyDescent="0.3">
      <c r="A399" s="23"/>
      <c r="K399" s="24"/>
    </row>
    <row r="400" spans="1:11" x14ac:dyDescent="0.3">
      <c r="A400" s="23"/>
      <c r="K400" s="24"/>
    </row>
    <row r="401" spans="1:11" x14ac:dyDescent="0.3">
      <c r="A401" s="23"/>
      <c r="K401" s="24"/>
    </row>
    <row r="402" spans="1:11" x14ac:dyDescent="0.3">
      <c r="A402" s="23"/>
      <c r="K402" s="24"/>
    </row>
    <row r="403" spans="1:11" x14ac:dyDescent="0.3">
      <c r="A403" s="23"/>
      <c r="K403" s="24"/>
    </row>
    <row r="404" spans="1:11" x14ac:dyDescent="0.3">
      <c r="A404" s="23"/>
      <c r="K404" s="24"/>
    </row>
    <row r="405" spans="1:11" x14ac:dyDescent="0.3">
      <c r="A405" s="23"/>
      <c r="K405" s="24"/>
    </row>
    <row r="406" spans="1:11" x14ac:dyDescent="0.3">
      <c r="A406" s="23"/>
      <c r="K406" s="24"/>
    </row>
    <row r="407" spans="1:11" x14ac:dyDescent="0.3">
      <c r="A407" s="23"/>
      <c r="K407" s="24"/>
    </row>
    <row r="408" spans="1:11" x14ac:dyDescent="0.3">
      <c r="A408" s="23"/>
      <c r="K408" s="24"/>
    </row>
    <row r="409" spans="1:11" x14ac:dyDescent="0.3">
      <c r="A409" s="23"/>
      <c r="K409" s="24"/>
    </row>
    <row r="410" spans="1:11" x14ac:dyDescent="0.3">
      <c r="A410" s="23"/>
      <c r="K410" s="24"/>
    </row>
    <row r="411" spans="1:11" x14ac:dyDescent="0.3">
      <c r="A411" s="23"/>
      <c r="K411" s="24"/>
    </row>
    <row r="412" spans="1:11" x14ac:dyDescent="0.3">
      <c r="A412" s="23"/>
      <c r="K412" s="24"/>
    </row>
    <row r="413" spans="1:11" x14ac:dyDescent="0.3">
      <c r="A413" s="23"/>
      <c r="K413" s="24"/>
    </row>
    <row r="414" spans="1:11" x14ac:dyDescent="0.3">
      <c r="A414" s="23"/>
      <c r="K414" s="24"/>
    </row>
    <row r="415" spans="1:11" x14ac:dyDescent="0.3">
      <c r="A415" s="23"/>
      <c r="K415" s="24"/>
    </row>
    <row r="416" spans="1:11" x14ac:dyDescent="0.3">
      <c r="A416" s="23"/>
      <c r="K416" s="24"/>
    </row>
    <row r="417" spans="1:11" x14ac:dyDescent="0.3">
      <c r="A417" s="23"/>
      <c r="K417" s="24"/>
    </row>
    <row r="418" spans="1:11" x14ac:dyDescent="0.3">
      <c r="A418" s="23"/>
      <c r="K418" s="24"/>
    </row>
    <row r="419" spans="1:11" x14ac:dyDescent="0.3">
      <c r="A419" s="23"/>
      <c r="K419" s="24"/>
    </row>
    <row r="420" spans="1:11" x14ac:dyDescent="0.3">
      <c r="A420" s="23"/>
      <c r="K420" s="24"/>
    </row>
    <row r="421" spans="1:11" x14ac:dyDescent="0.3">
      <c r="A421" s="23"/>
      <c r="K421" s="24"/>
    </row>
    <row r="422" spans="1:11" x14ac:dyDescent="0.3">
      <c r="A422" s="23"/>
      <c r="K422" s="24"/>
    </row>
    <row r="423" spans="1:11" x14ac:dyDescent="0.3">
      <c r="A423" s="23"/>
      <c r="K423" s="24"/>
    </row>
    <row r="424" spans="1:11" x14ac:dyDescent="0.3">
      <c r="A424" s="23"/>
      <c r="K424" s="24"/>
    </row>
    <row r="425" spans="1:11" x14ac:dyDescent="0.3">
      <c r="A425" s="23"/>
      <c r="K425" s="24"/>
    </row>
    <row r="426" spans="1:11" x14ac:dyDescent="0.3">
      <c r="A426" s="23"/>
      <c r="K426" s="24"/>
    </row>
    <row r="427" spans="1:11" x14ac:dyDescent="0.3">
      <c r="A427" s="23"/>
      <c r="K427" s="24"/>
    </row>
    <row r="428" spans="1:11" x14ac:dyDescent="0.3">
      <c r="A428" s="23"/>
      <c r="K428" s="24"/>
    </row>
    <row r="429" spans="1:11" x14ac:dyDescent="0.3">
      <c r="A429" s="23"/>
      <c r="K429" s="24"/>
    </row>
    <row r="430" spans="1:11" x14ac:dyDescent="0.3">
      <c r="A430" s="23"/>
      <c r="K430" s="24"/>
    </row>
    <row r="431" spans="1:11" x14ac:dyDescent="0.3">
      <c r="A431" s="23"/>
      <c r="K431" s="24"/>
    </row>
    <row r="432" spans="1:11" x14ac:dyDescent="0.3">
      <c r="A432" s="23"/>
      <c r="K432" s="24"/>
    </row>
    <row r="433" spans="1:11" x14ac:dyDescent="0.3">
      <c r="A433" s="23"/>
      <c r="K433" s="24"/>
    </row>
    <row r="434" spans="1:11" x14ac:dyDescent="0.3">
      <c r="A434" s="23"/>
      <c r="K434" s="24"/>
    </row>
    <row r="435" spans="1:11" x14ac:dyDescent="0.3">
      <c r="A435" s="23"/>
      <c r="K435" s="24"/>
    </row>
    <row r="436" spans="1:11" x14ac:dyDescent="0.3">
      <c r="A436" s="23"/>
      <c r="K436" s="24"/>
    </row>
    <row r="437" spans="1:11" x14ac:dyDescent="0.3">
      <c r="A437" s="23"/>
      <c r="K437" s="24"/>
    </row>
    <row r="438" spans="1:11" x14ac:dyDescent="0.3">
      <c r="A438" s="23"/>
      <c r="K438" s="24"/>
    </row>
    <row r="439" spans="1:11" x14ac:dyDescent="0.3">
      <c r="A439" s="23"/>
      <c r="K439" s="24"/>
    </row>
    <row r="440" spans="1:11" x14ac:dyDescent="0.3">
      <c r="A440" s="23"/>
      <c r="K440" s="24"/>
    </row>
    <row r="441" spans="1:11" x14ac:dyDescent="0.3">
      <c r="A441" s="23"/>
      <c r="K441" s="24"/>
    </row>
    <row r="442" spans="1:11" x14ac:dyDescent="0.3">
      <c r="A442" s="23"/>
      <c r="K442" s="24"/>
    </row>
    <row r="443" spans="1:11" x14ac:dyDescent="0.3">
      <c r="A443" s="23"/>
      <c r="K443" s="24"/>
    </row>
    <row r="444" spans="1:11" x14ac:dyDescent="0.3">
      <c r="A444" s="23"/>
      <c r="K444" s="24"/>
    </row>
    <row r="445" spans="1:11" x14ac:dyDescent="0.3">
      <c r="A445" s="23"/>
      <c r="K445" s="24"/>
    </row>
    <row r="446" spans="1:11" x14ac:dyDescent="0.3">
      <c r="A446" s="23"/>
      <c r="K446" s="24"/>
    </row>
    <row r="447" spans="1:11" x14ac:dyDescent="0.3">
      <c r="A447" s="23"/>
      <c r="K447" s="24"/>
    </row>
    <row r="448" spans="1:11" x14ac:dyDescent="0.3">
      <c r="A448" s="23"/>
      <c r="K448" s="24"/>
    </row>
    <row r="449" spans="1:11" x14ac:dyDescent="0.3">
      <c r="A449" s="23"/>
      <c r="K449" s="24"/>
    </row>
    <row r="450" spans="1:11" x14ac:dyDescent="0.3">
      <c r="A450" s="23"/>
      <c r="K450" s="24"/>
    </row>
    <row r="451" spans="1:11" x14ac:dyDescent="0.3">
      <c r="A451" s="23"/>
      <c r="K451" s="24"/>
    </row>
    <row r="452" spans="1:11" x14ac:dyDescent="0.3">
      <c r="A452" s="23"/>
      <c r="K452" s="24"/>
    </row>
    <row r="453" spans="1:11" x14ac:dyDescent="0.3">
      <c r="A453" s="23"/>
      <c r="K453" s="24"/>
    </row>
    <row r="454" spans="1:11" x14ac:dyDescent="0.3">
      <c r="A454" s="23"/>
      <c r="K454" s="24"/>
    </row>
    <row r="455" spans="1:11" x14ac:dyDescent="0.3">
      <c r="A455" s="23"/>
      <c r="K455" s="24"/>
    </row>
    <row r="456" spans="1:11" x14ac:dyDescent="0.3">
      <c r="A456" s="23"/>
      <c r="K456" s="24"/>
    </row>
    <row r="457" spans="1:11" x14ac:dyDescent="0.3">
      <c r="A457" s="23"/>
      <c r="K457" s="24"/>
    </row>
    <row r="458" spans="1:11" x14ac:dyDescent="0.3">
      <c r="A458" s="23"/>
      <c r="K458" s="24"/>
    </row>
    <row r="459" spans="1:11" x14ac:dyDescent="0.3">
      <c r="A459" s="23"/>
      <c r="K459" s="24"/>
    </row>
    <row r="460" spans="1:11" x14ac:dyDescent="0.3">
      <c r="A460" s="23"/>
      <c r="K460" s="24"/>
    </row>
    <row r="461" spans="1:11" x14ac:dyDescent="0.3">
      <c r="A461" s="23"/>
      <c r="K461" s="24"/>
    </row>
    <row r="462" spans="1:11" x14ac:dyDescent="0.3">
      <c r="A462" s="23"/>
      <c r="K462" s="24"/>
    </row>
    <row r="463" spans="1:11" x14ac:dyDescent="0.3">
      <c r="A463" s="23"/>
      <c r="K463" s="24"/>
    </row>
    <row r="464" spans="1:11" x14ac:dyDescent="0.3">
      <c r="A464" s="23"/>
      <c r="K464" s="24"/>
    </row>
    <row r="465" spans="1:11" x14ac:dyDescent="0.3">
      <c r="A465" s="23"/>
      <c r="K465" s="24"/>
    </row>
    <row r="466" spans="1:11" x14ac:dyDescent="0.3">
      <c r="A466" s="23"/>
      <c r="K466" s="24"/>
    </row>
    <row r="467" spans="1:11" x14ac:dyDescent="0.3">
      <c r="A467" s="23"/>
      <c r="K467" s="24"/>
    </row>
    <row r="468" spans="1:11" x14ac:dyDescent="0.3">
      <c r="A468" s="23"/>
      <c r="K468" s="24"/>
    </row>
    <row r="469" spans="1:11" x14ac:dyDescent="0.3">
      <c r="A469" s="23"/>
      <c r="K469" s="24"/>
    </row>
    <row r="470" spans="1:11" x14ac:dyDescent="0.3">
      <c r="A470" s="23"/>
      <c r="K470" s="24"/>
    </row>
    <row r="471" spans="1:11" x14ac:dyDescent="0.3">
      <c r="A471" s="23"/>
      <c r="K471" s="24"/>
    </row>
    <row r="472" spans="1:11" x14ac:dyDescent="0.3">
      <c r="A472" s="23"/>
      <c r="K472" s="24"/>
    </row>
    <row r="473" spans="1:11" x14ac:dyDescent="0.3">
      <c r="A473" s="23"/>
      <c r="K473" s="24"/>
    </row>
    <row r="474" spans="1:11" x14ac:dyDescent="0.3">
      <c r="A474" s="23"/>
      <c r="K474" s="24"/>
    </row>
    <row r="475" spans="1:11" x14ac:dyDescent="0.3">
      <c r="A475" s="23"/>
      <c r="K475" s="24"/>
    </row>
    <row r="476" spans="1:11" x14ac:dyDescent="0.3">
      <c r="A476" s="23"/>
      <c r="K476" s="24"/>
    </row>
    <row r="477" spans="1:11" x14ac:dyDescent="0.3">
      <c r="A477" s="23"/>
      <c r="K477" s="24"/>
    </row>
    <row r="478" spans="1:11" x14ac:dyDescent="0.3">
      <c r="A478" s="23"/>
      <c r="K478" s="24"/>
    </row>
    <row r="479" spans="1:11" x14ac:dyDescent="0.3">
      <c r="A479" s="23"/>
      <c r="K479" s="24"/>
    </row>
    <row r="480" spans="1:11" x14ac:dyDescent="0.3">
      <c r="A480" s="23"/>
      <c r="K480" s="24"/>
    </row>
    <row r="481" spans="1:11" x14ac:dyDescent="0.3">
      <c r="A481" s="23"/>
      <c r="K481" s="24"/>
    </row>
    <row r="482" spans="1:11" x14ac:dyDescent="0.3">
      <c r="A482" s="23"/>
      <c r="K482" s="24"/>
    </row>
    <row r="483" spans="1:11" x14ac:dyDescent="0.3">
      <c r="A483" s="23"/>
      <c r="K483" s="24"/>
    </row>
    <row r="484" spans="1:11" x14ac:dyDescent="0.3">
      <c r="A484" s="23"/>
      <c r="K484" s="24"/>
    </row>
    <row r="485" spans="1:11" x14ac:dyDescent="0.3">
      <c r="A485" s="23"/>
      <c r="K485" s="24"/>
    </row>
    <row r="486" spans="1:11" x14ac:dyDescent="0.3">
      <c r="A486" s="23"/>
      <c r="K486" s="24"/>
    </row>
    <row r="487" spans="1:11" x14ac:dyDescent="0.3">
      <c r="A487" s="23"/>
      <c r="K487" s="24"/>
    </row>
    <row r="488" spans="1:11" x14ac:dyDescent="0.3">
      <c r="A488" s="23"/>
      <c r="K488" s="24"/>
    </row>
    <row r="489" spans="1:11" x14ac:dyDescent="0.3">
      <c r="A489" s="23"/>
      <c r="K489" s="24"/>
    </row>
    <row r="490" spans="1:11" x14ac:dyDescent="0.3">
      <c r="A490" s="23"/>
      <c r="K490" s="24"/>
    </row>
    <row r="491" spans="1:11" x14ac:dyDescent="0.3">
      <c r="A491" s="23"/>
      <c r="K491" s="24"/>
    </row>
    <row r="492" spans="1:11" x14ac:dyDescent="0.3">
      <c r="A492" s="23"/>
      <c r="K492" s="24"/>
    </row>
    <row r="493" spans="1:11" x14ac:dyDescent="0.3">
      <c r="A493" s="23"/>
      <c r="K493" s="24"/>
    </row>
    <row r="494" spans="1:11" x14ac:dyDescent="0.3">
      <c r="A494" s="23"/>
      <c r="K494" s="24"/>
    </row>
    <row r="495" spans="1:11" x14ac:dyDescent="0.3">
      <c r="A495" s="23"/>
      <c r="K495" s="24"/>
    </row>
    <row r="496" spans="1:11" x14ac:dyDescent="0.3">
      <c r="A496" s="23"/>
      <c r="K496" s="24"/>
    </row>
    <row r="497" spans="1:11" x14ac:dyDescent="0.3">
      <c r="A497" s="23"/>
      <c r="K497" s="24"/>
    </row>
    <row r="498" spans="1:11" x14ac:dyDescent="0.3">
      <c r="A498" s="23"/>
      <c r="K498" s="24"/>
    </row>
    <row r="499" spans="1:11" x14ac:dyDescent="0.3">
      <c r="A499" s="23"/>
      <c r="K499" s="24"/>
    </row>
    <row r="500" spans="1:11" x14ac:dyDescent="0.3">
      <c r="A500" s="23"/>
      <c r="K500" s="24"/>
    </row>
    <row r="501" spans="1:11" x14ac:dyDescent="0.3">
      <c r="A501" s="23"/>
      <c r="K501" s="24"/>
    </row>
    <row r="502" spans="1:11" x14ac:dyDescent="0.3">
      <c r="A502" s="23"/>
      <c r="K502" s="24"/>
    </row>
    <row r="503" spans="1:11" x14ac:dyDescent="0.3">
      <c r="A503" s="23"/>
      <c r="K503" s="24"/>
    </row>
    <row r="504" spans="1:11" x14ac:dyDescent="0.3">
      <c r="A504" s="23"/>
      <c r="K504" s="24"/>
    </row>
    <row r="505" spans="1:11" x14ac:dyDescent="0.3">
      <c r="A505" s="23"/>
      <c r="K505" s="24"/>
    </row>
    <row r="506" spans="1:11" x14ac:dyDescent="0.3">
      <c r="A506" s="23"/>
      <c r="K506" s="24"/>
    </row>
    <row r="507" spans="1:11" x14ac:dyDescent="0.3">
      <c r="A507" s="23"/>
      <c r="K507" s="24"/>
    </row>
    <row r="508" spans="1:11" x14ac:dyDescent="0.3">
      <c r="A508" s="23"/>
      <c r="K508" s="24"/>
    </row>
    <row r="509" spans="1:11" x14ac:dyDescent="0.3">
      <c r="A509" s="23"/>
      <c r="K509" s="24"/>
    </row>
    <row r="510" spans="1:11" x14ac:dyDescent="0.3">
      <c r="A510" s="23"/>
      <c r="K510" s="24"/>
    </row>
    <row r="511" spans="1:11" x14ac:dyDescent="0.3">
      <c r="A511" s="23"/>
      <c r="K511" s="24"/>
    </row>
    <row r="512" spans="1:11" x14ac:dyDescent="0.3">
      <c r="A512" s="23"/>
      <c r="K512" s="24"/>
    </row>
    <row r="513" spans="1:11" x14ac:dyDescent="0.3">
      <c r="A513" s="23"/>
      <c r="K513" s="24"/>
    </row>
    <row r="514" spans="1:11" x14ac:dyDescent="0.3">
      <c r="A514" s="23"/>
      <c r="K514" s="24"/>
    </row>
    <row r="515" spans="1:11" x14ac:dyDescent="0.3">
      <c r="A515" s="23"/>
      <c r="K515" s="24"/>
    </row>
    <row r="516" spans="1:11" x14ac:dyDescent="0.3">
      <c r="A516" s="23"/>
      <c r="K516" s="24"/>
    </row>
    <row r="517" spans="1:11" x14ac:dyDescent="0.3">
      <c r="A517" s="23"/>
      <c r="K517" s="24"/>
    </row>
    <row r="518" spans="1:11" x14ac:dyDescent="0.3">
      <c r="A518" s="23"/>
      <c r="K518" s="24"/>
    </row>
    <row r="519" spans="1:11" x14ac:dyDescent="0.3">
      <c r="A519" s="23"/>
      <c r="K519" s="24"/>
    </row>
    <row r="520" spans="1:11" x14ac:dyDescent="0.3">
      <c r="A520" s="23"/>
      <c r="K520" s="24"/>
    </row>
    <row r="521" spans="1:11" x14ac:dyDescent="0.3">
      <c r="A521" s="23"/>
      <c r="K521" s="24"/>
    </row>
    <row r="522" spans="1:11" x14ac:dyDescent="0.3">
      <c r="A522" s="23"/>
      <c r="K522" s="24"/>
    </row>
    <row r="523" spans="1:11" x14ac:dyDescent="0.3">
      <c r="A523" s="23"/>
      <c r="K523" s="24"/>
    </row>
    <row r="524" spans="1:11" x14ac:dyDescent="0.3">
      <c r="A524" s="23"/>
      <c r="K524" s="24"/>
    </row>
    <row r="525" spans="1:11" x14ac:dyDescent="0.3">
      <c r="A525" s="23"/>
      <c r="K525" s="24"/>
    </row>
    <row r="526" spans="1:11" x14ac:dyDescent="0.3">
      <c r="A526" s="23"/>
      <c r="K526" s="24"/>
    </row>
    <row r="527" spans="1:11" x14ac:dyDescent="0.3">
      <c r="A527" s="23"/>
      <c r="K527" s="24"/>
    </row>
    <row r="528" spans="1:11" x14ac:dyDescent="0.3">
      <c r="A528" s="23"/>
      <c r="K528" s="24"/>
    </row>
    <row r="529" spans="1:11" x14ac:dyDescent="0.3">
      <c r="A529" s="23"/>
      <c r="K529" s="24"/>
    </row>
    <row r="530" spans="1:11" x14ac:dyDescent="0.3">
      <c r="A530" s="23"/>
      <c r="K530" s="24"/>
    </row>
    <row r="531" spans="1:11" x14ac:dyDescent="0.3">
      <c r="A531" s="23"/>
      <c r="K531" s="24"/>
    </row>
    <row r="532" spans="1:11" x14ac:dyDescent="0.3">
      <c r="A532" s="23"/>
      <c r="K532" s="24"/>
    </row>
    <row r="533" spans="1:11" x14ac:dyDescent="0.3">
      <c r="A533" s="23"/>
      <c r="K533" s="24"/>
    </row>
    <row r="534" spans="1:11" x14ac:dyDescent="0.3">
      <c r="A534" s="23"/>
      <c r="K534" s="24"/>
    </row>
    <row r="535" spans="1:11" x14ac:dyDescent="0.3">
      <c r="A535" s="23"/>
      <c r="K535" s="24"/>
    </row>
    <row r="536" spans="1:11" x14ac:dyDescent="0.3">
      <c r="A536" s="23"/>
      <c r="K536" s="24"/>
    </row>
    <row r="537" spans="1:11" x14ac:dyDescent="0.3">
      <c r="A537" s="23"/>
      <c r="K537" s="24"/>
    </row>
    <row r="538" spans="1:11" x14ac:dyDescent="0.3">
      <c r="A538" s="23"/>
      <c r="K538" s="24"/>
    </row>
    <row r="539" spans="1:11" x14ac:dyDescent="0.3">
      <c r="A539" s="23"/>
      <c r="K539" s="24"/>
    </row>
    <row r="540" spans="1:11" x14ac:dyDescent="0.3">
      <c r="A540" s="23"/>
      <c r="K540" s="24"/>
    </row>
    <row r="541" spans="1:11" x14ac:dyDescent="0.3">
      <c r="A541" s="23"/>
      <c r="K541" s="24"/>
    </row>
    <row r="542" spans="1:11" x14ac:dyDescent="0.3">
      <c r="A542" s="23"/>
      <c r="K542" s="24"/>
    </row>
    <row r="543" spans="1:11" x14ac:dyDescent="0.3">
      <c r="A543" s="23"/>
      <c r="K543" s="24"/>
    </row>
    <row r="544" spans="1:11" x14ac:dyDescent="0.3">
      <c r="A544" s="23"/>
      <c r="K544" s="24"/>
    </row>
    <row r="545" spans="1:11" x14ac:dyDescent="0.3">
      <c r="A545" s="23"/>
      <c r="K545" s="24"/>
    </row>
    <row r="546" spans="1:11" x14ac:dyDescent="0.3">
      <c r="A546" s="23"/>
      <c r="K546" s="24"/>
    </row>
    <row r="547" spans="1:11" x14ac:dyDescent="0.3">
      <c r="A547" s="23"/>
      <c r="K547" s="24"/>
    </row>
    <row r="548" spans="1:11" x14ac:dyDescent="0.3">
      <c r="A548" s="23"/>
      <c r="K548" s="24"/>
    </row>
    <row r="549" spans="1:11" x14ac:dyDescent="0.3">
      <c r="A549" s="23"/>
      <c r="K549" s="24"/>
    </row>
    <row r="550" spans="1:11" x14ac:dyDescent="0.3">
      <c r="A550" s="23"/>
      <c r="K550" s="24"/>
    </row>
    <row r="551" spans="1:11" x14ac:dyDescent="0.3">
      <c r="A551" s="23"/>
      <c r="K551" s="24"/>
    </row>
    <row r="552" spans="1:11" x14ac:dyDescent="0.3">
      <c r="A552" s="23"/>
      <c r="K552" s="24"/>
    </row>
    <row r="553" spans="1:11" x14ac:dyDescent="0.3">
      <c r="A553" s="23"/>
      <c r="K553" s="24"/>
    </row>
    <row r="554" spans="1:11" x14ac:dyDescent="0.3">
      <c r="A554" s="23"/>
      <c r="K554" s="24"/>
    </row>
    <row r="555" spans="1:11" x14ac:dyDescent="0.3">
      <c r="A555" s="23"/>
      <c r="K555" s="24"/>
    </row>
    <row r="556" spans="1:11" x14ac:dyDescent="0.3">
      <c r="A556" s="23"/>
      <c r="K556" s="24"/>
    </row>
    <row r="557" spans="1:11" x14ac:dyDescent="0.3">
      <c r="A557" s="23"/>
      <c r="K557" s="24"/>
    </row>
    <row r="558" spans="1:11" x14ac:dyDescent="0.3">
      <c r="A558" s="23"/>
      <c r="K558" s="24"/>
    </row>
    <row r="559" spans="1:11" x14ac:dyDescent="0.3">
      <c r="A559" s="23"/>
      <c r="K559" s="24"/>
    </row>
    <row r="560" spans="1:11" x14ac:dyDescent="0.3">
      <c r="A560" s="23"/>
      <c r="K560" s="24"/>
    </row>
    <row r="561" spans="1:11" x14ac:dyDescent="0.3">
      <c r="A561" s="23"/>
      <c r="K561" s="24"/>
    </row>
    <row r="562" spans="1:11" x14ac:dyDescent="0.3">
      <c r="A562" s="23"/>
      <c r="K562" s="24"/>
    </row>
    <row r="563" spans="1:11" x14ac:dyDescent="0.3">
      <c r="A563" s="23"/>
      <c r="K563" s="24"/>
    </row>
    <row r="564" spans="1:11" x14ac:dyDescent="0.3">
      <c r="A564" s="23"/>
      <c r="K564" s="24"/>
    </row>
    <row r="565" spans="1:11" x14ac:dyDescent="0.3">
      <c r="A565" s="23"/>
      <c r="K565" s="24"/>
    </row>
    <row r="566" spans="1:11" x14ac:dyDescent="0.3">
      <c r="A566" s="23"/>
      <c r="K566" s="24"/>
    </row>
    <row r="567" spans="1:11" x14ac:dyDescent="0.3">
      <c r="A567" s="23"/>
      <c r="K567" s="24"/>
    </row>
    <row r="568" spans="1:11" x14ac:dyDescent="0.3">
      <c r="A568" s="23"/>
      <c r="K568" s="24"/>
    </row>
    <row r="569" spans="1:11" x14ac:dyDescent="0.3">
      <c r="A569" s="23"/>
      <c r="K569" s="24"/>
    </row>
    <row r="570" spans="1:11" x14ac:dyDescent="0.3">
      <c r="A570" s="23"/>
      <c r="K570" s="24"/>
    </row>
    <row r="571" spans="1:11" x14ac:dyDescent="0.3">
      <c r="A571" s="23"/>
      <c r="K571" s="24"/>
    </row>
    <row r="572" spans="1:11" x14ac:dyDescent="0.3">
      <c r="A572" s="23"/>
      <c r="K572" s="24"/>
    </row>
    <row r="573" spans="1:11" x14ac:dyDescent="0.3">
      <c r="A573" s="23"/>
      <c r="K573" s="24"/>
    </row>
    <row r="574" spans="1:11" x14ac:dyDescent="0.3">
      <c r="A574" s="23"/>
      <c r="K574" s="24"/>
    </row>
    <row r="575" spans="1:11" x14ac:dyDescent="0.3">
      <c r="A575" s="23"/>
      <c r="K575" s="24"/>
    </row>
    <row r="576" spans="1:11" x14ac:dyDescent="0.3">
      <c r="A576" s="23"/>
      <c r="K576" s="24"/>
    </row>
    <row r="577" spans="1:11" x14ac:dyDescent="0.3">
      <c r="A577" s="23"/>
      <c r="K577" s="24"/>
    </row>
    <row r="578" spans="1:11" x14ac:dyDescent="0.3">
      <c r="A578" s="23"/>
      <c r="K578" s="24"/>
    </row>
    <row r="579" spans="1:11" x14ac:dyDescent="0.3">
      <c r="A579" s="23"/>
      <c r="K579" s="24"/>
    </row>
    <row r="580" spans="1:11" x14ac:dyDescent="0.3">
      <c r="A580" s="23"/>
      <c r="K580" s="24"/>
    </row>
    <row r="581" spans="1:11" x14ac:dyDescent="0.3">
      <c r="A581" s="23"/>
      <c r="K581" s="24"/>
    </row>
    <row r="582" spans="1:11" x14ac:dyDescent="0.3">
      <c r="A582" s="23"/>
      <c r="K582" s="24"/>
    </row>
    <row r="583" spans="1:11" x14ac:dyDescent="0.3">
      <c r="A583" s="23"/>
      <c r="K583" s="24"/>
    </row>
    <row r="584" spans="1:11" x14ac:dyDescent="0.3">
      <c r="A584" s="23"/>
      <c r="K584" s="24"/>
    </row>
    <row r="585" spans="1:11" x14ac:dyDescent="0.3">
      <c r="A585" s="23"/>
      <c r="K585" s="24"/>
    </row>
    <row r="586" spans="1:11" x14ac:dyDescent="0.3">
      <c r="A586" s="23"/>
      <c r="K586" s="24"/>
    </row>
    <row r="587" spans="1:11" x14ac:dyDescent="0.3">
      <c r="A587" s="23"/>
      <c r="K587" s="24"/>
    </row>
    <row r="588" spans="1:11" x14ac:dyDescent="0.3">
      <c r="A588" s="23"/>
      <c r="K588" s="24"/>
    </row>
    <row r="589" spans="1:11" x14ac:dyDescent="0.3">
      <c r="A589" s="23"/>
      <c r="K589" s="24"/>
    </row>
    <row r="590" spans="1:11" x14ac:dyDescent="0.3">
      <c r="A590" s="23"/>
      <c r="K590" s="24"/>
    </row>
    <row r="591" spans="1:11" x14ac:dyDescent="0.3">
      <c r="A591" s="23"/>
      <c r="K591" s="24"/>
    </row>
    <row r="592" spans="1:11" x14ac:dyDescent="0.3">
      <c r="A592" s="23"/>
      <c r="K592" s="24"/>
    </row>
    <row r="593" spans="1:11" x14ac:dyDescent="0.3">
      <c r="A593" s="23"/>
      <c r="K593" s="24"/>
    </row>
    <row r="594" spans="1:11" x14ac:dyDescent="0.3">
      <c r="A594" s="23"/>
      <c r="K594" s="24"/>
    </row>
    <row r="595" spans="1:11" x14ac:dyDescent="0.3">
      <c r="A595" s="23"/>
      <c r="K595" s="24"/>
    </row>
    <row r="596" spans="1:11" x14ac:dyDescent="0.3">
      <c r="A596" s="23"/>
      <c r="K596" s="24"/>
    </row>
    <row r="597" spans="1:11" x14ac:dyDescent="0.3">
      <c r="A597" s="23"/>
      <c r="K597" s="24"/>
    </row>
    <row r="598" spans="1:11" x14ac:dyDescent="0.3">
      <c r="A598" s="23"/>
      <c r="K598" s="24"/>
    </row>
    <row r="599" spans="1:11" x14ac:dyDescent="0.3">
      <c r="A599" s="23"/>
      <c r="K599" s="24"/>
    </row>
    <row r="600" spans="1:11" x14ac:dyDescent="0.3">
      <c r="A600" s="23"/>
      <c r="K600" s="24"/>
    </row>
    <row r="601" spans="1:11" x14ac:dyDescent="0.3">
      <c r="A601" s="23"/>
      <c r="K601" s="24"/>
    </row>
    <row r="602" spans="1:11" x14ac:dyDescent="0.3">
      <c r="A602" s="23"/>
      <c r="K602" s="24"/>
    </row>
    <row r="603" spans="1:11" x14ac:dyDescent="0.3">
      <c r="A603" s="23"/>
      <c r="K603" s="24"/>
    </row>
    <row r="604" spans="1:11" x14ac:dyDescent="0.3">
      <c r="A604" s="23"/>
      <c r="K604" s="24"/>
    </row>
    <row r="605" spans="1:11" x14ac:dyDescent="0.3">
      <c r="A605" s="23"/>
      <c r="K605" s="24"/>
    </row>
    <row r="606" spans="1:11" x14ac:dyDescent="0.3">
      <c r="A606" s="23"/>
      <c r="K606" s="24"/>
    </row>
    <row r="607" spans="1:11" x14ac:dyDescent="0.3">
      <c r="A607" s="23"/>
      <c r="K607" s="24"/>
    </row>
    <row r="608" spans="1:11" x14ac:dyDescent="0.3">
      <c r="A608" s="23"/>
      <c r="K608" s="24"/>
    </row>
    <row r="609" spans="1:11" x14ac:dyDescent="0.3">
      <c r="A609" s="23"/>
      <c r="K609" s="24"/>
    </row>
    <row r="610" spans="1:11" x14ac:dyDescent="0.3">
      <c r="A610" s="23"/>
      <c r="K610" s="24"/>
    </row>
    <row r="611" spans="1:11" x14ac:dyDescent="0.3">
      <c r="A611" s="23"/>
      <c r="K611" s="24"/>
    </row>
    <row r="612" spans="1:11" x14ac:dyDescent="0.3">
      <c r="A612" s="23"/>
      <c r="K612" s="24"/>
    </row>
    <row r="613" spans="1:11" x14ac:dyDescent="0.3">
      <c r="A613" s="23"/>
      <c r="K613" s="24"/>
    </row>
    <row r="614" spans="1:11" x14ac:dyDescent="0.3">
      <c r="A614" s="23"/>
      <c r="K614" s="24"/>
    </row>
    <row r="615" spans="1:11" x14ac:dyDescent="0.3">
      <c r="A615" s="23"/>
      <c r="K615" s="24"/>
    </row>
    <row r="616" spans="1:11" x14ac:dyDescent="0.3">
      <c r="A616" s="23"/>
      <c r="K616" s="24"/>
    </row>
    <row r="617" spans="1:11" x14ac:dyDescent="0.3">
      <c r="A617" s="23"/>
      <c r="K617" s="24"/>
    </row>
    <row r="618" spans="1:11" x14ac:dyDescent="0.3">
      <c r="A618" s="23"/>
      <c r="K618" s="24"/>
    </row>
    <row r="619" spans="1:11" x14ac:dyDescent="0.3">
      <c r="A619" s="23"/>
      <c r="K619" s="24"/>
    </row>
    <row r="620" spans="1:11" x14ac:dyDescent="0.3">
      <c r="A620" s="23"/>
      <c r="K620" s="24"/>
    </row>
    <row r="621" spans="1:11" x14ac:dyDescent="0.3">
      <c r="A621" s="23"/>
      <c r="K621" s="24"/>
    </row>
    <row r="622" spans="1:11" x14ac:dyDescent="0.3">
      <c r="A622" s="23"/>
      <c r="K622" s="24"/>
    </row>
    <row r="623" spans="1:11" x14ac:dyDescent="0.3">
      <c r="A623" s="23"/>
      <c r="K623" s="24"/>
    </row>
    <row r="624" spans="1:11" x14ac:dyDescent="0.3">
      <c r="A624" s="23"/>
      <c r="K624" s="24"/>
    </row>
    <row r="625" spans="1:11" x14ac:dyDescent="0.3">
      <c r="A625" s="23"/>
      <c r="K625" s="24"/>
    </row>
    <row r="626" spans="1:11" x14ac:dyDescent="0.3">
      <c r="A626" s="23"/>
      <c r="K626" s="24"/>
    </row>
    <row r="627" spans="1:11" x14ac:dyDescent="0.3">
      <c r="A627" s="23"/>
      <c r="K627" s="24"/>
    </row>
    <row r="628" spans="1:11" x14ac:dyDescent="0.3">
      <c r="A628" s="23"/>
      <c r="K628" s="24"/>
    </row>
    <row r="629" spans="1:11" x14ac:dyDescent="0.3">
      <c r="A629" s="23"/>
      <c r="K629" s="24"/>
    </row>
    <row r="630" spans="1:11" x14ac:dyDescent="0.3">
      <c r="A630" s="23"/>
      <c r="K630" s="24"/>
    </row>
    <row r="631" spans="1:11" x14ac:dyDescent="0.3">
      <c r="A631" s="23"/>
      <c r="K631" s="24"/>
    </row>
    <row r="632" spans="1:11" x14ac:dyDescent="0.3">
      <c r="A632" s="23"/>
      <c r="K632" s="24"/>
    </row>
    <row r="633" spans="1:11" x14ac:dyDescent="0.3">
      <c r="A633" s="23"/>
      <c r="K633" s="24"/>
    </row>
    <row r="634" spans="1:11" x14ac:dyDescent="0.3">
      <c r="A634" s="23"/>
      <c r="K634" s="24"/>
    </row>
    <row r="635" spans="1:11" x14ac:dyDescent="0.3">
      <c r="A635" s="23"/>
      <c r="K635" s="24"/>
    </row>
    <row r="636" spans="1:11" x14ac:dyDescent="0.3">
      <c r="A636" s="23"/>
      <c r="K636" s="24"/>
    </row>
    <row r="637" spans="1:11" x14ac:dyDescent="0.3">
      <c r="A637" s="23"/>
      <c r="K637" s="24"/>
    </row>
    <row r="638" spans="1:11" x14ac:dyDescent="0.3">
      <c r="A638" s="23"/>
      <c r="K638" s="24"/>
    </row>
    <row r="639" spans="1:11" x14ac:dyDescent="0.3">
      <c r="A639" s="23"/>
      <c r="K639" s="24"/>
    </row>
    <row r="640" spans="1:11" x14ac:dyDescent="0.3">
      <c r="A640" s="23"/>
      <c r="K640" s="24"/>
    </row>
    <row r="641" spans="1:11" x14ac:dyDescent="0.3">
      <c r="A641" s="23"/>
      <c r="K641" s="24"/>
    </row>
    <row r="642" spans="1:11" x14ac:dyDescent="0.3">
      <c r="A642" s="23"/>
      <c r="K642" s="24"/>
    </row>
    <row r="643" spans="1:11" x14ac:dyDescent="0.3">
      <c r="A643" s="23"/>
      <c r="K643" s="24"/>
    </row>
    <row r="644" spans="1:11" x14ac:dyDescent="0.3">
      <c r="A644" s="23"/>
      <c r="K644" s="24"/>
    </row>
    <row r="645" spans="1:11" x14ac:dyDescent="0.3">
      <c r="A645" s="23"/>
      <c r="K645" s="24"/>
    </row>
    <row r="646" spans="1:11" x14ac:dyDescent="0.3">
      <c r="A646" s="23"/>
      <c r="K646" s="24"/>
    </row>
    <row r="647" spans="1:11" x14ac:dyDescent="0.3">
      <c r="A647" s="23"/>
      <c r="K647" s="24"/>
    </row>
    <row r="648" spans="1:11" x14ac:dyDescent="0.3">
      <c r="A648" s="23"/>
      <c r="K648" s="24"/>
    </row>
    <row r="649" spans="1:11" x14ac:dyDescent="0.3">
      <c r="A649" s="23"/>
      <c r="K649" s="24"/>
    </row>
    <row r="650" spans="1:11" x14ac:dyDescent="0.3">
      <c r="A650" s="23"/>
      <c r="K650" s="24"/>
    </row>
    <row r="651" spans="1:11" x14ac:dyDescent="0.3">
      <c r="A651" s="23"/>
      <c r="K651" s="24"/>
    </row>
    <row r="652" spans="1:11" x14ac:dyDescent="0.3">
      <c r="A652" s="23"/>
      <c r="K652" s="24"/>
    </row>
    <row r="653" spans="1:11" x14ac:dyDescent="0.3">
      <c r="A653" s="23"/>
      <c r="K653" s="24"/>
    </row>
    <row r="654" spans="1:11" x14ac:dyDescent="0.3">
      <c r="A654" s="23"/>
      <c r="K654" s="24"/>
    </row>
    <row r="655" spans="1:11" x14ac:dyDescent="0.3">
      <c r="A655" s="23"/>
      <c r="K655" s="24"/>
    </row>
    <row r="656" spans="1:11" x14ac:dyDescent="0.3">
      <c r="A656" s="23"/>
      <c r="K656" s="24"/>
    </row>
    <row r="657" spans="1:11" x14ac:dyDescent="0.3">
      <c r="A657" s="23"/>
      <c r="K657" s="24"/>
    </row>
    <row r="658" spans="1:11" x14ac:dyDescent="0.3">
      <c r="A658" s="23"/>
      <c r="K658" s="24"/>
    </row>
    <row r="659" spans="1:11" x14ac:dyDescent="0.3">
      <c r="A659" s="23"/>
      <c r="K659" s="24"/>
    </row>
    <row r="660" spans="1:11" x14ac:dyDescent="0.3">
      <c r="A660" s="23"/>
      <c r="K660" s="24"/>
    </row>
    <row r="661" spans="1:11" x14ac:dyDescent="0.3">
      <c r="A661" s="23"/>
      <c r="K661" s="24"/>
    </row>
    <row r="662" spans="1:11" x14ac:dyDescent="0.3">
      <c r="A662" s="23"/>
      <c r="K662" s="24"/>
    </row>
    <row r="663" spans="1:11" x14ac:dyDescent="0.3">
      <c r="A663" s="23"/>
      <c r="K663" s="24"/>
    </row>
    <row r="664" spans="1:11" x14ac:dyDescent="0.3">
      <c r="A664" s="23"/>
      <c r="K664" s="24"/>
    </row>
    <row r="665" spans="1:11" x14ac:dyDescent="0.3">
      <c r="A665" s="23"/>
      <c r="K665" s="24"/>
    </row>
    <row r="666" spans="1:11" x14ac:dyDescent="0.3">
      <c r="A666" s="23"/>
      <c r="K666" s="24"/>
    </row>
    <row r="667" spans="1:11" x14ac:dyDescent="0.3">
      <c r="A667" s="23"/>
      <c r="K667" s="24"/>
    </row>
    <row r="668" spans="1:11" x14ac:dyDescent="0.3">
      <c r="A668" s="23"/>
      <c r="K668" s="24"/>
    </row>
    <row r="669" spans="1:11" x14ac:dyDescent="0.3">
      <c r="A669" s="23"/>
      <c r="K669" s="24"/>
    </row>
    <row r="670" spans="1:11" x14ac:dyDescent="0.3">
      <c r="A670" s="23"/>
      <c r="K670" s="24"/>
    </row>
    <row r="671" spans="1:11" x14ac:dyDescent="0.3">
      <c r="A671" s="23"/>
      <c r="K671" s="24"/>
    </row>
    <row r="672" spans="1:11" x14ac:dyDescent="0.3">
      <c r="A672" s="23"/>
      <c r="K672" s="24"/>
    </row>
    <row r="673" spans="1:11" x14ac:dyDescent="0.3">
      <c r="A673" s="23"/>
      <c r="K673" s="24"/>
    </row>
    <row r="674" spans="1:11" x14ac:dyDescent="0.3">
      <c r="A674" s="23"/>
      <c r="K674" s="24"/>
    </row>
    <row r="675" spans="1:11" x14ac:dyDescent="0.3">
      <c r="A675" s="23"/>
      <c r="K675" s="24"/>
    </row>
    <row r="676" spans="1:11" x14ac:dyDescent="0.3">
      <c r="A676" s="23"/>
      <c r="K676" s="24"/>
    </row>
    <row r="677" spans="1:11" x14ac:dyDescent="0.3">
      <c r="A677" s="23"/>
      <c r="K677" s="24"/>
    </row>
    <row r="678" spans="1:11" x14ac:dyDescent="0.3">
      <c r="A678" s="23"/>
      <c r="K678" s="24"/>
    </row>
    <row r="679" spans="1:11" x14ac:dyDescent="0.3">
      <c r="A679" s="23"/>
      <c r="K679" s="24"/>
    </row>
    <row r="680" spans="1:11" x14ac:dyDescent="0.3">
      <c r="A680" s="23"/>
      <c r="K680" s="24"/>
    </row>
    <row r="681" spans="1:11" x14ac:dyDescent="0.3">
      <c r="A681" s="23"/>
      <c r="K681" s="24"/>
    </row>
    <row r="682" spans="1:11" x14ac:dyDescent="0.3">
      <c r="A682" s="23"/>
      <c r="K682" s="24"/>
    </row>
    <row r="683" spans="1:11" x14ac:dyDescent="0.3">
      <c r="A683" s="23"/>
      <c r="K683" s="24"/>
    </row>
    <row r="684" spans="1:11" x14ac:dyDescent="0.3">
      <c r="A684" s="23"/>
      <c r="K684" s="24"/>
    </row>
    <row r="685" spans="1:11" x14ac:dyDescent="0.3">
      <c r="A685" s="23"/>
      <c r="K685" s="24"/>
    </row>
    <row r="686" spans="1:11" x14ac:dyDescent="0.3">
      <c r="A686" s="23"/>
      <c r="K686" s="24"/>
    </row>
    <row r="687" spans="1:11" x14ac:dyDescent="0.3">
      <c r="A687" s="23"/>
      <c r="K687" s="24"/>
    </row>
    <row r="688" spans="1:11" x14ac:dyDescent="0.3">
      <c r="A688" s="23"/>
      <c r="K688" s="24"/>
    </row>
    <row r="689" spans="1:11" x14ac:dyDescent="0.3">
      <c r="A689" s="23"/>
      <c r="K689" s="24"/>
    </row>
    <row r="690" spans="1:11" x14ac:dyDescent="0.3">
      <c r="A690" s="23"/>
      <c r="K690" s="24"/>
    </row>
    <row r="691" spans="1:11" x14ac:dyDescent="0.3">
      <c r="A691" s="23"/>
      <c r="K691" s="24"/>
    </row>
    <row r="692" spans="1:11" x14ac:dyDescent="0.3">
      <c r="A692" s="23"/>
      <c r="K692" s="24"/>
    </row>
    <row r="693" spans="1:11" x14ac:dyDescent="0.3">
      <c r="A693" s="23"/>
      <c r="K693" s="24"/>
    </row>
    <row r="694" spans="1:11" x14ac:dyDescent="0.3">
      <c r="A694" s="23"/>
      <c r="K694" s="24"/>
    </row>
    <row r="695" spans="1:11" x14ac:dyDescent="0.3">
      <c r="A695" s="23"/>
      <c r="K695" s="24"/>
    </row>
    <row r="696" spans="1:11" x14ac:dyDescent="0.3">
      <c r="A696" s="23"/>
      <c r="K696" s="24"/>
    </row>
    <row r="697" spans="1:11" x14ac:dyDescent="0.3">
      <c r="A697" s="23"/>
      <c r="K697" s="24"/>
    </row>
    <row r="698" spans="1:11" x14ac:dyDescent="0.3">
      <c r="A698" s="23"/>
      <c r="K698" s="24"/>
    </row>
    <row r="699" spans="1:11" x14ac:dyDescent="0.3">
      <c r="A699" s="23"/>
      <c r="K699" s="24"/>
    </row>
    <row r="700" spans="1:11" x14ac:dyDescent="0.3">
      <c r="A700" s="23"/>
      <c r="K700" s="24"/>
    </row>
    <row r="701" spans="1:11" x14ac:dyDescent="0.3">
      <c r="A701" s="23"/>
      <c r="K701" s="2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407B2-8DF9-407E-9F49-3334CFFD87EE}">
  <dimension ref="A1:I992"/>
  <sheetViews>
    <sheetView workbookViewId="0">
      <selection activeCell="D7" sqref="D7"/>
    </sheetView>
  </sheetViews>
  <sheetFormatPr baseColWidth="10" defaultRowHeight="14.4" x14ac:dyDescent="0.3"/>
  <cols>
    <col min="1" max="1" width="11.5546875" style="31"/>
    <col min="5" max="5" width="16" style="31" bestFit="1" customWidth="1"/>
    <col min="6" max="8" width="16.33203125" bestFit="1" customWidth="1"/>
    <col min="9" max="10" width="12.44140625" bestFit="1" customWidth="1"/>
    <col min="11" max="11" width="20.44140625" bestFit="1" customWidth="1"/>
    <col min="12" max="12" width="23.44140625" bestFit="1" customWidth="1"/>
    <col min="13" max="13" width="8.5546875" bestFit="1" customWidth="1"/>
    <col min="14" max="15" width="12.44140625" bestFit="1" customWidth="1"/>
    <col min="16" max="18" width="12.5546875" bestFit="1" customWidth="1"/>
  </cols>
  <sheetData>
    <row r="1" spans="1:9" ht="15.6" x14ac:dyDescent="0.3">
      <c r="A1" s="37" t="s">
        <v>54</v>
      </c>
      <c r="E1" s="37" t="s">
        <v>53</v>
      </c>
    </row>
    <row r="2" spans="1:9" x14ac:dyDescent="0.3">
      <c r="A2" s="32" t="s">
        <v>0</v>
      </c>
      <c r="B2" s="32" t="s">
        <v>17</v>
      </c>
      <c r="C2" s="32" t="s">
        <v>50</v>
      </c>
      <c r="E2" s="9" t="s">
        <v>18</v>
      </c>
      <c r="F2" s="9" t="s">
        <v>17</v>
      </c>
    </row>
    <row r="3" spans="1:9" x14ac:dyDescent="0.3">
      <c r="A3" s="31" cm="1">
        <f t="array" ref="A3:C992">_xlfn.LET(_xlpm.d,_xlfn._xlws.FILTER(DataTbl[Date],(DataTbl[Date]&gt;=Dashboard!C7)*(DataTbl[Date]&lt;=Dashboard!D7)),_xlpm.v,_xlfn._xlws.FILTER(DataTbl[[Views]:[Brand Awareness]],(DataTbl[Date]&gt;=Dashboard!C7)*(DataTbl[Date]&lt;=Dashboard!D7)),_xlpm.h,DataTbl[[#Headers],[Views]:[Brand Awareness]],_xlpm.n,ROWS(_xlpm.d),_xlpm.m,COLUMNS(_xlpm.v),_xlpm.dr,_xlfn.TOCOL(IF(_xlfn.SEQUENCE(_xlpm.n,_xlpm.m),_xlpm.d)),_xlpm.mr,_xlfn.TOCOL(IF(_xlfn.SEQUENCE(_xlpm.n,_xlpm.m),INDEX(_xlpm.h,_xlfn.SEQUENCE(1,_xlpm.m)))),_xlpm.vr,_xlfn.TOCOL(_xlpm.v),IFERROR(_xlfn.HSTACK(_xlpm.dr,_xlpm.mr,_xlpm.vr),""))</f>
        <v>46053</v>
      </c>
      <c r="B3" t="str">
        <v>Views</v>
      </c>
      <c r="C3">
        <v>1016</v>
      </c>
      <c r="E3" s="9" t="s">
        <v>0</v>
      </c>
      <c r="F3" t="s">
        <v>15</v>
      </c>
      <c r="G3" t="s">
        <v>10</v>
      </c>
      <c r="H3" t="s">
        <v>13</v>
      </c>
      <c r="I3" t="s">
        <v>49</v>
      </c>
    </row>
    <row r="4" spans="1:9" x14ac:dyDescent="0.3">
      <c r="A4" s="31">
        <v>46053</v>
      </c>
      <c r="B4" t="str">
        <v>Total Watch Time (s)</v>
      </c>
      <c r="C4">
        <v>25400</v>
      </c>
      <c r="E4" s="31">
        <v>46136</v>
      </c>
      <c r="F4">
        <v>50</v>
      </c>
      <c r="G4">
        <v>27</v>
      </c>
      <c r="H4">
        <v>4</v>
      </c>
      <c r="I4">
        <v>81</v>
      </c>
    </row>
    <row r="5" spans="1:9" x14ac:dyDescent="0.3">
      <c r="A5" s="31">
        <v>46053</v>
      </c>
      <c r="B5" t="str">
        <v>Likes</v>
      </c>
      <c r="C5">
        <v>44</v>
      </c>
      <c r="E5" s="31">
        <v>46137</v>
      </c>
      <c r="F5">
        <v>39</v>
      </c>
      <c r="G5">
        <v>28</v>
      </c>
      <c r="H5">
        <v>3</v>
      </c>
      <c r="I5">
        <v>70</v>
      </c>
    </row>
    <row r="6" spans="1:9" x14ac:dyDescent="0.3">
      <c r="A6" s="31">
        <v>46053</v>
      </c>
      <c r="B6" t="str">
        <v>Saves</v>
      </c>
      <c r="C6">
        <v>15</v>
      </c>
      <c r="E6" s="31">
        <v>46138</v>
      </c>
      <c r="F6">
        <v>79</v>
      </c>
      <c r="G6">
        <v>26</v>
      </c>
      <c r="H6">
        <v>4</v>
      </c>
      <c r="I6">
        <v>109</v>
      </c>
    </row>
    <row r="7" spans="1:9" x14ac:dyDescent="0.3">
      <c r="A7" s="31">
        <v>46053</v>
      </c>
      <c r="B7" t="str">
        <v>Comments</v>
      </c>
      <c r="C7">
        <v>5</v>
      </c>
      <c r="E7" s="31">
        <v>46139</v>
      </c>
      <c r="F7">
        <v>53</v>
      </c>
      <c r="G7">
        <v>23</v>
      </c>
      <c r="H7">
        <v>3</v>
      </c>
      <c r="I7">
        <v>79</v>
      </c>
    </row>
    <row r="8" spans="1:9" x14ac:dyDescent="0.3">
      <c r="A8" s="31">
        <v>46053</v>
      </c>
      <c r="B8" t="str">
        <v>Shares</v>
      </c>
      <c r="C8">
        <v>4</v>
      </c>
      <c r="E8" s="31">
        <v>46140</v>
      </c>
      <c r="F8">
        <v>57</v>
      </c>
      <c r="G8">
        <v>19</v>
      </c>
      <c r="H8">
        <v>3</v>
      </c>
      <c r="I8">
        <v>79</v>
      </c>
    </row>
    <row r="9" spans="1:9" x14ac:dyDescent="0.3">
      <c r="A9" s="31">
        <v>46053</v>
      </c>
      <c r="B9" t="str">
        <v>Profile Visits</v>
      </c>
      <c r="C9">
        <v>43</v>
      </c>
      <c r="E9" s="31">
        <v>46141</v>
      </c>
      <c r="F9">
        <v>49</v>
      </c>
      <c r="G9">
        <v>26</v>
      </c>
      <c r="H9">
        <v>4</v>
      </c>
      <c r="I9">
        <v>79</v>
      </c>
    </row>
    <row r="10" spans="1:9" x14ac:dyDescent="0.3">
      <c r="A10" s="31">
        <v>46053</v>
      </c>
      <c r="B10" t="str">
        <v>New Followers</v>
      </c>
      <c r="C10">
        <v>6</v>
      </c>
      <c r="E10" s="31">
        <v>46142</v>
      </c>
      <c r="F10">
        <v>44</v>
      </c>
      <c r="G10">
        <v>15</v>
      </c>
      <c r="H10">
        <v>2</v>
      </c>
      <c r="I10">
        <v>61</v>
      </c>
    </row>
    <row r="11" spans="1:9" x14ac:dyDescent="0.3">
      <c r="A11" s="31">
        <v>46053</v>
      </c>
      <c r="B11" t="str">
        <v>Engagement</v>
      </c>
      <c r="C11">
        <v>68</v>
      </c>
      <c r="E11" s="31">
        <v>46113</v>
      </c>
      <c r="F11">
        <v>71</v>
      </c>
      <c r="G11">
        <v>19</v>
      </c>
      <c r="H11">
        <v>3</v>
      </c>
      <c r="I11">
        <v>93</v>
      </c>
    </row>
    <row r="12" spans="1:9" x14ac:dyDescent="0.3">
      <c r="A12" s="31">
        <v>46053</v>
      </c>
      <c r="B12" t="str">
        <v>Engagement Rate</v>
      </c>
      <c r="C12">
        <v>6.6929133858267723E-2</v>
      </c>
      <c r="E12" s="31">
        <v>46114</v>
      </c>
      <c r="F12">
        <v>66</v>
      </c>
      <c r="G12">
        <v>16</v>
      </c>
      <c r="H12">
        <v>3</v>
      </c>
      <c r="I12">
        <v>85</v>
      </c>
    </row>
    <row r="13" spans="1:9" x14ac:dyDescent="0.3">
      <c r="A13" s="31">
        <v>46053</v>
      </c>
      <c r="B13" t="str">
        <v>Brand Awareness</v>
      </c>
      <c r="C13">
        <v>49</v>
      </c>
      <c r="E13" s="31">
        <v>46115</v>
      </c>
      <c r="F13">
        <v>85</v>
      </c>
      <c r="G13">
        <v>30</v>
      </c>
      <c r="H13">
        <v>5</v>
      </c>
      <c r="I13">
        <v>120</v>
      </c>
    </row>
    <row r="14" spans="1:9" x14ac:dyDescent="0.3">
      <c r="A14" s="31">
        <v>46054</v>
      </c>
      <c r="B14" t="str">
        <v>Views</v>
      </c>
      <c r="C14">
        <v>908</v>
      </c>
      <c r="E14" s="31">
        <v>46116</v>
      </c>
      <c r="F14">
        <v>67</v>
      </c>
      <c r="G14">
        <v>41</v>
      </c>
      <c r="H14">
        <v>5</v>
      </c>
      <c r="I14">
        <v>113</v>
      </c>
    </row>
    <row r="15" spans="1:9" x14ac:dyDescent="0.3">
      <c r="A15" s="31">
        <v>46054</v>
      </c>
      <c r="B15" t="str">
        <v>Total Watch Time (s)</v>
      </c>
      <c r="C15">
        <v>19068</v>
      </c>
      <c r="E15" s="31">
        <v>46117</v>
      </c>
      <c r="F15">
        <v>87</v>
      </c>
      <c r="G15">
        <v>41</v>
      </c>
      <c r="H15">
        <v>7</v>
      </c>
      <c r="I15">
        <v>135</v>
      </c>
    </row>
    <row r="16" spans="1:9" x14ac:dyDescent="0.3">
      <c r="A16" s="31">
        <v>46054</v>
      </c>
      <c r="B16" t="str">
        <v>Likes</v>
      </c>
      <c r="C16">
        <v>35</v>
      </c>
      <c r="E16" s="31">
        <v>46118</v>
      </c>
      <c r="F16">
        <v>73</v>
      </c>
      <c r="G16">
        <v>26</v>
      </c>
      <c r="H16">
        <v>3</v>
      </c>
      <c r="I16">
        <v>102</v>
      </c>
    </row>
    <row r="17" spans="1:9" x14ac:dyDescent="0.3">
      <c r="A17" s="31">
        <v>46054</v>
      </c>
      <c r="B17" t="str">
        <v>Saves</v>
      </c>
      <c r="C17">
        <v>17</v>
      </c>
      <c r="E17" s="31">
        <v>46119</v>
      </c>
      <c r="F17">
        <v>38</v>
      </c>
      <c r="G17">
        <v>22</v>
      </c>
      <c r="H17">
        <v>2</v>
      </c>
      <c r="I17">
        <v>62</v>
      </c>
    </row>
    <row r="18" spans="1:9" x14ac:dyDescent="0.3">
      <c r="A18" s="31">
        <v>46054</v>
      </c>
      <c r="B18" t="str">
        <v>Comments</v>
      </c>
      <c r="C18">
        <v>6</v>
      </c>
      <c r="E18" s="31">
        <v>46120</v>
      </c>
      <c r="F18">
        <v>52</v>
      </c>
      <c r="G18">
        <v>21</v>
      </c>
      <c r="H18">
        <v>4</v>
      </c>
      <c r="I18">
        <v>77</v>
      </c>
    </row>
    <row r="19" spans="1:9" x14ac:dyDescent="0.3">
      <c r="A19" s="31">
        <v>46054</v>
      </c>
      <c r="B19" t="str">
        <v>Shares</v>
      </c>
      <c r="C19">
        <v>4</v>
      </c>
      <c r="E19" s="31">
        <v>46121</v>
      </c>
      <c r="F19">
        <v>59</v>
      </c>
      <c r="G19">
        <v>23</v>
      </c>
      <c r="H19">
        <v>2</v>
      </c>
      <c r="I19">
        <v>84</v>
      </c>
    </row>
    <row r="20" spans="1:9" x14ac:dyDescent="0.3">
      <c r="A20" s="31">
        <v>46054</v>
      </c>
      <c r="B20" t="str">
        <v>Profile Visits</v>
      </c>
      <c r="C20">
        <v>57</v>
      </c>
      <c r="E20" s="31">
        <v>46122</v>
      </c>
      <c r="F20">
        <v>39</v>
      </c>
      <c r="G20">
        <v>26</v>
      </c>
      <c r="H20">
        <v>3</v>
      </c>
      <c r="I20">
        <v>68</v>
      </c>
    </row>
    <row r="21" spans="1:9" x14ac:dyDescent="0.3">
      <c r="A21" s="31">
        <v>46054</v>
      </c>
      <c r="B21" t="str">
        <v>New Followers</v>
      </c>
      <c r="C21">
        <v>7</v>
      </c>
      <c r="E21" s="31">
        <v>46123</v>
      </c>
      <c r="F21">
        <v>65</v>
      </c>
      <c r="G21">
        <v>30</v>
      </c>
      <c r="H21">
        <v>4</v>
      </c>
      <c r="I21">
        <v>99</v>
      </c>
    </row>
    <row r="22" spans="1:9" x14ac:dyDescent="0.3">
      <c r="A22" s="31">
        <v>46054</v>
      </c>
      <c r="B22" t="str">
        <v>Engagement</v>
      </c>
      <c r="C22">
        <v>62</v>
      </c>
      <c r="E22" s="31">
        <v>46124</v>
      </c>
      <c r="F22">
        <v>40</v>
      </c>
      <c r="G22">
        <v>21</v>
      </c>
      <c r="H22">
        <v>3</v>
      </c>
      <c r="I22">
        <v>64</v>
      </c>
    </row>
    <row r="23" spans="1:9" x14ac:dyDescent="0.3">
      <c r="A23" s="31">
        <v>46054</v>
      </c>
      <c r="B23" t="str">
        <v>Engagement Rate</v>
      </c>
      <c r="C23">
        <v>6.8281938325991193E-2</v>
      </c>
      <c r="E23" s="31">
        <v>46125</v>
      </c>
      <c r="F23">
        <v>66</v>
      </c>
      <c r="G23">
        <v>34</v>
      </c>
      <c r="H23">
        <v>4</v>
      </c>
      <c r="I23">
        <v>104</v>
      </c>
    </row>
    <row r="24" spans="1:9" x14ac:dyDescent="0.3">
      <c r="A24" s="31">
        <v>46054</v>
      </c>
      <c r="B24" t="str">
        <v>Brand Awareness</v>
      </c>
      <c r="C24">
        <v>64</v>
      </c>
      <c r="E24" s="31">
        <v>46126</v>
      </c>
      <c r="F24">
        <v>57</v>
      </c>
      <c r="G24">
        <v>19</v>
      </c>
      <c r="H24">
        <v>2</v>
      </c>
      <c r="I24">
        <v>78</v>
      </c>
    </row>
    <row r="25" spans="1:9" x14ac:dyDescent="0.3">
      <c r="A25" s="31">
        <v>46055</v>
      </c>
      <c r="B25" t="str">
        <v>Views</v>
      </c>
      <c r="C25">
        <v>815</v>
      </c>
      <c r="E25" s="31">
        <v>46127</v>
      </c>
      <c r="F25">
        <v>61</v>
      </c>
      <c r="G25">
        <v>25</v>
      </c>
      <c r="H25">
        <v>4</v>
      </c>
      <c r="I25">
        <v>90</v>
      </c>
    </row>
    <row r="26" spans="1:9" x14ac:dyDescent="0.3">
      <c r="A26" s="31">
        <v>46055</v>
      </c>
      <c r="B26" t="str">
        <v>Total Watch Time (s)</v>
      </c>
      <c r="C26">
        <v>17115</v>
      </c>
      <c r="E26" s="31">
        <v>46128</v>
      </c>
      <c r="F26">
        <v>39</v>
      </c>
      <c r="G26">
        <v>28</v>
      </c>
      <c r="H26">
        <v>3</v>
      </c>
      <c r="I26">
        <v>70</v>
      </c>
    </row>
    <row r="27" spans="1:9" x14ac:dyDescent="0.3">
      <c r="A27" s="31">
        <v>46055</v>
      </c>
      <c r="B27" t="str">
        <v>Likes</v>
      </c>
      <c r="C27">
        <v>26</v>
      </c>
      <c r="E27" s="31">
        <v>46129</v>
      </c>
      <c r="F27">
        <v>162</v>
      </c>
      <c r="G27">
        <v>66</v>
      </c>
      <c r="H27">
        <v>8</v>
      </c>
      <c r="I27">
        <v>236</v>
      </c>
    </row>
    <row r="28" spans="1:9" x14ac:dyDescent="0.3">
      <c r="A28" s="31">
        <v>46055</v>
      </c>
      <c r="B28" t="str">
        <v>Saves</v>
      </c>
      <c r="C28">
        <v>9</v>
      </c>
      <c r="E28" s="31">
        <v>46130</v>
      </c>
      <c r="F28">
        <v>41</v>
      </c>
      <c r="G28">
        <v>32</v>
      </c>
      <c r="H28">
        <v>3</v>
      </c>
      <c r="I28">
        <v>76</v>
      </c>
    </row>
    <row r="29" spans="1:9" x14ac:dyDescent="0.3">
      <c r="A29" s="31">
        <v>46055</v>
      </c>
      <c r="B29" t="str">
        <v>Comments</v>
      </c>
      <c r="C29">
        <v>2</v>
      </c>
      <c r="E29" s="31">
        <v>46131</v>
      </c>
      <c r="F29">
        <v>43</v>
      </c>
      <c r="G29">
        <v>34</v>
      </c>
      <c r="H29">
        <v>3</v>
      </c>
      <c r="I29">
        <v>80</v>
      </c>
    </row>
    <row r="30" spans="1:9" x14ac:dyDescent="0.3">
      <c r="A30" s="31">
        <v>46055</v>
      </c>
      <c r="B30" t="str">
        <v>Shares</v>
      </c>
      <c r="C30">
        <v>2</v>
      </c>
      <c r="E30" s="31">
        <v>46132</v>
      </c>
      <c r="F30">
        <v>61</v>
      </c>
      <c r="G30">
        <v>37</v>
      </c>
      <c r="H30">
        <v>4</v>
      </c>
      <c r="I30">
        <v>102</v>
      </c>
    </row>
    <row r="31" spans="1:9" x14ac:dyDescent="0.3">
      <c r="A31" s="31">
        <v>46055</v>
      </c>
      <c r="B31" t="str">
        <v>Profile Visits</v>
      </c>
      <c r="C31">
        <v>46</v>
      </c>
      <c r="E31" s="31">
        <v>46133</v>
      </c>
      <c r="F31">
        <v>64</v>
      </c>
      <c r="G31">
        <v>31</v>
      </c>
      <c r="H31">
        <v>4</v>
      </c>
      <c r="I31">
        <v>99</v>
      </c>
    </row>
    <row r="32" spans="1:9" x14ac:dyDescent="0.3">
      <c r="A32" s="31">
        <v>46055</v>
      </c>
      <c r="B32" t="str">
        <v>New Followers</v>
      </c>
      <c r="C32">
        <v>8</v>
      </c>
      <c r="E32" s="31">
        <v>46134</v>
      </c>
      <c r="F32">
        <v>34</v>
      </c>
      <c r="G32">
        <v>17</v>
      </c>
      <c r="H32">
        <v>2</v>
      </c>
      <c r="I32">
        <v>53</v>
      </c>
    </row>
    <row r="33" spans="1:9" x14ac:dyDescent="0.3">
      <c r="A33" s="31">
        <v>46055</v>
      </c>
      <c r="B33" t="str">
        <v>Engagement</v>
      </c>
      <c r="C33">
        <v>39</v>
      </c>
      <c r="E33" s="31">
        <v>46135</v>
      </c>
      <c r="F33">
        <v>62</v>
      </c>
      <c r="G33">
        <v>15</v>
      </c>
      <c r="H33">
        <v>2</v>
      </c>
      <c r="I33">
        <v>79</v>
      </c>
    </row>
    <row r="34" spans="1:9" x14ac:dyDescent="0.3">
      <c r="A34" s="31">
        <v>46055</v>
      </c>
      <c r="B34" t="str">
        <v>Engagement Rate</v>
      </c>
      <c r="C34">
        <v>4.785276073619632E-2</v>
      </c>
      <c r="E34" s="31">
        <v>46053</v>
      </c>
      <c r="F34">
        <v>49</v>
      </c>
      <c r="G34">
        <v>44</v>
      </c>
      <c r="H34">
        <v>4</v>
      </c>
      <c r="I34">
        <v>97</v>
      </c>
    </row>
    <row r="35" spans="1:9" x14ac:dyDescent="0.3">
      <c r="A35" s="31">
        <v>46055</v>
      </c>
      <c r="B35" t="str">
        <v>Brand Awareness</v>
      </c>
      <c r="C35">
        <v>54</v>
      </c>
      <c r="E35" s="31">
        <v>46054</v>
      </c>
      <c r="F35">
        <v>64</v>
      </c>
      <c r="G35">
        <v>35</v>
      </c>
      <c r="H35">
        <v>4</v>
      </c>
      <c r="I35">
        <v>103</v>
      </c>
    </row>
    <row r="36" spans="1:9" x14ac:dyDescent="0.3">
      <c r="A36" s="31">
        <v>46056</v>
      </c>
      <c r="B36" t="str">
        <v>Views</v>
      </c>
      <c r="C36">
        <v>808</v>
      </c>
      <c r="E36" s="31">
        <v>46055</v>
      </c>
      <c r="F36">
        <v>54</v>
      </c>
      <c r="G36">
        <v>26</v>
      </c>
      <c r="H36">
        <v>2</v>
      </c>
      <c r="I36">
        <v>82</v>
      </c>
    </row>
    <row r="37" spans="1:9" x14ac:dyDescent="0.3">
      <c r="A37" s="31">
        <v>46056</v>
      </c>
      <c r="B37" t="str">
        <v>Total Watch Time (s)</v>
      </c>
      <c r="C37">
        <v>15352</v>
      </c>
      <c r="E37" s="31">
        <v>46056</v>
      </c>
      <c r="F37">
        <v>71</v>
      </c>
      <c r="G37">
        <v>17</v>
      </c>
      <c r="H37">
        <v>2</v>
      </c>
      <c r="I37">
        <v>90</v>
      </c>
    </row>
    <row r="38" spans="1:9" x14ac:dyDescent="0.3">
      <c r="A38" s="31">
        <v>46056</v>
      </c>
      <c r="B38" t="str">
        <v>Likes</v>
      </c>
      <c r="C38">
        <v>17</v>
      </c>
      <c r="E38" s="31">
        <v>46057</v>
      </c>
      <c r="F38">
        <v>31</v>
      </c>
      <c r="G38">
        <v>30</v>
      </c>
      <c r="H38">
        <v>5</v>
      </c>
      <c r="I38">
        <v>66</v>
      </c>
    </row>
    <row r="39" spans="1:9" x14ac:dyDescent="0.3">
      <c r="A39" s="31">
        <v>46056</v>
      </c>
      <c r="B39" t="str">
        <v>Saves</v>
      </c>
      <c r="C39">
        <v>9</v>
      </c>
      <c r="E39" s="31">
        <v>46058</v>
      </c>
      <c r="F39">
        <v>63</v>
      </c>
      <c r="G39">
        <v>29</v>
      </c>
      <c r="H39">
        <v>3</v>
      </c>
      <c r="I39">
        <v>95</v>
      </c>
    </row>
    <row r="40" spans="1:9" x14ac:dyDescent="0.3">
      <c r="A40" s="31">
        <v>46056</v>
      </c>
      <c r="B40" t="str">
        <v>Comments</v>
      </c>
      <c r="C40">
        <v>2</v>
      </c>
      <c r="E40" s="31">
        <v>46059</v>
      </c>
      <c r="F40">
        <v>34</v>
      </c>
      <c r="G40">
        <v>30</v>
      </c>
      <c r="H40">
        <v>5</v>
      </c>
      <c r="I40">
        <v>69</v>
      </c>
    </row>
    <row r="41" spans="1:9" x14ac:dyDescent="0.3">
      <c r="A41" s="31">
        <v>46056</v>
      </c>
      <c r="B41" t="str">
        <v>Shares</v>
      </c>
      <c r="C41">
        <v>2</v>
      </c>
      <c r="E41" s="31">
        <v>46060</v>
      </c>
      <c r="F41">
        <v>62</v>
      </c>
      <c r="G41">
        <v>32</v>
      </c>
      <c r="H41">
        <v>5</v>
      </c>
      <c r="I41">
        <v>99</v>
      </c>
    </row>
    <row r="42" spans="1:9" x14ac:dyDescent="0.3">
      <c r="A42" s="31">
        <v>46056</v>
      </c>
      <c r="B42" t="str">
        <v>Profile Visits</v>
      </c>
      <c r="C42">
        <v>60</v>
      </c>
      <c r="E42" s="31">
        <v>46061</v>
      </c>
      <c r="F42">
        <v>74</v>
      </c>
      <c r="G42">
        <v>48</v>
      </c>
      <c r="H42">
        <v>6</v>
      </c>
      <c r="I42">
        <v>128</v>
      </c>
    </row>
    <row r="43" spans="1:9" x14ac:dyDescent="0.3">
      <c r="A43" s="31">
        <v>46056</v>
      </c>
      <c r="B43" t="str">
        <v>New Followers</v>
      </c>
      <c r="C43">
        <v>11</v>
      </c>
      <c r="E43" s="31">
        <v>46062</v>
      </c>
      <c r="F43">
        <v>51</v>
      </c>
      <c r="G43">
        <v>22</v>
      </c>
      <c r="H43">
        <v>4</v>
      </c>
      <c r="I43">
        <v>77</v>
      </c>
    </row>
    <row r="44" spans="1:9" x14ac:dyDescent="0.3">
      <c r="A44" s="31">
        <v>46056</v>
      </c>
      <c r="B44" t="str">
        <v>Engagement</v>
      </c>
      <c r="C44">
        <v>30</v>
      </c>
      <c r="E44" s="31">
        <v>46063</v>
      </c>
      <c r="F44">
        <v>38</v>
      </c>
      <c r="G44">
        <v>23</v>
      </c>
      <c r="H44">
        <v>2</v>
      </c>
      <c r="I44">
        <v>63</v>
      </c>
    </row>
    <row r="45" spans="1:9" x14ac:dyDescent="0.3">
      <c r="A45" s="31">
        <v>46056</v>
      </c>
      <c r="B45" t="str">
        <v>Engagement Rate</v>
      </c>
      <c r="C45">
        <v>3.7128712871287127E-2</v>
      </c>
      <c r="E45" s="31">
        <v>46064</v>
      </c>
      <c r="F45">
        <v>62</v>
      </c>
      <c r="G45">
        <v>30</v>
      </c>
      <c r="H45">
        <v>4</v>
      </c>
      <c r="I45">
        <v>96</v>
      </c>
    </row>
    <row r="46" spans="1:9" x14ac:dyDescent="0.3">
      <c r="A46" s="31">
        <v>46056</v>
      </c>
      <c r="B46" t="str">
        <v>Brand Awareness</v>
      </c>
      <c r="C46">
        <v>71</v>
      </c>
      <c r="E46" s="31">
        <v>46065</v>
      </c>
      <c r="F46">
        <v>32</v>
      </c>
      <c r="G46">
        <v>23</v>
      </c>
      <c r="H46">
        <v>2</v>
      </c>
      <c r="I46">
        <v>57</v>
      </c>
    </row>
    <row r="47" spans="1:9" x14ac:dyDescent="0.3">
      <c r="A47" s="31">
        <v>46057</v>
      </c>
      <c r="B47" t="str">
        <v>Views</v>
      </c>
      <c r="C47">
        <v>673</v>
      </c>
      <c r="E47" s="31">
        <v>46066</v>
      </c>
      <c r="F47">
        <v>123</v>
      </c>
      <c r="G47">
        <v>33</v>
      </c>
      <c r="H47">
        <v>4</v>
      </c>
      <c r="I47">
        <v>160</v>
      </c>
    </row>
    <row r="48" spans="1:9" x14ac:dyDescent="0.3">
      <c r="A48" s="31">
        <v>46057</v>
      </c>
      <c r="B48" t="str">
        <v>Total Watch Time (s)</v>
      </c>
      <c r="C48">
        <v>14806</v>
      </c>
      <c r="E48" s="31">
        <v>46067</v>
      </c>
      <c r="F48">
        <v>197</v>
      </c>
      <c r="G48">
        <v>59</v>
      </c>
      <c r="H48">
        <v>8</v>
      </c>
      <c r="I48">
        <v>264</v>
      </c>
    </row>
    <row r="49" spans="1:9" x14ac:dyDescent="0.3">
      <c r="A49" s="31">
        <v>46057</v>
      </c>
      <c r="B49" t="str">
        <v>Likes</v>
      </c>
      <c r="C49">
        <v>30</v>
      </c>
      <c r="E49" s="31">
        <v>46068</v>
      </c>
      <c r="F49">
        <v>121</v>
      </c>
      <c r="G49">
        <v>65</v>
      </c>
      <c r="H49">
        <v>8</v>
      </c>
      <c r="I49">
        <v>194</v>
      </c>
    </row>
    <row r="50" spans="1:9" x14ac:dyDescent="0.3">
      <c r="A50" s="31">
        <v>46057</v>
      </c>
      <c r="B50" t="str">
        <v>Saves</v>
      </c>
      <c r="C50">
        <v>13</v>
      </c>
      <c r="E50" s="31">
        <v>46069</v>
      </c>
      <c r="F50">
        <v>190</v>
      </c>
      <c r="G50">
        <v>76</v>
      </c>
      <c r="H50">
        <v>9</v>
      </c>
      <c r="I50">
        <v>275</v>
      </c>
    </row>
    <row r="51" spans="1:9" x14ac:dyDescent="0.3">
      <c r="A51" s="31">
        <v>46057</v>
      </c>
      <c r="B51" t="str">
        <v>Comments</v>
      </c>
      <c r="C51">
        <v>4</v>
      </c>
      <c r="E51" s="31">
        <v>46070</v>
      </c>
      <c r="F51">
        <v>175</v>
      </c>
      <c r="G51">
        <v>55</v>
      </c>
      <c r="H51">
        <v>6</v>
      </c>
      <c r="I51">
        <v>236</v>
      </c>
    </row>
    <row r="52" spans="1:9" x14ac:dyDescent="0.3">
      <c r="A52" s="31">
        <v>46057</v>
      </c>
      <c r="B52" t="str">
        <v>Shares</v>
      </c>
      <c r="C52">
        <v>5</v>
      </c>
      <c r="E52" s="31">
        <v>46071</v>
      </c>
      <c r="F52">
        <v>167</v>
      </c>
      <c r="G52">
        <v>90</v>
      </c>
      <c r="H52">
        <v>13</v>
      </c>
      <c r="I52">
        <v>270</v>
      </c>
    </row>
    <row r="53" spans="1:9" x14ac:dyDescent="0.3">
      <c r="A53" s="31">
        <v>46057</v>
      </c>
      <c r="B53" t="str">
        <v>Profile Visits</v>
      </c>
      <c r="C53">
        <v>28</v>
      </c>
      <c r="E53" s="31">
        <v>46072</v>
      </c>
      <c r="F53">
        <v>103</v>
      </c>
      <c r="G53">
        <v>68</v>
      </c>
      <c r="H53">
        <v>11</v>
      </c>
      <c r="I53">
        <v>182</v>
      </c>
    </row>
    <row r="54" spans="1:9" x14ac:dyDescent="0.3">
      <c r="A54" s="31">
        <v>46057</v>
      </c>
      <c r="B54" t="str">
        <v>New Followers</v>
      </c>
      <c r="C54">
        <v>3</v>
      </c>
      <c r="E54" s="31">
        <v>46073</v>
      </c>
      <c r="F54">
        <v>86</v>
      </c>
      <c r="G54">
        <v>58</v>
      </c>
      <c r="H54">
        <v>6</v>
      </c>
      <c r="I54">
        <v>150</v>
      </c>
    </row>
    <row r="55" spans="1:9" x14ac:dyDescent="0.3">
      <c r="A55" s="31">
        <v>46057</v>
      </c>
      <c r="B55" t="str">
        <v>Engagement</v>
      </c>
      <c r="C55">
        <v>52</v>
      </c>
      <c r="E55" s="31">
        <v>46074</v>
      </c>
      <c r="F55">
        <v>65</v>
      </c>
      <c r="G55">
        <v>24</v>
      </c>
      <c r="H55">
        <v>4</v>
      </c>
      <c r="I55">
        <v>93</v>
      </c>
    </row>
    <row r="56" spans="1:9" x14ac:dyDescent="0.3">
      <c r="A56" s="31">
        <v>46057</v>
      </c>
      <c r="B56" t="str">
        <v>Engagement Rate</v>
      </c>
      <c r="C56">
        <v>7.7265973254086184E-2</v>
      </c>
      <c r="E56" s="31">
        <v>46075</v>
      </c>
      <c r="F56">
        <v>48</v>
      </c>
      <c r="G56">
        <v>20</v>
      </c>
      <c r="H56">
        <v>3</v>
      </c>
      <c r="I56">
        <v>71</v>
      </c>
    </row>
    <row r="57" spans="1:9" x14ac:dyDescent="0.3">
      <c r="A57" s="31">
        <v>46057</v>
      </c>
      <c r="B57" t="str">
        <v>Brand Awareness</v>
      </c>
      <c r="C57">
        <v>31</v>
      </c>
      <c r="E57" s="31">
        <v>46076</v>
      </c>
      <c r="F57">
        <v>63</v>
      </c>
      <c r="G57">
        <v>19</v>
      </c>
      <c r="H57">
        <v>2</v>
      </c>
      <c r="I57">
        <v>84</v>
      </c>
    </row>
    <row r="58" spans="1:9" x14ac:dyDescent="0.3">
      <c r="A58" s="31">
        <v>46058</v>
      </c>
      <c r="B58" t="str">
        <v>Views</v>
      </c>
      <c r="C58">
        <v>736</v>
      </c>
      <c r="E58" s="31">
        <v>46077</v>
      </c>
      <c r="F58">
        <v>62</v>
      </c>
      <c r="G58">
        <v>25</v>
      </c>
      <c r="H58">
        <v>3</v>
      </c>
      <c r="I58">
        <v>90</v>
      </c>
    </row>
    <row r="59" spans="1:9" x14ac:dyDescent="0.3">
      <c r="A59" s="31">
        <v>46058</v>
      </c>
      <c r="B59" t="str">
        <v>Total Watch Time (s)</v>
      </c>
      <c r="C59">
        <v>22080</v>
      </c>
      <c r="E59" s="31">
        <v>46078</v>
      </c>
      <c r="F59">
        <v>61</v>
      </c>
      <c r="G59">
        <v>18</v>
      </c>
      <c r="H59">
        <v>3</v>
      </c>
      <c r="I59">
        <v>82</v>
      </c>
    </row>
    <row r="60" spans="1:9" x14ac:dyDescent="0.3">
      <c r="A60" s="31">
        <v>46058</v>
      </c>
      <c r="B60" t="str">
        <v>Likes</v>
      </c>
      <c r="C60">
        <v>29</v>
      </c>
      <c r="E60" s="31">
        <v>46079</v>
      </c>
      <c r="F60">
        <v>69</v>
      </c>
      <c r="G60">
        <v>22</v>
      </c>
      <c r="H60">
        <v>3</v>
      </c>
      <c r="I60">
        <v>94</v>
      </c>
    </row>
    <row r="61" spans="1:9" x14ac:dyDescent="0.3">
      <c r="A61" s="31">
        <v>46058</v>
      </c>
      <c r="B61" t="str">
        <v>Saves</v>
      </c>
      <c r="C61">
        <v>11</v>
      </c>
      <c r="E61" s="31">
        <v>46080</v>
      </c>
      <c r="F61">
        <v>45</v>
      </c>
      <c r="G61">
        <v>16</v>
      </c>
      <c r="H61">
        <v>2</v>
      </c>
      <c r="I61">
        <v>63</v>
      </c>
    </row>
    <row r="62" spans="1:9" x14ac:dyDescent="0.3">
      <c r="A62" s="31">
        <v>46058</v>
      </c>
      <c r="B62" t="str">
        <v>Comments</v>
      </c>
      <c r="C62">
        <v>3</v>
      </c>
      <c r="E62" s="31">
        <v>46081</v>
      </c>
      <c r="F62">
        <v>68</v>
      </c>
      <c r="G62">
        <v>40</v>
      </c>
      <c r="H62">
        <v>4</v>
      </c>
      <c r="I62">
        <v>112</v>
      </c>
    </row>
    <row r="63" spans="1:9" x14ac:dyDescent="0.3">
      <c r="A63" s="31">
        <v>46058</v>
      </c>
      <c r="B63" t="str">
        <v>Shares</v>
      </c>
      <c r="C63">
        <v>3</v>
      </c>
      <c r="E63" s="31">
        <v>46082</v>
      </c>
      <c r="F63">
        <v>98</v>
      </c>
      <c r="G63">
        <v>43</v>
      </c>
      <c r="H63">
        <v>5</v>
      </c>
      <c r="I63">
        <v>146</v>
      </c>
    </row>
    <row r="64" spans="1:9" x14ac:dyDescent="0.3">
      <c r="A64" s="31">
        <v>46058</v>
      </c>
      <c r="B64" t="str">
        <v>Profile Visits</v>
      </c>
      <c r="C64">
        <v>54</v>
      </c>
      <c r="E64" s="31">
        <v>46083</v>
      </c>
      <c r="F64">
        <v>66</v>
      </c>
      <c r="G64">
        <v>27</v>
      </c>
      <c r="H64">
        <v>3</v>
      </c>
      <c r="I64">
        <v>96</v>
      </c>
    </row>
    <row r="65" spans="1:9" x14ac:dyDescent="0.3">
      <c r="A65" s="31">
        <v>46058</v>
      </c>
      <c r="B65" t="str">
        <v>New Followers</v>
      </c>
      <c r="C65">
        <v>9</v>
      </c>
      <c r="E65" s="31">
        <v>46084</v>
      </c>
      <c r="F65">
        <v>69</v>
      </c>
      <c r="G65">
        <v>18</v>
      </c>
      <c r="H65">
        <v>2</v>
      </c>
      <c r="I65">
        <v>89</v>
      </c>
    </row>
    <row r="66" spans="1:9" x14ac:dyDescent="0.3">
      <c r="A66" s="31">
        <v>46058</v>
      </c>
      <c r="B66" t="str">
        <v>Engagement</v>
      </c>
      <c r="C66">
        <v>46</v>
      </c>
      <c r="E66" s="31">
        <v>46085</v>
      </c>
      <c r="F66">
        <v>71</v>
      </c>
      <c r="G66">
        <v>31</v>
      </c>
      <c r="H66">
        <v>3</v>
      </c>
      <c r="I66">
        <v>105</v>
      </c>
    </row>
    <row r="67" spans="1:9" x14ac:dyDescent="0.3">
      <c r="A67" s="31">
        <v>46058</v>
      </c>
      <c r="B67" t="str">
        <v>Engagement Rate</v>
      </c>
      <c r="C67">
        <v>6.25E-2</v>
      </c>
      <c r="E67" s="31">
        <v>46086</v>
      </c>
      <c r="F67">
        <v>30</v>
      </c>
      <c r="G67">
        <v>27</v>
      </c>
      <c r="H67">
        <v>3</v>
      </c>
      <c r="I67">
        <v>60</v>
      </c>
    </row>
    <row r="68" spans="1:9" x14ac:dyDescent="0.3">
      <c r="A68" s="31">
        <v>46058</v>
      </c>
      <c r="B68" t="str">
        <v>Brand Awareness</v>
      </c>
      <c r="C68">
        <v>63</v>
      </c>
      <c r="E68" s="31">
        <v>46087</v>
      </c>
      <c r="F68">
        <v>53</v>
      </c>
      <c r="G68">
        <v>26</v>
      </c>
      <c r="H68">
        <v>2</v>
      </c>
      <c r="I68">
        <v>81</v>
      </c>
    </row>
    <row r="69" spans="1:9" x14ac:dyDescent="0.3">
      <c r="A69" s="31">
        <v>46059</v>
      </c>
      <c r="B69" t="str">
        <v>Views</v>
      </c>
      <c r="C69">
        <v>658</v>
      </c>
      <c r="E69" s="31">
        <v>46088</v>
      </c>
      <c r="F69">
        <v>85</v>
      </c>
      <c r="G69">
        <v>49</v>
      </c>
      <c r="H69">
        <v>7</v>
      </c>
      <c r="I69">
        <v>141</v>
      </c>
    </row>
    <row r="70" spans="1:9" x14ac:dyDescent="0.3">
      <c r="A70" s="31">
        <v>46059</v>
      </c>
      <c r="B70" t="str">
        <v>Total Watch Time (s)</v>
      </c>
      <c r="C70">
        <v>13818</v>
      </c>
      <c r="E70" s="31">
        <v>46089</v>
      </c>
      <c r="F70">
        <v>123</v>
      </c>
      <c r="G70">
        <v>44</v>
      </c>
      <c r="H70">
        <v>4</v>
      </c>
      <c r="I70">
        <v>171</v>
      </c>
    </row>
    <row r="71" spans="1:9" x14ac:dyDescent="0.3">
      <c r="A71" s="31">
        <v>46059</v>
      </c>
      <c r="B71" t="str">
        <v>Likes</v>
      </c>
      <c r="C71">
        <v>30</v>
      </c>
      <c r="E71" s="31">
        <v>46090</v>
      </c>
      <c r="F71">
        <v>77</v>
      </c>
      <c r="G71">
        <v>30</v>
      </c>
      <c r="H71">
        <v>3</v>
      </c>
      <c r="I71">
        <v>110</v>
      </c>
    </row>
    <row r="72" spans="1:9" x14ac:dyDescent="0.3">
      <c r="A72" s="31">
        <v>46059</v>
      </c>
      <c r="B72" t="str">
        <v>Saves</v>
      </c>
      <c r="C72">
        <v>10</v>
      </c>
      <c r="E72" s="31">
        <v>46091</v>
      </c>
      <c r="F72">
        <v>63</v>
      </c>
      <c r="G72">
        <v>23</v>
      </c>
      <c r="H72">
        <v>4</v>
      </c>
      <c r="I72">
        <v>90</v>
      </c>
    </row>
    <row r="73" spans="1:9" x14ac:dyDescent="0.3">
      <c r="A73" s="31">
        <v>46059</v>
      </c>
      <c r="B73" t="str">
        <v>Comments</v>
      </c>
      <c r="C73">
        <v>3</v>
      </c>
      <c r="E73" s="31">
        <v>46092</v>
      </c>
      <c r="F73">
        <v>56</v>
      </c>
      <c r="G73">
        <v>19</v>
      </c>
      <c r="H73">
        <v>2</v>
      </c>
      <c r="I73">
        <v>77</v>
      </c>
    </row>
    <row r="74" spans="1:9" x14ac:dyDescent="0.3">
      <c r="A74" s="31">
        <v>46059</v>
      </c>
      <c r="B74" t="str">
        <v>Shares</v>
      </c>
      <c r="C74">
        <v>5</v>
      </c>
      <c r="E74" s="31">
        <v>46093</v>
      </c>
      <c r="F74">
        <v>70</v>
      </c>
      <c r="G74">
        <v>25</v>
      </c>
      <c r="H74">
        <v>3</v>
      </c>
      <c r="I74">
        <v>98</v>
      </c>
    </row>
    <row r="75" spans="1:9" x14ac:dyDescent="0.3">
      <c r="A75" s="31">
        <v>46059</v>
      </c>
      <c r="B75" t="str">
        <v>Profile Visits</v>
      </c>
      <c r="C75">
        <v>29</v>
      </c>
      <c r="E75" s="31">
        <v>46094</v>
      </c>
      <c r="F75">
        <v>63</v>
      </c>
      <c r="G75">
        <v>31</v>
      </c>
      <c r="H75">
        <v>4</v>
      </c>
      <c r="I75">
        <v>98</v>
      </c>
    </row>
    <row r="76" spans="1:9" x14ac:dyDescent="0.3">
      <c r="A76" s="31">
        <v>46059</v>
      </c>
      <c r="B76" t="str">
        <v>New Followers</v>
      </c>
      <c r="C76">
        <v>5</v>
      </c>
      <c r="E76" s="31">
        <v>46095</v>
      </c>
      <c r="F76">
        <v>59</v>
      </c>
      <c r="G76">
        <v>37</v>
      </c>
      <c r="H76">
        <v>4</v>
      </c>
      <c r="I76">
        <v>100</v>
      </c>
    </row>
    <row r="77" spans="1:9" x14ac:dyDescent="0.3">
      <c r="A77" s="31">
        <v>46059</v>
      </c>
      <c r="B77" t="str">
        <v>Engagement</v>
      </c>
      <c r="C77">
        <v>48</v>
      </c>
      <c r="E77" s="31">
        <v>46096</v>
      </c>
      <c r="F77">
        <v>56</v>
      </c>
      <c r="G77">
        <v>28</v>
      </c>
      <c r="H77">
        <v>4</v>
      </c>
      <c r="I77">
        <v>88</v>
      </c>
    </row>
    <row r="78" spans="1:9" x14ac:dyDescent="0.3">
      <c r="A78" s="31">
        <v>46059</v>
      </c>
      <c r="B78" t="str">
        <v>Engagement Rate</v>
      </c>
      <c r="C78">
        <v>7.29483282674772E-2</v>
      </c>
      <c r="E78" s="31">
        <v>46097</v>
      </c>
      <c r="F78">
        <v>48</v>
      </c>
      <c r="G78">
        <v>30</v>
      </c>
      <c r="H78">
        <v>3</v>
      </c>
      <c r="I78">
        <v>81</v>
      </c>
    </row>
    <row r="79" spans="1:9" x14ac:dyDescent="0.3">
      <c r="A79" s="31">
        <v>46059</v>
      </c>
      <c r="B79" t="str">
        <v>Brand Awareness</v>
      </c>
      <c r="C79">
        <v>34</v>
      </c>
      <c r="E79" s="31">
        <v>46098</v>
      </c>
      <c r="F79">
        <v>44</v>
      </c>
      <c r="G79">
        <v>24</v>
      </c>
      <c r="H79">
        <v>3</v>
      </c>
      <c r="I79">
        <v>71</v>
      </c>
    </row>
    <row r="80" spans="1:9" x14ac:dyDescent="0.3">
      <c r="A80" s="31">
        <v>46060</v>
      </c>
      <c r="B80" t="str">
        <v>Views</v>
      </c>
      <c r="C80">
        <v>1031</v>
      </c>
      <c r="E80" s="31">
        <v>46099</v>
      </c>
      <c r="F80">
        <v>48</v>
      </c>
      <c r="G80">
        <v>30</v>
      </c>
      <c r="H80">
        <v>4</v>
      </c>
      <c r="I80">
        <v>82</v>
      </c>
    </row>
    <row r="81" spans="1:9" x14ac:dyDescent="0.3">
      <c r="A81" s="31">
        <v>46060</v>
      </c>
      <c r="B81" t="str">
        <v>Total Watch Time (s)</v>
      </c>
      <c r="C81">
        <v>28868</v>
      </c>
      <c r="E81" s="31">
        <v>46100</v>
      </c>
      <c r="F81">
        <v>33</v>
      </c>
      <c r="G81">
        <v>20</v>
      </c>
      <c r="H81">
        <v>2</v>
      </c>
      <c r="I81">
        <v>55</v>
      </c>
    </row>
    <row r="82" spans="1:9" x14ac:dyDescent="0.3">
      <c r="A82" s="31">
        <v>46060</v>
      </c>
      <c r="B82" t="str">
        <v>Likes</v>
      </c>
      <c r="C82">
        <v>32</v>
      </c>
      <c r="E82" s="31">
        <v>46101</v>
      </c>
      <c r="F82">
        <v>54</v>
      </c>
      <c r="G82">
        <v>30</v>
      </c>
      <c r="H82">
        <v>4</v>
      </c>
      <c r="I82">
        <v>88</v>
      </c>
    </row>
    <row r="83" spans="1:9" x14ac:dyDescent="0.3">
      <c r="A83" s="31">
        <v>46060</v>
      </c>
      <c r="B83" t="str">
        <v>Saves</v>
      </c>
      <c r="C83">
        <v>14</v>
      </c>
      <c r="E83" s="31">
        <v>46102</v>
      </c>
      <c r="F83">
        <v>55</v>
      </c>
      <c r="G83">
        <v>25</v>
      </c>
      <c r="H83">
        <v>2</v>
      </c>
      <c r="I83">
        <v>82</v>
      </c>
    </row>
    <row r="84" spans="1:9" x14ac:dyDescent="0.3">
      <c r="A84" s="31">
        <v>46060</v>
      </c>
      <c r="B84" t="str">
        <v>Comments</v>
      </c>
      <c r="C84">
        <v>4</v>
      </c>
      <c r="E84" s="31">
        <v>46103</v>
      </c>
      <c r="F84">
        <v>38</v>
      </c>
      <c r="G84">
        <v>33</v>
      </c>
      <c r="H84">
        <v>5</v>
      </c>
      <c r="I84">
        <v>76</v>
      </c>
    </row>
    <row r="85" spans="1:9" x14ac:dyDescent="0.3">
      <c r="A85" s="31">
        <v>46060</v>
      </c>
      <c r="B85" t="str">
        <v>Shares</v>
      </c>
      <c r="C85">
        <v>5</v>
      </c>
      <c r="E85" s="31">
        <v>46104</v>
      </c>
      <c r="F85">
        <v>58</v>
      </c>
      <c r="G85">
        <v>31</v>
      </c>
      <c r="H85">
        <v>5</v>
      </c>
      <c r="I85">
        <v>94</v>
      </c>
    </row>
    <row r="86" spans="1:9" x14ac:dyDescent="0.3">
      <c r="A86" s="31">
        <v>46060</v>
      </c>
      <c r="B86" t="str">
        <v>Profile Visits</v>
      </c>
      <c r="C86">
        <v>55</v>
      </c>
      <c r="E86" s="31">
        <v>46105</v>
      </c>
      <c r="F86">
        <v>50</v>
      </c>
      <c r="G86">
        <v>30</v>
      </c>
      <c r="H86">
        <v>4</v>
      </c>
      <c r="I86">
        <v>84</v>
      </c>
    </row>
    <row r="87" spans="1:9" x14ac:dyDescent="0.3">
      <c r="A87" s="31">
        <v>46060</v>
      </c>
      <c r="B87" t="str">
        <v>New Followers</v>
      </c>
      <c r="C87">
        <v>7</v>
      </c>
      <c r="E87" s="31">
        <v>46106</v>
      </c>
      <c r="F87">
        <v>63</v>
      </c>
      <c r="G87">
        <v>21</v>
      </c>
      <c r="H87">
        <v>3</v>
      </c>
      <c r="I87">
        <v>87</v>
      </c>
    </row>
    <row r="88" spans="1:9" x14ac:dyDescent="0.3">
      <c r="A88" s="31">
        <v>46060</v>
      </c>
      <c r="B88" t="str">
        <v>Engagement</v>
      </c>
      <c r="C88">
        <v>55</v>
      </c>
      <c r="E88" s="31">
        <v>46107</v>
      </c>
      <c r="F88">
        <v>37</v>
      </c>
      <c r="G88">
        <v>21</v>
      </c>
      <c r="H88">
        <v>2</v>
      </c>
      <c r="I88">
        <v>60</v>
      </c>
    </row>
    <row r="89" spans="1:9" x14ac:dyDescent="0.3">
      <c r="A89" s="31">
        <v>46060</v>
      </c>
      <c r="B89" t="str">
        <v>Engagement Rate</v>
      </c>
      <c r="C89">
        <v>5.33462657613967E-2</v>
      </c>
      <c r="E89" s="31">
        <v>46108</v>
      </c>
      <c r="F89">
        <v>41</v>
      </c>
      <c r="G89">
        <v>23</v>
      </c>
      <c r="H89">
        <v>4</v>
      </c>
      <c r="I89">
        <v>68</v>
      </c>
    </row>
    <row r="90" spans="1:9" x14ac:dyDescent="0.3">
      <c r="A90" s="31">
        <v>46060</v>
      </c>
      <c r="B90" t="str">
        <v>Brand Awareness</v>
      </c>
      <c r="C90">
        <v>62</v>
      </c>
      <c r="E90" s="31">
        <v>46109</v>
      </c>
      <c r="F90">
        <v>209</v>
      </c>
      <c r="G90">
        <v>77</v>
      </c>
      <c r="H90">
        <v>6</v>
      </c>
      <c r="I90">
        <v>292</v>
      </c>
    </row>
    <row r="91" spans="1:9" x14ac:dyDescent="0.3">
      <c r="A91" s="31">
        <v>46061</v>
      </c>
      <c r="B91" t="str">
        <v>Views</v>
      </c>
      <c r="C91">
        <v>1043</v>
      </c>
      <c r="E91" s="31">
        <v>46110</v>
      </c>
      <c r="F91">
        <v>44</v>
      </c>
      <c r="G91">
        <v>19</v>
      </c>
      <c r="H91">
        <v>2</v>
      </c>
      <c r="I91">
        <v>65</v>
      </c>
    </row>
    <row r="92" spans="1:9" x14ac:dyDescent="0.3">
      <c r="A92" s="31">
        <v>46061</v>
      </c>
      <c r="B92" t="str">
        <v>Total Watch Time (s)</v>
      </c>
      <c r="C92">
        <v>26075</v>
      </c>
      <c r="E92" s="31">
        <v>46111</v>
      </c>
      <c r="F92">
        <v>36</v>
      </c>
      <c r="G92">
        <v>29</v>
      </c>
      <c r="H92">
        <v>5</v>
      </c>
      <c r="I92">
        <v>70</v>
      </c>
    </row>
    <row r="93" spans="1:9" x14ac:dyDescent="0.3">
      <c r="A93" s="31">
        <v>46061</v>
      </c>
      <c r="B93" t="str">
        <v>Likes</v>
      </c>
      <c r="C93">
        <v>48</v>
      </c>
      <c r="E93" s="31">
        <v>46112</v>
      </c>
      <c r="F93">
        <v>68</v>
      </c>
      <c r="G93">
        <v>29</v>
      </c>
      <c r="H93">
        <v>3</v>
      </c>
      <c r="I93">
        <v>100</v>
      </c>
    </row>
    <row r="94" spans="1:9" x14ac:dyDescent="0.3">
      <c r="A94" s="31">
        <v>46061</v>
      </c>
      <c r="B94" t="str">
        <v>Saves</v>
      </c>
      <c r="C94">
        <v>16</v>
      </c>
      <c r="E94" s="31" t="s">
        <v>49</v>
      </c>
      <c r="F94">
        <v>6096</v>
      </c>
      <c r="G94">
        <v>2825</v>
      </c>
      <c r="H94">
        <v>353</v>
      </c>
      <c r="I94">
        <v>9274</v>
      </c>
    </row>
    <row r="95" spans="1:9" x14ac:dyDescent="0.3">
      <c r="A95" s="31">
        <v>46061</v>
      </c>
      <c r="B95" t="str">
        <v>Comments</v>
      </c>
      <c r="C95">
        <v>7</v>
      </c>
      <c r="E95"/>
    </row>
    <row r="96" spans="1:9" x14ac:dyDescent="0.3">
      <c r="A96" s="31">
        <v>46061</v>
      </c>
      <c r="B96" t="str">
        <v>Shares</v>
      </c>
      <c r="C96">
        <v>6</v>
      </c>
      <c r="E96"/>
    </row>
    <row r="97" spans="1:5" x14ac:dyDescent="0.3">
      <c r="A97" s="31">
        <v>46061</v>
      </c>
      <c r="B97" t="str">
        <v>Profile Visits</v>
      </c>
      <c r="C97">
        <v>65</v>
      </c>
      <c r="E97"/>
    </row>
    <row r="98" spans="1:5" x14ac:dyDescent="0.3">
      <c r="A98" s="31">
        <v>46061</v>
      </c>
      <c r="B98" t="str">
        <v>New Followers</v>
      </c>
      <c r="C98">
        <v>9</v>
      </c>
      <c r="E98"/>
    </row>
    <row r="99" spans="1:5" x14ac:dyDescent="0.3">
      <c r="A99" s="31">
        <v>46061</v>
      </c>
      <c r="B99" t="str">
        <v>Engagement</v>
      </c>
      <c r="C99">
        <v>77</v>
      </c>
      <c r="E99"/>
    </row>
    <row r="100" spans="1:5" x14ac:dyDescent="0.3">
      <c r="A100" s="31">
        <v>46061</v>
      </c>
      <c r="B100" t="str">
        <v>Engagement Rate</v>
      </c>
      <c r="C100">
        <v>7.3825503355704702E-2</v>
      </c>
      <c r="E100"/>
    </row>
    <row r="101" spans="1:5" x14ac:dyDescent="0.3">
      <c r="A101" s="31">
        <v>46061</v>
      </c>
      <c r="B101" t="str">
        <v>Brand Awareness</v>
      </c>
      <c r="C101">
        <v>74</v>
      </c>
      <c r="E101"/>
    </row>
    <row r="102" spans="1:5" x14ac:dyDescent="0.3">
      <c r="A102" s="31">
        <v>46062</v>
      </c>
      <c r="B102" t="str">
        <v>Views</v>
      </c>
      <c r="C102">
        <v>613</v>
      </c>
      <c r="E102"/>
    </row>
    <row r="103" spans="1:5" x14ac:dyDescent="0.3">
      <c r="A103" s="31">
        <v>46062</v>
      </c>
      <c r="B103" t="str">
        <v>Total Watch Time (s)</v>
      </c>
      <c r="C103">
        <v>12873</v>
      </c>
      <c r="E103"/>
    </row>
    <row r="104" spans="1:5" x14ac:dyDescent="0.3">
      <c r="A104" s="31">
        <v>46062</v>
      </c>
      <c r="B104" t="str">
        <v>Likes</v>
      </c>
      <c r="C104">
        <v>22</v>
      </c>
      <c r="E104"/>
    </row>
    <row r="105" spans="1:5" x14ac:dyDescent="0.3">
      <c r="A105" s="31">
        <v>46062</v>
      </c>
      <c r="B105" t="str">
        <v>Saves</v>
      </c>
      <c r="C105">
        <v>8</v>
      </c>
      <c r="E105"/>
    </row>
    <row r="106" spans="1:5" x14ac:dyDescent="0.3">
      <c r="A106" s="31">
        <v>46062</v>
      </c>
      <c r="B106" t="str">
        <v>Comments</v>
      </c>
      <c r="C106">
        <v>3</v>
      </c>
      <c r="E106"/>
    </row>
    <row r="107" spans="1:5" x14ac:dyDescent="0.3">
      <c r="A107" s="31">
        <v>46062</v>
      </c>
      <c r="B107" t="str">
        <v>Shares</v>
      </c>
      <c r="C107">
        <v>4</v>
      </c>
      <c r="E107"/>
    </row>
    <row r="108" spans="1:5" x14ac:dyDescent="0.3">
      <c r="A108" s="31">
        <v>46062</v>
      </c>
      <c r="B108" t="str">
        <v>Profile Visits</v>
      </c>
      <c r="C108">
        <v>44</v>
      </c>
      <c r="E108"/>
    </row>
    <row r="109" spans="1:5" x14ac:dyDescent="0.3">
      <c r="A109" s="31">
        <v>46062</v>
      </c>
      <c r="B109" t="str">
        <v>New Followers</v>
      </c>
      <c r="C109">
        <v>7</v>
      </c>
      <c r="E109"/>
    </row>
    <row r="110" spans="1:5" x14ac:dyDescent="0.3">
      <c r="A110" s="31">
        <v>46062</v>
      </c>
      <c r="B110" t="str">
        <v>Engagement</v>
      </c>
      <c r="C110">
        <v>37</v>
      </c>
      <c r="E110"/>
    </row>
    <row r="111" spans="1:5" x14ac:dyDescent="0.3">
      <c r="A111" s="31">
        <v>46062</v>
      </c>
      <c r="B111" t="str">
        <v>Engagement Rate</v>
      </c>
      <c r="C111">
        <v>6.0358890701468187E-2</v>
      </c>
      <c r="E111"/>
    </row>
    <row r="112" spans="1:5" x14ac:dyDescent="0.3">
      <c r="A112" s="31">
        <v>46062</v>
      </c>
      <c r="B112" t="str">
        <v>Brand Awareness</v>
      </c>
      <c r="C112">
        <v>51</v>
      </c>
      <c r="E112"/>
    </row>
    <row r="113" spans="1:5" x14ac:dyDescent="0.3">
      <c r="A113" s="31">
        <v>46063</v>
      </c>
      <c r="B113" t="str">
        <v>Views</v>
      </c>
      <c r="C113">
        <v>766</v>
      </c>
      <c r="E113"/>
    </row>
    <row r="114" spans="1:5" x14ac:dyDescent="0.3">
      <c r="A114" s="31">
        <v>46063</v>
      </c>
      <c r="B114" t="str">
        <v>Total Watch Time (s)</v>
      </c>
      <c r="C114">
        <v>23746</v>
      </c>
      <c r="E114"/>
    </row>
    <row r="115" spans="1:5" x14ac:dyDescent="0.3">
      <c r="A115" s="31">
        <v>46063</v>
      </c>
      <c r="B115" t="str">
        <v>Likes</v>
      </c>
      <c r="C115">
        <v>23</v>
      </c>
      <c r="E115"/>
    </row>
    <row r="116" spans="1:5" x14ac:dyDescent="0.3">
      <c r="A116" s="31">
        <v>46063</v>
      </c>
      <c r="B116" t="str">
        <v>Saves</v>
      </c>
      <c r="C116">
        <v>12</v>
      </c>
      <c r="E116"/>
    </row>
    <row r="117" spans="1:5" x14ac:dyDescent="0.3">
      <c r="A117" s="31">
        <v>46063</v>
      </c>
      <c r="B117" t="str">
        <v>Comments</v>
      </c>
      <c r="C117">
        <v>4</v>
      </c>
      <c r="E117"/>
    </row>
    <row r="118" spans="1:5" x14ac:dyDescent="0.3">
      <c r="A118" s="31">
        <v>46063</v>
      </c>
      <c r="B118" t="str">
        <v>Shares</v>
      </c>
      <c r="C118">
        <v>2</v>
      </c>
      <c r="E118"/>
    </row>
    <row r="119" spans="1:5" x14ac:dyDescent="0.3">
      <c r="A119" s="31">
        <v>46063</v>
      </c>
      <c r="B119" t="str">
        <v>Profile Visits</v>
      </c>
      <c r="C119">
        <v>34</v>
      </c>
      <c r="E119"/>
    </row>
    <row r="120" spans="1:5" x14ac:dyDescent="0.3">
      <c r="A120" s="31">
        <v>46063</v>
      </c>
      <c r="B120" t="str">
        <v>New Followers</v>
      </c>
      <c r="C120">
        <v>4</v>
      </c>
      <c r="E120"/>
    </row>
    <row r="121" spans="1:5" x14ac:dyDescent="0.3">
      <c r="A121" s="31">
        <v>46063</v>
      </c>
      <c r="B121" t="str">
        <v>Engagement</v>
      </c>
      <c r="C121">
        <v>41</v>
      </c>
      <c r="E121"/>
    </row>
    <row r="122" spans="1:5" x14ac:dyDescent="0.3">
      <c r="A122" s="31">
        <v>46063</v>
      </c>
      <c r="B122" t="str">
        <v>Engagement Rate</v>
      </c>
      <c r="C122">
        <v>5.3524804177545689E-2</v>
      </c>
      <c r="E122"/>
    </row>
    <row r="123" spans="1:5" x14ac:dyDescent="0.3">
      <c r="A123" s="31">
        <v>46063</v>
      </c>
      <c r="B123" t="str">
        <v>Brand Awareness</v>
      </c>
      <c r="C123">
        <v>38</v>
      </c>
      <c r="E123"/>
    </row>
    <row r="124" spans="1:5" x14ac:dyDescent="0.3">
      <c r="A124" s="31">
        <v>46064</v>
      </c>
      <c r="B124" t="str">
        <v>Views</v>
      </c>
      <c r="C124">
        <v>803</v>
      </c>
      <c r="E124"/>
    </row>
    <row r="125" spans="1:5" x14ac:dyDescent="0.3">
      <c r="A125" s="31">
        <v>46064</v>
      </c>
      <c r="B125" t="str">
        <v>Total Watch Time (s)</v>
      </c>
      <c r="C125">
        <v>22484</v>
      </c>
      <c r="E125"/>
    </row>
    <row r="126" spans="1:5" x14ac:dyDescent="0.3">
      <c r="A126" s="31">
        <v>46064</v>
      </c>
      <c r="B126" t="str">
        <v>Likes</v>
      </c>
      <c r="C126">
        <v>30</v>
      </c>
      <c r="E126"/>
    </row>
    <row r="127" spans="1:5" x14ac:dyDescent="0.3">
      <c r="A127" s="31">
        <v>46064</v>
      </c>
      <c r="B127" t="str">
        <v>Saves</v>
      </c>
      <c r="C127">
        <v>12</v>
      </c>
      <c r="E127"/>
    </row>
    <row r="128" spans="1:5" x14ac:dyDescent="0.3">
      <c r="A128" s="31">
        <v>46064</v>
      </c>
      <c r="B128" t="str">
        <v>Comments</v>
      </c>
      <c r="C128">
        <v>3</v>
      </c>
      <c r="E128"/>
    </row>
    <row r="129" spans="1:5" x14ac:dyDescent="0.3">
      <c r="A129" s="31">
        <v>46064</v>
      </c>
      <c r="B129" t="str">
        <v>Shares</v>
      </c>
      <c r="C129">
        <v>4</v>
      </c>
      <c r="E129"/>
    </row>
    <row r="130" spans="1:5" x14ac:dyDescent="0.3">
      <c r="A130" s="31">
        <v>46064</v>
      </c>
      <c r="B130" t="str">
        <v>Profile Visits</v>
      </c>
      <c r="C130">
        <v>53</v>
      </c>
      <c r="E130"/>
    </row>
    <row r="131" spans="1:5" x14ac:dyDescent="0.3">
      <c r="A131" s="31">
        <v>46064</v>
      </c>
      <c r="B131" t="str">
        <v>New Followers</v>
      </c>
      <c r="C131">
        <v>9</v>
      </c>
      <c r="E131"/>
    </row>
    <row r="132" spans="1:5" x14ac:dyDescent="0.3">
      <c r="A132" s="31">
        <v>46064</v>
      </c>
      <c r="B132" t="str">
        <v>Engagement</v>
      </c>
      <c r="C132">
        <v>49</v>
      </c>
      <c r="E132"/>
    </row>
    <row r="133" spans="1:5" x14ac:dyDescent="0.3">
      <c r="A133" s="31">
        <v>46064</v>
      </c>
      <c r="B133" t="str">
        <v>Engagement Rate</v>
      </c>
      <c r="C133">
        <v>6.1021170610211707E-2</v>
      </c>
      <c r="E133"/>
    </row>
    <row r="134" spans="1:5" x14ac:dyDescent="0.3">
      <c r="A134" s="31">
        <v>46064</v>
      </c>
      <c r="B134" t="str">
        <v>Brand Awareness</v>
      </c>
      <c r="C134">
        <v>62</v>
      </c>
      <c r="E134"/>
    </row>
    <row r="135" spans="1:5" x14ac:dyDescent="0.3">
      <c r="A135" s="31">
        <v>46065</v>
      </c>
      <c r="B135" t="str">
        <v>Views</v>
      </c>
      <c r="C135">
        <v>634</v>
      </c>
      <c r="E135"/>
    </row>
    <row r="136" spans="1:5" x14ac:dyDescent="0.3">
      <c r="A136" s="31">
        <v>46065</v>
      </c>
      <c r="B136" t="str">
        <v>Total Watch Time (s)</v>
      </c>
      <c r="C136">
        <v>15216</v>
      </c>
      <c r="E136"/>
    </row>
    <row r="137" spans="1:5" x14ac:dyDescent="0.3">
      <c r="A137" s="31">
        <v>46065</v>
      </c>
      <c r="B137" t="str">
        <v>Likes</v>
      </c>
      <c r="C137">
        <v>23</v>
      </c>
      <c r="E137"/>
    </row>
    <row r="138" spans="1:5" x14ac:dyDescent="0.3">
      <c r="A138" s="31">
        <v>46065</v>
      </c>
      <c r="B138" t="str">
        <v>Saves</v>
      </c>
      <c r="C138">
        <v>10</v>
      </c>
      <c r="E138"/>
    </row>
    <row r="139" spans="1:5" x14ac:dyDescent="0.3">
      <c r="A139" s="31">
        <v>46065</v>
      </c>
      <c r="B139" t="str">
        <v>Comments</v>
      </c>
      <c r="C139">
        <v>3</v>
      </c>
      <c r="E139"/>
    </row>
    <row r="140" spans="1:5" x14ac:dyDescent="0.3">
      <c r="A140" s="31">
        <v>46065</v>
      </c>
      <c r="B140" t="str">
        <v>Shares</v>
      </c>
      <c r="C140">
        <v>2</v>
      </c>
      <c r="E140"/>
    </row>
    <row r="141" spans="1:5" x14ac:dyDescent="0.3">
      <c r="A141" s="31">
        <v>46065</v>
      </c>
      <c r="B141" t="str">
        <v>Profile Visits</v>
      </c>
      <c r="C141">
        <v>27</v>
      </c>
      <c r="E141"/>
    </row>
    <row r="142" spans="1:5" x14ac:dyDescent="0.3">
      <c r="A142" s="31">
        <v>46065</v>
      </c>
      <c r="B142" t="str">
        <v>New Followers</v>
      </c>
      <c r="C142">
        <v>5</v>
      </c>
      <c r="E142"/>
    </row>
    <row r="143" spans="1:5" x14ac:dyDescent="0.3">
      <c r="A143" s="31">
        <v>46065</v>
      </c>
      <c r="B143" t="str">
        <v>Engagement</v>
      </c>
      <c r="C143">
        <v>38</v>
      </c>
      <c r="E143"/>
    </row>
    <row r="144" spans="1:5" x14ac:dyDescent="0.3">
      <c r="A144" s="31">
        <v>46065</v>
      </c>
      <c r="B144" t="str">
        <v>Engagement Rate</v>
      </c>
      <c r="C144">
        <v>5.993690851735016E-2</v>
      </c>
      <c r="E144"/>
    </row>
    <row r="145" spans="1:5" x14ac:dyDescent="0.3">
      <c r="A145" s="31">
        <v>46065</v>
      </c>
      <c r="B145" t="str">
        <v>Brand Awareness</v>
      </c>
      <c r="C145">
        <v>32</v>
      </c>
      <c r="E145"/>
    </row>
    <row r="146" spans="1:5" x14ac:dyDescent="0.3">
      <c r="A146" s="31">
        <v>46066</v>
      </c>
      <c r="B146" t="str">
        <v>Views</v>
      </c>
      <c r="C146">
        <v>1284</v>
      </c>
      <c r="E146"/>
    </row>
    <row r="147" spans="1:5" x14ac:dyDescent="0.3">
      <c r="A147" s="31">
        <v>46066</v>
      </c>
      <c r="B147" t="str">
        <v>Total Watch Time (s)</v>
      </c>
      <c r="C147">
        <v>33384</v>
      </c>
      <c r="E147"/>
    </row>
    <row r="148" spans="1:5" x14ac:dyDescent="0.3">
      <c r="A148" s="31">
        <v>46066</v>
      </c>
      <c r="B148" t="str">
        <v>Likes</v>
      </c>
      <c r="C148">
        <v>33</v>
      </c>
      <c r="E148"/>
    </row>
    <row r="149" spans="1:5" x14ac:dyDescent="0.3">
      <c r="A149" s="31">
        <v>46066</v>
      </c>
      <c r="B149" t="str">
        <v>Saves</v>
      </c>
      <c r="C149">
        <v>14</v>
      </c>
      <c r="E149"/>
    </row>
    <row r="150" spans="1:5" x14ac:dyDescent="0.3">
      <c r="A150" s="31">
        <v>46066</v>
      </c>
      <c r="B150" t="str">
        <v>Comments</v>
      </c>
      <c r="C150">
        <v>3</v>
      </c>
      <c r="E150"/>
    </row>
    <row r="151" spans="1:5" x14ac:dyDescent="0.3">
      <c r="A151" s="31">
        <v>46066</v>
      </c>
      <c r="B151" t="str">
        <v>Shares</v>
      </c>
      <c r="C151">
        <v>4</v>
      </c>
      <c r="E151"/>
    </row>
    <row r="152" spans="1:5" x14ac:dyDescent="0.3">
      <c r="A152" s="31">
        <v>46066</v>
      </c>
      <c r="B152" t="str">
        <v>Profile Visits</v>
      </c>
      <c r="C152">
        <v>101</v>
      </c>
      <c r="E152"/>
    </row>
    <row r="153" spans="1:5" x14ac:dyDescent="0.3">
      <c r="A153" s="31">
        <v>46066</v>
      </c>
      <c r="B153" t="str">
        <v>New Followers</v>
      </c>
      <c r="C153">
        <v>22</v>
      </c>
      <c r="E153"/>
    </row>
    <row r="154" spans="1:5" x14ac:dyDescent="0.3">
      <c r="A154" s="31">
        <v>46066</v>
      </c>
      <c r="B154" t="str">
        <v>Engagement</v>
      </c>
      <c r="C154">
        <v>54</v>
      </c>
      <c r="E154"/>
    </row>
    <row r="155" spans="1:5" x14ac:dyDescent="0.3">
      <c r="A155" s="31">
        <v>46066</v>
      </c>
      <c r="B155" t="str">
        <v>Engagement Rate</v>
      </c>
      <c r="C155">
        <v>4.2056074766355138E-2</v>
      </c>
      <c r="E155"/>
    </row>
    <row r="156" spans="1:5" x14ac:dyDescent="0.3">
      <c r="A156" s="31">
        <v>46066</v>
      </c>
      <c r="B156" t="str">
        <v>Brand Awareness</v>
      </c>
      <c r="C156">
        <v>123</v>
      </c>
      <c r="E156"/>
    </row>
    <row r="157" spans="1:5" x14ac:dyDescent="0.3">
      <c r="A157" s="31">
        <v>46067</v>
      </c>
      <c r="B157" t="str">
        <v>Views</v>
      </c>
      <c r="C157">
        <v>2242</v>
      </c>
      <c r="E157"/>
    </row>
    <row r="158" spans="1:5" x14ac:dyDescent="0.3">
      <c r="A158" s="31">
        <v>46067</v>
      </c>
      <c r="B158" t="str">
        <v>Total Watch Time (s)</v>
      </c>
      <c r="C158">
        <v>67260</v>
      </c>
      <c r="E158"/>
    </row>
    <row r="159" spans="1:5" x14ac:dyDescent="0.3">
      <c r="A159" s="31">
        <v>46067</v>
      </c>
      <c r="B159" t="str">
        <v>Likes</v>
      </c>
      <c r="C159">
        <v>59</v>
      </c>
      <c r="E159"/>
    </row>
    <row r="160" spans="1:5" x14ac:dyDescent="0.3">
      <c r="A160" s="31">
        <v>46067</v>
      </c>
      <c r="B160" t="str">
        <v>Saves</v>
      </c>
      <c r="C160">
        <v>23</v>
      </c>
      <c r="E160"/>
    </row>
    <row r="161" spans="1:5" x14ac:dyDescent="0.3">
      <c r="A161" s="31">
        <v>46067</v>
      </c>
      <c r="B161" t="str">
        <v>Comments</v>
      </c>
      <c r="C161">
        <v>7</v>
      </c>
      <c r="E161"/>
    </row>
    <row r="162" spans="1:5" x14ac:dyDescent="0.3">
      <c r="A162" s="31">
        <v>46067</v>
      </c>
      <c r="B162" t="str">
        <v>Shares</v>
      </c>
      <c r="C162">
        <v>8</v>
      </c>
      <c r="E162"/>
    </row>
    <row r="163" spans="1:5" x14ac:dyDescent="0.3">
      <c r="A163" s="31">
        <v>46067</v>
      </c>
      <c r="B163" t="str">
        <v>Profile Visits</v>
      </c>
      <c r="C163">
        <v>176</v>
      </c>
      <c r="E163"/>
    </row>
    <row r="164" spans="1:5" x14ac:dyDescent="0.3">
      <c r="A164" s="31">
        <v>46067</v>
      </c>
      <c r="B164" t="str">
        <v>New Followers</v>
      </c>
      <c r="C164">
        <v>21</v>
      </c>
      <c r="E164"/>
    </row>
    <row r="165" spans="1:5" x14ac:dyDescent="0.3">
      <c r="A165" s="31">
        <v>46067</v>
      </c>
      <c r="B165" t="str">
        <v>Engagement</v>
      </c>
      <c r="C165">
        <v>97</v>
      </c>
      <c r="E165"/>
    </row>
    <row r="166" spans="1:5" x14ac:dyDescent="0.3">
      <c r="A166" s="31">
        <v>46067</v>
      </c>
      <c r="B166" t="str">
        <v>Engagement Rate</v>
      </c>
      <c r="C166">
        <v>4.3264942016057094E-2</v>
      </c>
      <c r="E166"/>
    </row>
    <row r="167" spans="1:5" x14ac:dyDescent="0.3">
      <c r="A167" s="31">
        <v>46067</v>
      </c>
      <c r="B167" t="str">
        <v>Brand Awareness</v>
      </c>
      <c r="C167">
        <v>197</v>
      </c>
      <c r="E167"/>
    </row>
    <row r="168" spans="1:5" x14ac:dyDescent="0.3">
      <c r="A168" s="31">
        <v>46068</v>
      </c>
      <c r="B168" t="str">
        <v>Views</v>
      </c>
      <c r="C168">
        <v>2001</v>
      </c>
      <c r="E168"/>
    </row>
    <row r="169" spans="1:5" x14ac:dyDescent="0.3">
      <c r="A169" s="31">
        <v>46068</v>
      </c>
      <c r="B169" t="str">
        <v>Total Watch Time (s)</v>
      </c>
      <c r="C169">
        <v>54027</v>
      </c>
      <c r="E169"/>
    </row>
    <row r="170" spans="1:5" x14ac:dyDescent="0.3">
      <c r="A170" s="31">
        <v>46068</v>
      </c>
      <c r="B170" t="str">
        <v>Likes</v>
      </c>
      <c r="C170">
        <v>65</v>
      </c>
      <c r="E170"/>
    </row>
    <row r="171" spans="1:5" x14ac:dyDescent="0.3">
      <c r="A171" s="31">
        <v>46068</v>
      </c>
      <c r="B171" t="str">
        <v>Saves</v>
      </c>
      <c r="C171">
        <v>27</v>
      </c>
      <c r="E171"/>
    </row>
    <row r="172" spans="1:5" x14ac:dyDescent="0.3">
      <c r="A172" s="31">
        <v>46068</v>
      </c>
      <c r="B172" t="str">
        <v>Comments</v>
      </c>
      <c r="C172">
        <v>6</v>
      </c>
      <c r="E172"/>
    </row>
    <row r="173" spans="1:5" x14ac:dyDescent="0.3">
      <c r="A173" s="31">
        <v>46068</v>
      </c>
      <c r="B173" t="str">
        <v>Shares</v>
      </c>
      <c r="C173">
        <v>8</v>
      </c>
      <c r="E173"/>
    </row>
    <row r="174" spans="1:5" x14ac:dyDescent="0.3">
      <c r="A174" s="31">
        <v>46068</v>
      </c>
      <c r="B174" t="str">
        <v>Profile Visits</v>
      </c>
      <c r="C174">
        <v>99</v>
      </c>
      <c r="E174"/>
    </row>
    <row r="175" spans="1:5" x14ac:dyDescent="0.3">
      <c r="A175" s="31">
        <v>46068</v>
      </c>
      <c r="B175" t="str">
        <v>New Followers</v>
      </c>
      <c r="C175">
        <v>22</v>
      </c>
      <c r="E175"/>
    </row>
    <row r="176" spans="1:5" x14ac:dyDescent="0.3">
      <c r="A176" s="31">
        <v>46068</v>
      </c>
      <c r="B176" t="str">
        <v>Engagement</v>
      </c>
      <c r="C176">
        <v>106</v>
      </c>
      <c r="E176"/>
    </row>
    <row r="177" spans="1:5" x14ac:dyDescent="0.3">
      <c r="A177" s="31">
        <v>46068</v>
      </c>
      <c r="B177" t="str">
        <v>Engagement Rate</v>
      </c>
      <c r="C177">
        <v>5.297351324337831E-2</v>
      </c>
      <c r="E177"/>
    </row>
    <row r="178" spans="1:5" x14ac:dyDescent="0.3">
      <c r="A178" s="31">
        <v>46068</v>
      </c>
      <c r="B178" t="str">
        <v>Brand Awareness</v>
      </c>
      <c r="C178">
        <v>121</v>
      </c>
      <c r="E178"/>
    </row>
    <row r="179" spans="1:5" x14ac:dyDescent="0.3">
      <c r="A179" s="31">
        <v>46069</v>
      </c>
      <c r="B179" t="str">
        <v>Views</v>
      </c>
      <c r="C179">
        <v>2280</v>
      </c>
      <c r="E179"/>
    </row>
    <row r="180" spans="1:5" x14ac:dyDescent="0.3">
      <c r="A180" s="31">
        <v>46069</v>
      </c>
      <c r="B180" t="str">
        <v>Total Watch Time (s)</v>
      </c>
      <c r="C180">
        <v>75240</v>
      </c>
      <c r="E180"/>
    </row>
    <row r="181" spans="1:5" x14ac:dyDescent="0.3">
      <c r="A181" s="31">
        <v>46069</v>
      </c>
      <c r="B181" t="str">
        <v>Likes</v>
      </c>
      <c r="C181">
        <v>76</v>
      </c>
      <c r="E181"/>
    </row>
    <row r="182" spans="1:5" x14ac:dyDescent="0.3">
      <c r="A182" s="31">
        <v>46069</v>
      </c>
      <c r="B182" t="str">
        <v>Saves</v>
      </c>
      <c r="C182">
        <v>35</v>
      </c>
      <c r="E182"/>
    </row>
    <row r="183" spans="1:5" x14ac:dyDescent="0.3">
      <c r="A183" s="31">
        <v>46069</v>
      </c>
      <c r="B183" t="str">
        <v>Comments</v>
      </c>
      <c r="C183">
        <v>7</v>
      </c>
      <c r="E183"/>
    </row>
    <row r="184" spans="1:5" x14ac:dyDescent="0.3">
      <c r="A184" s="31">
        <v>46069</v>
      </c>
      <c r="B184" t="str">
        <v>Shares</v>
      </c>
      <c r="C184">
        <v>9</v>
      </c>
      <c r="E184"/>
    </row>
    <row r="185" spans="1:5" x14ac:dyDescent="0.3">
      <c r="A185" s="31">
        <v>46069</v>
      </c>
      <c r="B185" t="str">
        <v>Profile Visits</v>
      </c>
      <c r="C185">
        <v>169</v>
      </c>
      <c r="E185"/>
    </row>
    <row r="186" spans="1:5" x14ac:dyDescent="0.3">
      <c r="A186" s="31">
        <v>46069</v>
      </c>
      <c r="B186" t="str">
        <v>New Followers</v>
      </c>
      <c r="C186">
        <v>21</v>
      </c>
      <c r="E186"/>
    </row>
    <row r="187" spans="1:5" x14ac:dyDescent="0.3">
      <c r="A187" s="31">
        <v>46069</v>
      </c>
      <c r="B187" t="str">
        <v>Engagement</v>
      </c>
      <c r="C187">
        <v>127</v>
      </c>
    </row>
    <row r="188" spans="1:5" x14ac:dyDescent="0.3">
      <c r="A188" s="31">
        <v>46069</v>
      </c>
      <c r="B188" t="str">
        <v>Engagement Rate</v>
      </c>
      <c r="C188">
        <v>5.5701754385964912E-2</v>
      </c>
    </row>
    <row r="189" spans="1:5" x14ac:dyDescent="0.3">
      <c r="A189" s="31">
        <v>46069</v>
      </c>
      <c r="B189" t="str">
        <v>Brand Awareness</v>
      </c>
      <c r="C189">
        <v>190</v>
      </c>
    </row>
    <row r="190" spans="1:5" x14ac:dyDescent="0.3">
      <c r="A190" s="31">
        <v>46070</v>
      </c>
      <c r="B190" t="str">
        <v>Views</v>
      </c>
      <c r="C190">
        <v>2083</v>
      </c>
    </row>
    <row r="191" spans="1:5" x14ac:dyDescent="0.3">
      <c r="A191" s="31">
        <v>46070</v>
      </c>
      <c r="B191" t="str">
        <v>Total Watch Time (s)</v>
      </c>
      <c r="C191">
        <v>70822</v>
      </c>
    </row>
    <row r="192" spans="1:5" x14ac:dyDescent="0.3">
      <c r="A192" s="31">
        <v>46070</v>
      </c>
      <c r="B192" t="str">
        <v>Likes</v>
      </c>
      <c r="C192">
        <v>55</v>
      </c>
    </row>
    <row r="193" spans="1:3" x14ac:dyDescent="0.3">
      <c r="A193" s="31">
        <v>46070</v>
      </c>
      <c r="B193" t="str">
        <v>Saves</v>
      </c>
      <c r="C193">
        <v>25</v>
      </c>
    </row>
    <row r="194" spans="1:3" x14ac:dyDescent="0.3">
      <c r="A194" s="31">
        <v>46070</v>
      </c>
      <c r="B194" t="str">
        <v>Comments</v>
      </c>
      <c r="C194">
        <v>9</v>
      </c>
    </row>
    <row r="195" spans="1:3" x14ac:dyDescent="0.3">
      <c r="A195" s="31">
        <v>46070</v>
      </c>
      <c r="B195" t="str">
        <v>Shares</v>
      </c>
      <c r="C195">
        <v>6</v>
      </c>
    </row>
    <row r="196" spans="1:3" x14ac:dyDescent="0.3">
      <c r="A196" s="31">
        <v>46070</v>
      </c>
      <c r="B196" t="str">
        <v>Profile Visits</v>
      </c>
      <c r="C196">
        <v>147</v>
      </c>
    </row>
    <row r="197" spans="1:3" x14ac:dyDescent="0.3">
      <c r="A197" s="31">
        <v>46070</v>
      </c>
      <c r="B197" t="str">
        <v>New Followers</v>
      </c>
      <c r="C197">
        <v>28</v>
      </c>
    </row>
    <row r="198" spans="1:3" x14ac:dyDescent="0.3">
      <c r="A198" s="31">
        <v>46070</v>
      </c>
      <c r="B198" t="str">
        <v>Engagement</v>
      </c>
      <c r="C198">
        <v>95</v>
      </c>
    </row>
    <row r="199" spans="1:3" x14ac:dyDescent="0.3">
      <c r="A199" s="31">
        <v>46070</v>
      </c>
      <c r="B199" t="str">
        <v>Engagement Rate</v>
      </c>
      <c r="C199">
        <v>4.5607297167546808E-2</v>
      </c>
    </row>
    <row r="200" spans="1:3" x14ac:dyDescent="0.3">
      <c r="A200" s="31">
        <v>46070</v>
      </c>
      <c r="B200" t="str">
        <v>Brand Awareness</v>
      </c>
      <c r="C200">
        <v>175</v>
      </c>
    </row>
    <row r="201" spans="1:3" x14ac:dyDescent="0.3">
      <c r="A201" s="31">
        <v>46071</v>
      </c>
      <c r="B201" t="str">
        <v>Views</v>
      </c>
      <c r="C201">
        <v>2302</v>
      </c>
    </row>
    <row r="202" spans="1:3" x14ac:dyDescent="0.3">
      <c r="A202" s="31">
        <v>46071</v>
      </c>
      <c r="B202" t="str">
        <v>Total Watch Time (s)</v>
      </c>
      <c r="C202">
        <v>71362</v>
      </c>
    </row>
    <row r="203" spans="1:3" x14ac:dyDescent="0.3">
      <c r="A203" s="31">
        <v>46071</v>
      </c>
      <c r="B203" t="str">
        <v>Likes</v>
      </c>
      <c r="C203">
        <v>90</v>
      </c>
    </row>
    <row r="204" spans="1:3" x14ac:dyDescent="0.3">
      <c r="A204" s="31">
        <v>46071</v>
      </c>
      <c r="B204" t="str">
        <v>Saves</v>
      </c>
      <c r="C204">
        <v>30</v>
      </c>
    </row>
    <row r="205" spans="1:3" x14ac:dyDescent="0.3">
      <c r="A205" s="31">
        <v>46071</v>
      </c>
      <c r="B205" t="str">
        <v>Comments</v>
      </c>
      <c r="C205">
        <v>7</v>
      </c>
    </row>
    <row r="206" spans="1:3" x14ac:dyDescent="0.3">
      <c r="A206" s="31">
        <v>46071</v>
      </c>
      <c r="B206" t="str">
        <v>Shares</v>
      </c>
      <c r="C206">
        <v>13</v>
      </c>
    </row>
    <row r="207" spans="1:3" x14ac:dyDescent="0.3">
      <c r="A207" s="31">
        <v>46071</v>
      </c>
      <c r="B207" t="str">
        <v>Profile Visits</v>
      </c>
      <c r="C207">
        <v>142</v>
      </c>
    </row>
    <row r="208" spans="1:3" x14ac:dyDescent="0.3">
      <c r="A208" s="31">
        <v>46071</v>
      </c>
      <c r="B208" t="str">
        <v>New Followers</v>
      </c>
      <c r="C208">
        <v>25</v>
      </c>
    </row>
    <row r="209" spans="1:3" x14ac:dyDescent="0.3">
      <c r="A209" s="31">
        <v>46071</v>
      </c>
      <c r="B209" t="str">
        <v>Engagement</v>
      </c>
      <c r="C209">
        <v>140</v>
      </c>
    </row>
    <row r="210" spans="1:3" x14ac:dyDescent="0.3">
      <c r="A210" s="31">
        <v>46071</v>
      </c>
      <c r="B210" t="str">
        <v>Engagement Rate</v>
      </c>
      <c r="C210">
        <v>6.0816681146828845E-2</v>
      </c>
    </row>
    <row r="211" spans="1:3" x14ac:dyDescent="0.3">
      <c r="A211" s="31">
        <v>46071</v>
      </c>
      <c r="B211" t="str">
        <v>Brand Awareness</v>
      </c>
      <c r="C211">
        <v>167</v>
      </c>
    </row>
    <row r="212" spans="1:3" x14ac:dyDescent="0.3">
      <c r="A212" s="31">
        <v>46072</v>
      </c>
      <c r="B212" t="str">
        <v>Views</v>
      </c>
      <c r="C212">
        <v>1970</v>
      </c>
    </row>
    <row r="213" spans="1:3" x14ac:dyDescent="0.3">
      <c r="A213" s="31">
        <v>46072</v>
      </c>
      <c r="B213" t="str">
        <v>Total Watch Time (s)</v>
      </c>
      <c r="C213">
        <v>43340</v>
      </c>
    </row>
    <row r="214" spans="1:3" x14ac:dyDescent="0.3">
      <c r="A214" s="31">
        <v>46072</v>
      </c>
      <c r="B214" t="str">
        <v>Likes</v>
      </c>
      <c r="C214">
        <v>68</v>
      </c>
    </row>
    <row r="215" spans="1:3" x14ac:dyDescent="0.3">
      <c r="A215" s="31">
        <v>46072</v>
      </c>
      <c r="B215" t="str">
        <v>Saves</v>
      </c>
      <c r="C215">
        <v>29</v>
      </c>
    </row>
    <row r="216" spans="1:3" x14ac:dyDescent="0.3">
      <c r="A216" s="31">
        <v>46072</v>
      </c>
      <c r="B216" t="str">
        <v>Comments</v>
      </c>
      <c r="C216">
        <v>9</v>
      </c>
    </row>
    <row r="217" spans="1:3" x14ac:dyDescent="0.3">
      <c r="A217" s="31">
        <v>46072</v>
      </c>
      <c r="B217" t="str">
        <v>Shares</v>
      </c>
      <c r="C217">
        <v>11</v>
      </c>
    </row>
    <row r="218" spans="1:3" x14ac:dyDescent="0.3">
      <c r="A218" s="31">
        <v>46072</v>
      </c>
      <c r="B218" t="str">
        <v>Profile Visits</v>
      </c>
      <c r="C218">
        <v>81</v>
      </c>
    </row>
    <row r="219" spans="1:3" x14ac:dyDescent="0.3">
      <c r="A219" s="31">
        <v>46072</v>
      </c>
      <c r="B219" t="str">
        <v>New Followers</v>
      </c>
      <c r="C219">
        <v>22</v>
      </c>
    </row>
    <row r="220" spans="1:3" x14ac:dyDescent="0.3">
      <c r="A220" s="31">
        <v>46072</v>
      </c>
      <c r="B220" t="str">
        <v>Engagement</v>
      </c>
      <c r="C220">
        <v>117</v>
      </c>
    </row>
    <row r="221" spans="1:3" x14ac:dyDescent="0.3">
      <c r="A221" s="31">
        <v>46072</v>
      </c>
      <c r="B221" t="str">
        <v>Engagement Rate</v>
      </c>
      <c r="C221">
        <v>5.9390862944162438E-2</v>
      </c>
    </row>
    <row r="222" spans="1:3" x14ac:dyDescent="0.3">
      <c r="A222" s="31">
        <v>46072</v>
      </c>
      <c r="B222" t="str">
        <v>Brand Awareness</v>
      </c>
      <c r="C222">
        <v>103</v>
      </c>
    </row>
    <row r="223" spans="1:3" x14ac:dyDescent="0.3">
      <c r="A223" s="31">
        <v>46073</v>
      </c>
      <c r="B223" t="str">
        <v>Views</v>
      </c>
      <c r="C223">
        <v>1600</v>
      </c>
    </row>
    <row r="224" spans="1:3" x14ac:dyDescent="0.3">
      <c r="A224" s="31">
        <v>46073</v>
      </c>
      <c r="B224" t="str">
        <v>Total Watch Time (s)</v>
      </c>
      <c r="C224">
        <v>41600</v>
      </c>
    </row>
    <row r="225" spans="1:3" x14ac:dyDescent="0.3">
      <c r="A225" s="31">
        <v>46073</v>
      </c>
      <c r="B225" t="str">
        <v>Likes</v>
      </c>
      <c r="C225">
        <v>58</v>
      </c>
    </row>
    <row r="226" spans="1:3" x14ac:dyDescent="0.3">
      <c r="A226" s="31">
        <v>46073</v>
      </c>
      <c r="B226" t="str">
        <v>Saves</v>
      </c>
      <c r="C226">
        <v>25</v>
      </c>
    </row>
    <row r="227" spans="1:3" x14ac:dyDescent="0.3">
      <c r="A227" s="31">
        <v>46073</v>
      </c>
      <c r="B227" t="str">
        <v>Comments</v>
      </c>
      <c r="C227">
        <v>6</v>
      </c>
    </row>
    <row r="228" spans="1:3" x14ac:dyDescent="0.3">
      <c r="A228" s="31">
        <v>46073</v>
      </c>
      <c r="B228" t="str">
        <v>Shares</v>
      </c>
      <c r="C228">
        <v>6</v>
      </c>
    </row>
    <row r="229" spans="1:3" x14ac:dyDescent="0.3">
      <c r="A229" s="31">
        <v>46073</v>
      </c>
      <c r="B229" t="str">
        <v>Profile Visits</v>
      </c>
      <c r="C229">
        <v>71</v>
      </c>
    </row>
    <row r="230" spans="1:3" x14ac:dyDescent="0.3">
      <c r="A230" s="31">
        <v>46073</v>
      </c>
      <c r="B230" t="str">
        <v>New Followers</v>
      </c>
      <c r="C230">
        <v>15</v>
      </c>
    </row>
    <row r="231" spans="1:3" x14ac:dyDescent="0.3">
      <c r="A231" s="31">
        <v>46073</v>
      </c>
      <c r="B231" t="str">
        <v>Engagement</v>
      </c>
      <c r="C231">
        <v>95</v>
      </c>
    </row>
    <row r="232" spans="1:3" x14ac:dyDescent="0.3">
      <c r="A232" s="31">
        <v>46073</v>
      </c>
      <c r="B232" t="str">
        <v>Engagement Rate</v>
      </c>
      <c r="C232">
        <v>5.9374999999999997E-2</v>
      </c>
    </row>
    <row r="233" spans="1:3" x14ac:dyDescent="0.3">
      <c r="A233" s="31">
        <v>46073</v>
      </c>
      <c r="B233" t="str">
        <v>Brand Awareness</v>
      </c>
      <c r="C233">
        <v>86</v>
      </c>
    </row>
    <row r="234" spans="1:3" x14ac:dyDescent="0.3">
      <c r="A234" s="31">
        <v>46074</v>
      </c>
      <c r="B234" t="str">
        <v>Views</v>
      </c>
      <c r="C234">
        <v>739</v>
      </c>
    </row>
    <row r="235" spans="1:3" x14ac:dyDescent="0.3">
      <c r="A235" s="31">
        <v>46074</v>
      </c>
      <c r="B235" t="str">
        <v>Total Watch Time (s)</v>
      </c>
      <c r="C235">
        <v>19953</v>
      </c>
    </row>
    <row r="236" spans="1:3" x14ac:dyDescent="0.3">
      <c r="A236" s="31">
        <v>46074</v>
      </c>
      <c r="B236" t="str">
        <v>Likes</v>
      </c>
      <c r="C236">
        <v>24</v>
      </c>
    </row>
    <row r="237" spans="1:3" x14ac:dyDescent="0.3">
      <c r="A237" s="31">
        <v>46074</v>
      </c>
      <c r="B237" t="str">
        <v>Saves</v>
      </c>
      <c r="C237">
        <v>9</v>
      </c>
    </row>
    <row r="238" spans="1:3" x14ac:dyDescent="0.3">
      <c r="A238" s="31">
        <v>46074</v>
      </c>
      <c r="B238" t="str">
        <v>Comments</v>
      </c>
      <c r="C238">
        <v>2</v>
      </c>
    </row>
    <row r="239" spans="1:3" x14ac:dyDescent="0.3">
      <c r="A239" s="31">
        <v>46074</v>
      </c>
      <c r="B239" t="str">
        <v>Shares</v>
      </c>
      <c r="C239">
        <v>4</v>
      </c>
    </row>
    <row r="240" spans="1:3" x14ac:dyDescent="0.3">
      <c r="A240" s="31">
        <v>46074</v>
      </c>
      <c r="B240" t="str">
        <v>Profile Visits</v>
      </c>
      <c r="C240">
        <v>56</v>
      </c>
    </row>
    <row r="241" spans="1:3" x14ac:dyDescent="0.3">
      <c r="A241" s="31">
        <v>46074</v>
      </c>
      <c r="B241" t="str">
        <v>New Followers</v>
      </c>
      <c r="C241">
        <v>9</v>
      </c>
    </row>
    <row r="242" spans="1:3" x14ac:dyDescent="0.3">
      <c r="A242" s="31">
        <v>46074</v>
      </c>
      <c r="B242" t="str">
        <v>Engagement</v>
      </c>
      <c r="C242">
        <v>39</v>
      </c>
    </row>
    <row r="243" spans="1:3" x14ac:dyDescent="0.3">
      <c r="A243" s="31">
        <v>46074</v>
      </c>
      <c r="B243" t="str">
        <v>Engagement Rate</v>
      </c>
      <c r="C243">
        <v>5.2774018944519621E-2</v>
      </c>
    </row>
    <row r="244" spans="1:3" x14ac:dyDescent="0.3">
      <c r="A244" s="31">
        <v>46074</v>
      </c>
      <c r="B244" t="str">
        <v>Brand Awareness</v>
      </c>
      <c r="C244">
        <v>65</v>
      </c>
    </row>
    <row r="245" spans="1:3" x14ac:dyDescent="0.3">
      <c r="A245" s="31">
        <v>46075</v>
      </c>
      <c r="B245" t="str">
        <v>Views</v>
      </c>
      <c r="C245">
        <v>770</v>
      </c>
    </row>
    <row r="246" spans="1:3" x14ac:dyDescent="0.3">
      <c r="A246" s="31">
        <v>46075</v>
      </c>
      <c r="B246" t="str">
        <v>Total Watch Time (s)</v>
      </c>
      <c r="C246">
        <v>13860</v>
      </c>
    </row>
    <row r="247" spans="1:3" x14ac:dyDescent="0.3">
      <c r="A247" s="31">
        <v>46075</v>
      </c>
      <c r="B247" t="str">
        <v>Likes</v>
      </c>
      <c r="C247">
        <v>20</v>
      </c>
    </row>
    <row r="248" spans="1:3" x14ac:dyDescent="0.3">
      <c r="A248" s="31">
        <v>46075</v>
      </c>
      <c r="B248" t="str">
        <v>Saves</v>
      </c>
      <c r="C248">
        <v>11</v>
      </c>
    </row>
    <row r="249" spans="1:3" x14ac:dyDescent="0.3">
      <c r="A249" s="31">
        <v>46075</v>
      </c>
      <c r="B249" t="str">
        <v>Comments</v>
      </c>
      <c r="C249">
        <v>3</v>
      </c>
    </row>
    <row r="250" spans="1:3" x14ac:dyDescent="0.3">
      <c r="A250" s="31">
        <v>46075</v>
      </c>
      <c r="B250" t="str">
        <v>Shares</v>
      </c>
      <c r="C250">
        <v>3</v>
      </c>
    </row>
    <row r="251" spans="1:3" x14ac:dyDescent="0.3">
      <c r="A251" s="31">
        <v>46075</v>
      </c>
      <c r="B251" t="str">
        <v>Profile Visits</v>
      </c>
      <c r="C251">
        <v>40</v>
      </c>
    </row>
    <row r="252" spans="1:3" x14ac:dyDescent="0.3">
      <c r="A252" s="31">
        <v>46075</v>
      </c>
      <c r="B252" t="str">
        <v>New Followers</v>
      </c>
      <c r="C252">
        <v>8</v>
      </c>
    </row>
    <row r="253" spans="1:3" x14ac:dyDescent="0.3">
      <c r="A253" s="31">
        <v>46075</v>
      </c>
      <c r="B253" t="str">
        <v>Engagement</v>
      </c>
      <c r="C253">
        <v>37</v>
      </c>
    </row>
    <row r="254" spans="1:3" x14ac:dyDescent="0.3">
      <c r="A254" s="31">
        <v>46075</v>
      </c>
      <c r="B254" t="str">
        <v>Engagement Rate</v>
      </c>
      <c r="C254">
        <v>4.8051948051948054E-2</v>
      </c>
    </row>
    <row r="255" spans="1:3" x14ac:dyDescent="0.3">
      <c r="A255" s="31">
        <v>46075</v>
      </c>
      <c r="B255" t="str">
        <v>Brand Awareness</v>
      </c>
      <c r="C255">
        <v>48</v>
      </c>
    </row>
    <row r="256" spans="1:3" x14ac:dyDescent="0.3">
      <c r="A256" s="31">
        <v>46076</v>
      </c>
      <c r="B256" t="str">
        <v>Views</v>
      </c>
      <c r="C256">
        <v>746</v>
      </c>
    </row>
    <row r="257" spans="1:3" x14ac:dyDescent="0.3">
      <c r="A257" s="31">
        <v>46076</v>
      </c>
      <c r="B257" t="str">
        <v>Total Watch Time (s)</v>
      </c>
      <c r="C257">
        <v>14174</v>
      </c>
    </row>
    <row r="258" spans="1:3" x14ac:dyDescent="0.3">
      <c r="A258" s="31">
        <v>46076</v>
      </c>
      <c r="B258" t="str">
        <v>Likes</v>
      </c>
      <c r="C258">
        <v>19</v>
      </c>
    </row>
    <row r="259" spans="1:3" x14ac:dyDescent="0.3">
      <c r="A259" s="31">
        <v>46076</v>
      </c>
      <c r="B259" t="str">
        <v>Saves</v>
      </c>
      <c r="C259">
        <v>8</v>
      </c>
    </row>
    <row r="260" spans="1:3" x14ac:dyDescent="0.3">
      <c r="A260" s="31">
        <v>46076</v>
      </c>
      <c r="B260" t="str">
        <v>Comments</v>
      </c>
      <c r="C260">
        <v>3</v>
      </c>
    </row>
    <row r="261" spans="1:3" x14ac:dyDescent="0.3">
      <c r="A261" s="31">
        <v>46076</v>
      </c>
      <c r="B261" t="str">
        <v>Shares</v>
      </c>
      <c r="C261">
        <v>2</v>
      </c>
    </row>
    <row r="262" spans="1:3" x14ac:dyDescent="0.3">
      <c r="A262" s="31">
        <v>46076</v>
      </c>
      <c r="B262" t="str">
        <v>Profile Visits</v>
      </c>
      <c r="C262">
        <v>57</v>
      </c>
    </row>
    <row r="263" spans="1:3" x14ac:dyDescent="0.3">
      <c r="A263" s="31">
        <v>46076</v>
      </c>
      <c r="B263" t="str">
        <v>New Followers</v>
      </c>
      <c r="C263">
        <v>6</v>
      </c>
    </row>
    <row r="264" spans="1:3" x14ac:dyDescent="0.3">
      <c r="A264" s="31">
        <v>46076</v>
      </c>
      <c r="B264" t="str">
        <v>Engagement</v>
      </c>
      <c r="C264">
        <v>32</v>
      </c>
    </row>
    <row r="265" spans="1:3" x14ac:dyDescent="0.3">
      <c r="A265" s="31">
        <v>46076</v>
      </c>
      <c r="B265" t="str">
        <v>Engagement Rate</v>
      </c>
      <c r="C265">
        <v>4.2895442359249331E-2</v>
      </c>
    </row>
    <row r="266" spans="1:3" x14ac:dyDescent="0.3">
      <c r="A266" s="31">
        <v>46076</v>
      </c>
      <c r="B266" t="str">
        <v>Brand Awareness</v>
      </c>
      <c r="C266">
        <v>63</v>
      </c>
    </row>
    <row r="267" spans="1:3" x14ac:dyDescent="0.3">
      <c r="A267" s="31">
        <v>46077</v>
      </c>
      <c r="B267" t="str">
        <v>Views</v>
      </c>
      <c r="C267">
        <v>773</v>
      </c>
    </row>
    <row r="268" spans="1:3" x14ac:dyDescent="0.3">
      <c r="A268" s="31">
        <v>46077</v>
      </c>
      <c r="B268" t="str">
        <v>Total Watch Time (s)</v>
      </c>
      <c r="C268">
        <v>16233</v>
      </c>
    </row>
    <row r="269" spans="1:3" x14ac:dyDescent="0.3">
      <c r="A269" s="31">
        <v>46077</v>
      </c>
      <c r="B269" t="str">
        <v>Likes</v>
      </c>
      <c r="C269">
        <v>25</v>
      </c>
    </row>
    <row r="270" spans="1:3" x14ac:dyDescent="0.3">
      <c r="A270" s="31">
        <v>46077</v>
      </c>
      <c r="B270" t="str">
        <v>Saves</v>
      </c>
      <c r="C270">
        <v>9</v>
      </c>
    </row>
    <row r="271" spans="1:3" x14ac:dyDescent="0.3">
      <c r="A271" s="31">
        <v>46077</v>
      </c>
      <c r="B271" t="str">
        <v>Comments</v>
      </c>
      <c r="C271">
        <v>4</v>
      </c>
    </row>
    <row r="272" spans="1:3" x14ac:dyDescent="0.3">
      <c r="A272" s="31">
        <v>46077</v>
      </c>
      <c r="B272" t="str">
        <v>Shares</v>
      </c>
      <c r="C272">
        <v>3</v>
      </c>
    </row>
    <row r="273" spans="1:3" x14ac:dyDescent="0.3">
      <c r="A273" s="31">
        <v>46077</v>
      </c>
      <c r="B273" t="str">
        <v>Profile Visits</v>
      </c>
      <c r="C273">
        <v>52</v>
      </c>
    </row>
    <row r="274" spans="1:3" x14ac:dyDescent="0.3">
      <c r="A274" s="31">
        <v>46077</v>
      </c>
      <c r="B274" t="str">
        <v>New Followers</v>
      </c>
      <c r="C274">
        <v>10</v>
      </c>
    </row>
    <row r="275" spans="1:3" x14ac:dyDescent="0.3">
      <c r="A275" s="31">
        <v>46077</v>
      </c>
      <c r="B275" t="str">
        <v>Engagement</v>
      </c>
      <c r="C275">
        <v>41</v>
      </c>
    </row>
    <row r="276" spans="1:3" x14ac:dyDescent="0.3">
      <c r="A276" s="31">
        <v>46077</v>
      </c>
      <c r="B276" t="str">
        <v>Engagement Rate</v>
      </c>
      <c r="C276">
        <v>5.3040103492884863E-2</v>
      </c>
    </row>
    <row r="277" spans="1:3" x14ac:dyDescent="0.3">
      <c r="A277" s="31">
        <v>46077</v>
      </c>
      <c r="B277" t="str">
        <v>Brand Awareness</v>
      </c>
      <c r="C277">
        <v>62</v>
      </c>
    </row>
    <row r="278" spans="1:3" x14ac:dyDescent="0.3">
      <c r="A278" s="31">
        <v>46078</v>
      </c>
      <c r="B278" t="str">
        <v>Views</v>
      </c>
      <c r="C278">
        <v>682</v>
      </c>
    </row>
    <row r="279" spans="1:3" x14ac:dyDescent="0.3">
      <c r="A279" s="31">
        <v>46078</v>
      </c>
      <c r="B279" t="str">
        <v>Total Watch Time (s)</v>
      </c>
      <c r="C279">
        <v>12958</v>
      </c>
    </row>
    <row r="280" spans="1:3" x14ac:dyDescent="0.3">
      <c r="A280" s="31">
        <v>46078</v>
      </c>
      <c r="B280" t="str">
        <v>Likes</v>
      </c>
      <c r="C280">
        <v>18</v>
      </c>
    </row>
    <row r="281" spans="1:3" x14ac:dyDescent="0.3">
      <c r="A281" s="31">
        <v>46078</v>
      </c>
      <c r="B281" t="str">
        <v>Saves</v>
      </c>
      <c r="C281">
        <v>8</v>
      </c>
    </row>
    <row r="282" spans="1:3" x14ac:dyDescent="0.3">
      <c r="A282" s="31">
        <v>46078</v>
      </c>
      <c r="B282" t="str">
        <v>Comments</v>
      </c>
      <c r="C282">
        <v>2</v>
      </c>
    </row>
    <row r="283" spans="1:3" x14ac:dyDescent="0.3">
      <c r="A283" s="31">
        <v>46078</v>
      </c>
      <c r="B283" t="str">
        <v>Shares</v>
      </c>
      <c r="C283">
        <v>3</v>
      </c>
    </row>
    <row r="284" spans="1:3" x14ac:dyDescent="0.3">
      <c r="A284" s="31">
        <v>46078</v>
      </c>
      <c r="B284" t="str">
        <v>Profile Visits</v>
      </c>
      <c r="C284">
        <v>53</v>
      </c>
    </row>
    <row r="285" spans="1:3" x14ac:dyDescent="0.3">
      <c r="A285" s="31">
        <v>46078</v>
      </c>
      <c r="B285" t="str">
        <v>New Followers</v>
      </c>
      <c r="C285">
        <v>8</v>
      </c>
    </row>
    <row r="286" spans="1:3" x14ac:dyDescent="0.3">
      <c r="A286" s="31">
        <v>46078</v>
      </c>
      <c r="B286" t="str">
        <v>Engagement</v>
      </c>
      <c r="C286">
        <v>31</v>
      </c>
    </row>
    <row r="287" spans="1:3" x14ac:dyDescent="0.3">
      <c r="A287" s="31">
        <v>46078</v>
      </c>
      <c r="B287" t="str">
        <v>Engagement Rate</v>
      </c>
      <c r="C287">
        <v>4.5454545454545456E-2</v>
      </c>
    </row>
    <row r="288" spans="1:3" x14ac:dyDescent="0.3">
      <c r="A288" s="31">
        <v>46078</v>
      </c>
      <c r="B288" t="str">
        <v>Brand Awareness</v>
      </c>
      <c r="C288">
        <v>61</v>
      </c>
    </row>
    <row r="289" spans="1:3" x14ac:dyDescent="0.3">
      <c r="A289" s="31">
        <v>46079</v>
      </c>
      <c r="B289" t="str">
        <v>Views</v>
      </c>
      <c r="C289">
        <v>881</v>
      </c>
    </row>
    <row r="290" spans="1:3" x14ac:dyDescent="0.3">
      <c r="A290" s="31">
        <v>46079</v>
      </c>
      <c r="B290" t="str">
        <v>Total Watch Time (s)</v>
      </c>
      <c r="C290">
        <v>29954</v>
      </c>
    </row>
    <row r="291" spans="1:3" x14ac:dyDescent="0.3">
      <c r="A291" s="31">
        <v>46079</v>
      </c>
      <c r="B291" t="str">
        <v>Likes</v>
      </c>
      <c r="C291">
        <v>22</v>
      </c>
    </row>
    <row r="292" spans="1:3" x14ac:dyDescent="0.3">
      <c r="A292" s="31">
        <v>46079</v>
      </c>
      <c r="B292" t="str">
        <v>Saves</v>
      </c>
      <c r="C292">
        <v>8</v>
      </c>
    </row>
    <row r="293" spans="1:3" x14ac:dyDescent="0.3">
      <c r="A293" s="31">
        <v>46079</v>
      </c>
      <c r="B293" t="str">
        <v>Comments</v>
      </c>
      <c r="C293">
        <v>2</v>
      </c>
    </row>
    <row r="294" spans="1:3" x14ac:dyDescent="0.3">
      <c r="A294" s="31">
        <v>46079</v>
      </c>
      <c r="B294" t="str">
        <v>Shares</v>
      </c>
      <c r="C294">
        <v>3</v>
      </c>
    </row>
    <row r="295" spans="1:3" x14ac:dyDescent="0.3">
      <c r="A295" s="31">
        <v>46079</v>
      </c>
      <c r="B295" t="str">
        <v>Profile Visits</v>
      </c>
      <c r="C295">
        <v>59</v>
      </c>
    </row>
    <row r="296" spans="1:3" x14ac:dyDescent="0.3">
      <c r="A296" s="31">
        <v>46079</v>
      </c>
      <c r="B296" t="str">
        <v>New Followers</v>
      </c>
      <c r="C296">
        <v>10</v>
      </c>
    </row>
    <row r="297" spans="1:3" x14ac:dyDescent="0.3">
      <c r="A297" s="31">
        <v>46079</v>
      </c>
      <c r="B297" t="str">
        <v>Engagement</v>
      </c>
      <c r="C297">
        <v>35</v>
      </c>
    </row>
    <row r="298" spans="1:3" x14ac:dyDescent="0.3">
      <c r="A298" s="31">
        <v>46079</v>
      </c>
      <c r="B298" t="str">
        <v>Engagement Rate</v>
      </c>
      <c r="C298">
        <v>3.9727582292849034E-2</v>
      </c>
    </row>
    <row r="299" spans="1:3" x14ac:dyDescent="0.3">
      <c r="A299" s="31">
        <v>46079</v>
      </c>
      <c r="B299" t="str">
        <v>Brand Awareness</v>
      </c>
      <c r="C299">
        <v>69</v>
      </c>
    </row>
    <row r="300" spans="1:3" x14ac:dyDescent="0.3">
      <c r="A300" s="31">
        <v>46080</v>
      </c>
      <c r="B300" t="str">
        <v>Views</v>
      </c>
      <c r="C300">
        <v>663</v>
      </c>
    </row>
    <row r="301" spans="1:3" x14ac:dyDescent="0.3">
      <c r="A301" s="31">
        <v>46080</v>
      </c>
      <c r="B301" t="str">
        <v>Total Watch Time (s)</v>
      </c>
      <c r="C301">
        <v>16575</v>
      </c>
    </row>
    <row r="302" spans="1:3" x14ac:dyDescent="0.3">
      <c r="A302" s="31">
        <v>46080</v>
      </c>
      <c r="B302" t="str">
        <v>Likes</v>
      </c>
      <c r="C302">
        <v>16</v>
      </c>
    </row>
    <row r="303" spans="1:3" x14ac:dyDescent="0.3">
      <c r="A303" s="31">
        <v>46080</v>
      </c>
      <c r="B303" t="str">
        <v>Saves</v>
      </c>
      <c r="C303">
        <v>8</v>
      </c>
    </row>
    <row r="304" spans="1:3" x14ac:dyDescent="0.3">
      <c r="A304" s="31">
        <v>46080</v>
      </c>
      <c r="B304" t="str">
        <v>Comments</v>
      </c>
      <c r="C304">
        <v>3</v>
      </c>
    </row>
    <row r="305" spans="1:3" x14ac:dyDescent="0.3">
      <c r="A305" s="31">
        <v>46080</v>
      </c>
      <c r="B305" t="str">
        <v>Shares</v>
      </c>
      <c r="C305">
        <v>2</v>
      </c>
    </row>
    <row r="306" spans="1:3" x14ac:dyDescent="0.3">
      <c r="A306" s="31">
        <v>46080</v>
      </c>
      <c r="B306" t="str">
        <v>Profile Visits</v>
      </c>
      <c r="C306">
        <v>41</v>
      </c>
    </row>
    <row r="307" spans="1:3" x14ac:dyDescent="0.3">
      <c r="A307" s="31">
        <v>46080</v>
      </c>
      <c r="B307" t="str">
        <v>New Followers</v>
      </c>
      <c r="C307">
        <v>4</v>
      </c>
    </row>
    <row r="308" spans="1:3" x14ac:dyDescent="0.3">
      <c r="A308" s="31">
        <v>46080</v>
      </c>
      <c r="B308" t="str">
        <v>Engagement</v>
      </c>
      <c r="C308">
        <v>29</v>
      </c>
    </row>
    <row r="309" spans="1:3" x14ac:dyDescent="0.3">
      <c r="A309" s="31">
        <v>46080</v>
      </c>
      <c r="B309" t="str">
        <v>Engagement Rate</v>
      </c>
      <c r="C309">
        <v>4.3740573152337855E-2</v>
      </c>
    </row>
    <row r="310" spans="1:3" x14ac:dyDescent="0.3">
      <c r="A310" s="31">
        <v>46080</v>
      </c>
      <c r="B310" t="str">
        <v>Brand Awareness</v>
      </c>
      <c r="C310">
        <v>45</v>
      </c>
    </row>
    <row r="311" spans="1:3" x14ac:dyDescent="0.3">
      <c r="A311" s="31">
        <v>46081</v>
      </c>
      <c r="B311" t="str">
        <v>Views</v>
      </c>
      <c r="C311">
        <v>955</v>
      </c>
    </row>
    <row r="312" spans="1:3" x14ac:dyDescent="0.3">
      <c r="A312" s="31">
        <v>46081</v>
      </c>
      <c r="B312" t="str">
        <v>Total Watch Time (s)</v>
      </c>
      <c r="C312">
        <v>17190</v>
      </c>
    </row>
    <row r="313" spans="1:3" x14ac:dyDescent="0.3">
      <c r="A313" s="31">
        <v>46081</v>
      </c>
      <c r="B313" t="str">
        <v>Likes</v>
      </c>
      <c r="C313">
        <v>40</v>
      </c>
    </row>
    <row r="314" spans="1:3" x14ac:dyDescent="0.3">
      <c r="A314" s="31">
        <v>46081</v>
      </c>
      <c r="B314" t="str">
        <v>Saves</v>
      </c>
      <c r="C314">
        <v>14</v>
      </c>
    </row>
    <row r="315" spans="1:3" x14ac:dyDescent="0.3">
      <c r="A315" s="31">
        <v>46081</v>
      </c>
      <c r="B315" t="str">
        <v>Comments</v>
      </c>
      <c r="C315">
        <v>6</v>
      </c>
    </row>
    <row r="316" spans="1:3" x14ac:dyDescent="0.3">
      <c r="A316" s="31">
        <v>46081</v>
      </c>
      <c r="B316" t="str">
        <v>Shares</v>
      </c>
      <c r="C316">
        <v>4</v>
      </c>
    </row>
    <row r="317" spans="1:3" x14ac:dyDescent="0.3">
      <c r="A317" s="31">
        <v>46081</v>
      </c>
      <c r="B317" t="str">
        <v>Profile Visits</v>
      </c>
      <c r="C317">
        <v>57</v>
      </c>
    </row>
    <row r="318" spans="1:3" x14ac:dyDescent="0.3">
      <c r="A318" s="31">
        <v>46081</v>
      </c>
      <c r="B318" t="str">
        <v>New Followers</v>
      </c>
      <c r="C318">
        <v>11</v>
      </c>
    </row>
    <row r="319" spans="1:3" x14ac:dyDescent="0.3">
      <c r="A319" s="31">
        <v>46081</v>
      </c>
      <c r="B319" t="str">
        <v>Engagement</v>
      </c>
      <c r="C319">
        <v>64</v>
      </c>
    </row>
    <row r="320" spans="1:3" x14ac:dyDescent="0.3">
      <c r="A320" s="31">
        <v>46081</v>
      </c>
      <c r="B320" t="str">
        <v>Engagement Rate</v>
      </c>
      <c r="C320">
        <v>6.7015706806282729E-2</v>
      </c>
    </row>
    <row r="321" spans="1:3" x14ac:dyDescent="0.3">
      <c r="A321" s="31">
        <v>46081</v>
      </c>
      <c r="B321" t="str">
        <v>Brand Awareness</v>
      </c>
      <c r="C321">
        <v>68</v>
      </c>
    </row>
    <row r="322" spans="1:3" x14ac:dyDescent="0.3">
      <c r="A322" s="31">
        <v>46082</v>
      </c>
      <c r="B322" t="str">
        <v>Views</v>
      </c>
      <c r="C322">
        <v>1059</v>
      </c>
    </row>
    <row r="323" spans="1:3" x14ac:dyDescent="0.3">
      <c r="A323" s="31">
        <v>46082</v>
      </c>
      <c r="B323" t="str">
        <v>Total Watch Time (s)</v>
      </c>
      <c r="C323">
        <v>26475</v>
      </c>
    </row>
    <row r="324" spans="1:3" x14ac:dyDescent="0.3">
      <c r="A324" s="31">
        <v>46082</v>
      </c>
      <c r="B324" t="str">
        <v>Likes</v>
      </c>
      <c r="C324">
        <v>43</v>
      </c>
    </row>
    <row r="325" spans="1:3" x14ac:dyDescent="0.3">
      <c r="A325" s="31">
        <v>46082</v>
      </c>
      <c r="B325" t="str">
        <v>Saves</v>
      </c>
      <c r="C325">
        <v>18</v>
      </c>
    </row>
    <row r="326" spans="1:3" x14ac:dyDescent="0.3">
      <c r="A326" s="31">
        <v>46082</v>
      </c>
      <c r="B326" t="str">
        <v>Comments</v>
      </c>
      <c r="C326">
        <v>6</v>
      </c>
    </row>
    <row r="327" spans="1:3" x14ac:dyDescent="0.3">
      <c r="A327" s="31">
        <v>46082</v>
      </c>
      <c r="B327" t="str">
        <v>Shares</v>
      </c>
      <c r="C327">
        <v>5</v>
      </c>
    </row>
    <row r="328" spans="1:3" x14ac:dyDescent="0.3">
      <c r="A328" s="31">
        <v>46082</v>
      </c>
      <c r="B328" t="str">
        <v>Profile Visits</v>
      </c>
      <c r="C328">
        <v>84</v>
      </c>
    </row>
    <row r="329" spans="1:3" x14ac:dyDescent="0.3">
      <c r="A329" s="31">
        <v>46082</v>
      </c>
      <c r="B329" t="str">
        <v>New Followers</v>
      </c>
      <c r="C329">
        <v>14</v>
      </c>
    </row>
    <row r="330" spans="1:3" x14ac:dyDescent="0.3">
      <c r="A330" s="31">
        <v>46082</v>
      </c>
      <c r="B330" t="str">
        <v>Engagement</v>
      </c>
      <c r="C330">
        <v>72</v>
      </c>
    </row>
    <row r="331" spans="1:3" x14ac:dyDescent="0.3">
      <c r="A331" s="31">
        <v>46082</v>
      </c>
      <c r="B331" t="str">
        <v>Engagement Rate</v>
      </c>
      <c r="C331">
        <v>6.79886685552408E-2</v>
      </c>
    </row>
    <row r="332" spans="1:3" x14ac:dyDescent="0.3">
      <c r="A332" s="31">
        <v>46082</v>
      </c>
      <c r="B332" t="str">
        <v>Brand Awareness</v>
      </c>
      <c r="C332">
        <v>98</v>
      </c>
    </row>
    <row r="333" spans="1:3" x14ac:dyDescent="0.3">
      <c r="A333" s="31">
        <v>46083</v>
      </c>
      <c r="B333" t="str">
        <v>Views</v>
      </c>
      <c r="C333">
        <v>766</v>
      </c>
    </row>
    <row r="334" spans="1:3" x14ac:dyDescent="0.3">
      <c r="A334" s="31">
        <v>46083</v>
      </c>
      <c r="B334" t="str">
        <v>Total Watch Time (s)</v>
      </c>
      <c r="C334">
        <v>21448</v>
      </c>
    </row>
    <row r="335" spans="1:3" x14ac:dyDescent="0.3">
      <c r="A335" s="31">
        <v>46083</v>
      </c>
      <c r="B335" t="str">
        <v>Likes</v>
      </c>
      <c r="C335">
        <v>27</v>
      </c>
    </row>
    <row r="336" spans="1:3" x14ac:dyDescent="0.3">
      <c r="A336" s="31">
        <v>46083</v>
      </c>
      <c r="B336" t="str">
        <v>Saves</v>
      </c>
      <c r="C336">
        <v>12</v>
      </c>
    </row>
    <row r="337" spans="1:3" x14ac:dyDescent="0.3">
      <c r="A337" s="31">
        <v>46083</v>
      </c>
      <c r="B337" t="str">
        <v>Comments</v>
      </c>
      <c r="C337">
        <v>4</v>
      </c>
    </row>
    <row r="338" spans="1:3" x14ac:dyDescent="0.3">
      <c r="A338" s="31">
        <v>46083</v>
      </c>
      <c r="B338" t="str">
        <v>Shares</v>
      </c>
      <c r="C338">
        <v>3</v>
      </c>
    </row>
    <row r="339" spans="1:3" x14ac:dyDescent="0.3">
      <c r="A339" s="31">
        <v>46083</v>
      </c>
      <c r="B339" t="str">
        <v>Profile Visits</v>
      </c>
      <c r="C339">
        <v>56</v>
      </c>
    </row>
    <row r="340" spans="1:3" x14ac:dyDescent="0.3">
      <c r="A340" s="31">
        <v>46083</v>
      </c>
      <c r="B340" t="str">
        <v>New Followers</v>
      </c>
      <c r="C340">
        <v>10</v>
      </c>
    </row>
    <row r="341" spans="1:3" x14ac:dyDescent="0.3">
      <c r="A341" s="31">
        <v>46083</v>
      </c>
      <c r="B341" t="str">
        <v>Engagement</v>
      </c>
      <c r="C341">
        <v>46</v>
      </c>
    </row>
    <row r="342" spans="1:3" x14ac:dyDescent="0.3">
      <c r="A342" s="31">
        <v>46083</v>
      </c>
      <c r="B342" t="str">
        <v>Engagement Rate</v>
      </c>
      <c r="C342">
        <v>6.0052219321148827E-2</v>
      </c>
    </row>
    <row r="343" spans="1:3" x14ac:dyDescent="0.3">
      <c r="A343" s="31">
        <v>46083</v>
      </c>
      <c r="B343" t="str">
        <v>Brand Awareness</v>
      </c>
      <c r="C343">
        <v>66</v>
      </c>
    </row>
    <row r="344" spans="1:3" x14ac:dyDescent="0.3">
      <c r="A344" s="31">
        <v>46084</v>
      </c>
      <c r="B344" t="str">
        <v>Views</v>
      </c>
      <c r="C344">
        <v>746</v>
      </c>
    </row>
    <row r="345" spans="1:3" x14ac:dyDescent="0.3">
      <c r="A345" s="31">
        <v>46084</v>
      </c>
      <c r="B345" t="str">
        <v>Total Watch Time (s)</v>
      </c>
      <c r="C345">
        <v>18650</v>
      </c>
    </row>
    <row r="346" spans="1:3" x14ac:dyDescent="0.3">
      <c r="A346" s="31">
        <v>46084</v>
      </c>
      <c r="B346" t="str">
        <v>Likes</v>
      </c>
      <c r="C346">
        <v>18</v>
      </c>
    </row>
    <row r="347" spans="1:3" x14ac:dyDescent="0.3">
      <c r="A347" s="31">
        <v>46084</v>
      </c>
      <c r="B347" t="str">
        <v>Saves</v>
      </c>
      <c r="C347">
        <v>9</v>
      </c>
    </row>
    <row r="348" spans="1:3" x14ac:dyDescent="0.3">
      <c r="A348" s="31">
        <v>46084</v>
      </c>
      <c r="B348" t="str">
        <v>Comments</v>
      </c>
      <c r="C348">
        <v>2</v>
      </c>
    </row>
    <row r="349" spans="1:3" x14ac:dyDescent="0.3">
      <c r="A349" s="31">
        <v>46084</v>
      </c>
      <c r="B349" t="str">
        <v>Shares</v>
      </c>
      <c r="C349">
        <v>2</v>
      </c>
    </row>
    <row r="350" spans="1:3" x14ac:dyDescent="0.3">
      <c r="A350" s="31">
        <v>46084</v>
      </c>
      <c r="B350" t="str">
        <v>Profile Visits</v>
      </c>
      <c r="C350">
        <v>59</v>
      </c>
    </row>
    <row r="351" spans="1:3" x14ac:dyDescent="0.3">
      <c r="A351" s="31">
        <v>46084</v>
      </c>
      <c r="B351" t="str">
        <v>New Followers</v>
      </c>
      <c r="C351">
        <v>10</v>
      </c>
    </row>
    <row r="352" spans="1:3" x14ac:dyDescent="0.3">
      <c r="A352" s="31">
        <v>46084</v>
      </c>
      <c r="B352" t="str">
        <v>Engagement</v>
      </c>
      <c r="C352">
        <v>31</v>
      </c>
    </row>
    <row r="353" spans="1:3" x14ac:dyDescent="0.3">
      <c r="A353" s="31">
        <v>46084</v>
      </c>
      <c r="B353" t="str">
        <v>Engagement Rate</v>
      </c>
      <c r="C353">
        <v>4.1554959785522788E-2</v>
      </c>
    </row>
    <row r="354" spans="1:3" x14ac:dyDescent="0.3">
      <c r="A354" s="31">
        <v>46084</v>
      </c>
      <c r="B354" t="str">
        <v>Brand Awareness</v>
      </c>
      <c r="C354">
        <v>69</v>
      </c>
    </row>
    <row r="355" spans="1:3" x14ac:dyDescent="0.3">
      <c r="A355" s="31">
        <v>46085</v>
      </c>
      <c r="B355" t="str">
        <v>Views</v>
      </c>
      <c r="C355">
        <v>798</v>
      </c>
    </row>
    <row r="356" spans="1:3" x14ac:dyDescent="0.3">
      <c r="A356" s="31">
        <v>46085</v>
      </c>
      <c r="B356" t="str">
        <v>Total Watch Time (s)</v>
      </c>
      <c r="C356">
        <v>21546</v>
      </c>
    </row>
    <row r="357" spans="1:3" x14ac:dyDescent="0.3">
      <c r="A357" s="31">
        <v>46085</v>
      </c>
      <c r="B357" t="str">
        <v>Likes</v>
      </c>
      <c r="C357">
        <v>31</v>
      </c>
    </row>
    <row r="358" spans="1:3" x14ac:dyDescent="0.3">
      <c r="A358" s="31">
        <v>46085</v>
      </c>
      <c r="B358" t="str">
        <v>Saves</v>
      </c>
      <c r="C358">
        <v>11</v>
      </c>
    </row>
    <row r="359" spans="1:3" x14ac:dyDescent="0.3">
      <c r="A359" s="31">
        <v>46085</v>
      </c>
      <c r="B359" t="str">
        <v>Comments</v>
      </c>
      <c r="C359">
        <v>3</v>
      </c>
    </row>
    <row r="360" spans="1:3" x14ac:dyDescent="0.3">
      <c r="A360" s="31">
        <v>46085</v>
      </c>
      <c r="B360" t="str">
        <v>Shares</v>
      </c>
      <c r="C360">
        <v>3</v>
      </c>
    </row>
    <row r="361" spans="1:3" x14ac:dyDescent="0.3">
      <c r="A361" s="31">
        <v>46085</v>
      </c>
      <c r="B361" t="str">
        <v>Profile Visits</v>
      </c>
      <c r="C361">
        <v>61</v>
      </c>
    </row>
    <row r="362" spans="1:3" x14ac:dyDescent="0.3">
      <c r="A362" s="31">
        <v>46085</v>
      </c>
      <c r="B362" t="str">
        <v>New Followers</v>
      </c>
      <c r="C362">
        <v>10</v>
      </c>
    </row>
    <row r="363" spans="1:3" x14ac:dyDescent="0.3">
      <c r="A363" s="31">
        <v>46085</v>
      </c>
      <c r="B363" t="str">
        <v>Engagement</v>
      </c>
      <c r="C363">
        <v>48</v>
      </c>
    </row>
    <row r="364" spans="1:3" x14ac:dyDescent="0.3">
      <c r="A364" s="31">
        <v>46085</v>
      </c>
      <c r="B364" t="str">
        <v>Engagement Rate</v>
      </c>
      <c r="C364">
        <v>6.0150375939849621E-2</v>
      </c>
    </row>
    <row r="365" spans="1:3" x14ac:dyDescent="0.3">
      <c r="A365" s="31">
        <v>46085</v>
      </c>
      <c r="B365" t="str">
        <v>Brand Awareness</v>
      </c>
      <c r="C365">
        <v>71</v>
      </c>
    </row>
    <row r="366" spans="1:3" x14ac:dyDescent="0.3">
      <c r="A366" s="31">
        <v>46086</v>
      </c>
      <c r="B366" t="str">
        <v>Views</v>
      </c>
      <c r="C366">
        <v>666</v>
      </c>
    </row>
    <row r="367" spans="1:3" x14ac:dyDescent="0.3">
      <c r="A367" s="31">
        <v>46086</v>
      </c>
      <c r="B367" t="str">
        <v>Total Watch Time (s)</v>
      </c>
      <c r="C367">
        <v>20646</v>
      </c>
    </row>
    <row r="368" spans="1:3" x14ac:dyDescent="0.3">
      <c r="A368" s="31">
        <v>46086</v>
      </c>
      <c r="B368" t="str">
        <v>Likes</v>
      </c>
      <c r="C368">
        <v>27</v>
      </c>
    </row>
    <row r="369" spans="1:3" x14ac:dyDescent="0.3">
      <c r="A369" s="31">
        <v>46086</v>
      </c>
      <c r="B369" t="str">
        <v>Saves</v>
      </c>
      <c r="C369">
        <v>13</v>
      </c>
    </row>
    <row r="370" spans="1:3" x14ac:dyDescent="0.3">
      <c r="A370" s="31">
        <v>46086</v>
      </c>
      <c r="B370" t="str">
        <v>Comments</v>
      </c>
      <c r="C370">
        <v>3</v>
      </c>
    </row>
    <row r="371" spans="1:3" x14ac:dyDescent="0.3">
      <c r="A371" s="31">
        <v>46086</v>
      </c>
      <c r="B371" t="str">
        <v>Shares</v>
      </c>
      <c r="C371">
        <v>3</v>
      </c>
    </row>
    <row r="372" spans="1:3" x14ac:dyDescent="0.3">
      <c r="A372" s="31">
        <v>46086</v>
      </c>
      <c r="B372" t="str">
        <v>Profile Visits</v>
      </c>
      <c r="C372">
        <v>27</v>
      </c>
    </row>
    <row r="373" spans="1:3" x14ac:dyDescent="0.3">
      <c r="A373" s="31">
        <v>46086</v>
      </c>
      <c r="B373" t="str">
        <v>New Followers</v>
      </c>
      <c r="C373">
        <v>3</v>
      </c>
    </row>
    <row r="374" spans="1:3" x14ac:dyDescent="0.3">
      <c r="A374" s="31">
        <v>46086</v>
      </c>
      <c r="B374" t="str">
        <v>Engagement</v>
      </c>
      <c r="C374">
        <v>46</v>
      </c>
    </row>
    <row r="375" spans="1:3" x14ac:dyDescent="0.3">
      <c r="A375" s="31">
        <v>46086</v>
      </c>
      <c r="B375" t="str">
        <v>Engagement Rate</v>
      </c>
      <c r="C375">
        <v>6.9069069069069067E-2</v>
      </c>
    </row>
    <row r="376" spans="1:3" x14ac:dyDescent="0.3">
      <c r="A376" s="31">
        <v>46086</v>
      </c>
      <c r="B376" t="str">
        <v>Brand Awareness</v>
      </c>
      <c r="C376">
        <v>30</v>
      </c>
    </row>
    <row r="377" spans="1:3" x14ac:dyDescent="0.3">
      <c r="A377" s="31">
        <v>46087</v>
      </c>
      <c r="B377" t="str">
        <v>Views</v>
      </c>
      <c r="C377">
        <v>714</v>
      </c>
    </row>
    <row r="378" spans="1:3" x14ac:dyDescent="0.3">
      <c r="A378" s="31">
        <v>46087</v>
      </c>
      <c r="B378" t="str">
        <v>Total Watch Time (s)</v>
      </c>
      <c r="C378">
        <v>17850</v>
      </c>
    </row>
    <row r="379" spans="1:3" x14ac:dyDescent="0.3">
      <c r="A379" s="31">
        <v>46087</v>
      </c>
      <c r="B379" t="str">
        <v>Likes</v>
      </c>
      <c r="C379">
        <v>26</v>
      </c>
    </row>
    <row r="380" spans="1:3" x14ac:dyDescent="0.3">
      <c r="A380" s="31">
        <v>46087</v>
      </c>
      <c r="B380" t="str">
        <v>Saves</v>
      </c>
      <c r="C380">
        <v>12</v>
      </c>
    </row>
    <row r="381" spans="1:3" x14ac:dyDescent="0.3">
      <c r="A381" s="31">
        <v>46087</v>
      </c>
      <c r="B381" t="str">
        <v>Comments</v>
      </c>
      <c r="C381">
        <v>2</v>
      </c>
    </row>
    <row r="382" spans="1:3" x14ac:dyDescent="0.3">
      <c r="A382" s="31">
        <v>46087</v>
      </c>
      <c r="B382" t="str">
        <v>Shares</v>
      </c>
      <c r="C382">
        <v>2</v>
      </c>
    </row>
    <row r="383" spans="1:3" x14ac:dyDescent="0.3">
      <c r="A383" s="31">
        <v>46087</v>
      </c>
      <c r="B383" t="str">
        <v>Profile Visits</v>
      </c>
      <c r="C383">
        <v>45</v>
      </c>
    </row>
    <row r="384" spans="1:3" x14ac:dyDescent="0.3">
      <c r="A384" s="31">
        <v>46087</v>
      </c>
      <c r="B384" t="str">
        <v>New Followers</v>
      </c>
      <c r="C384">
        <v>8</v>
      </c>
    </row>
    <row r="385" spans="1:3" x14ac:dyDescent="0.3">
      <c r="A385" s="31">
        <v>46087</v>
      </c>
      <c r="B385" t="str">
        <v>Engagement</v>
      </c>
      <c r="C385">
        <v>42</v>
      </c>
    </row>
    <row r="386" spans="1:3" x14ac:dyDescent="0.3">
      <c r="A386" s="31">
        <v>46087</v>
      </c>
      <c r="B386" t="str">
        <v>Engagement Rate</v>
      </c>
      <c r="C386">
        <v>5.8823529411764705E-2</v>
      </c>
    </row>
    <row r="387" spans="1:3" x14ac:dyDescent="0.3">
      <c r="A387" s="31">
        <v>46087</v>
      </c>
      <c r="B387" t="str">
        <v>Brand Awareness</v>
      </c>
      <c r="C387">
        <v>53</v>
      </c>
    </row>
    <row r="388" spans="1:3" x14ac:dyDescent="0.3">
      <c r="A388" s="31">
        <v>46088</v>
      </c>
      <c r="B388" t="str">
        <v>Views</v>
      </c>
      <c r="C388">
        <v>1333</v>
      </c>
    </row>
    <row r="389" spans="1:3" x14ac:dyDescent="0.3">
      <c r="A389" s="31">
        <v>46088</v>
      </c>
      <c r="B389" t="str">
        <v>Total Watch Time (s)</v>
      </c>
      <c r="C389">
        <v>38657</v>
      </c>
    </row>
    <row r="390" spans="1:3" x14ac:dyDescent="0.3">
      <c r="A390" s="31">
        <v>46088</v>
      </c>
      <c r="B390" t="str">
        <v>Likes</v>
      </c>
      <c r="C390">
        <v>49</v>
      </c>
    </row>
    <row r="391" spans="1:3" x14ac:dyDescent="0.3">
      <c r="A391" s="31">
        <v>46088</v>
      </c>
      <c r="B391" t="str">
        <v>Saves</v>
      </c>
      <c r="C391">
        <v>17</v>
      </c>
    </row>
    <row r="392" spans="1:3" x14ac:dyDescent="0.3">
      <c r="A392" s="31">
        <v>46088</v>
      </c>
      <c r="B392" t="str">
        <v>Comments</v>
      </c>
      <c r="C392">
        <v>6</v>
      </c>
    </row>
    <row r="393" spans="1:3" x14ac:dyDescent="0.3">
      <c r="A393" s="31">
        <v>46088</v>
      </c>
      <c r="B393" t="str">
        <v>Shares</v>
      </c>
      <c r="C393">
        <v>7</v>
      </c>
    </row>
    <row r="394" spans="1:3" x14ac:dyDescent="0.3">
      <c r="A394" s="31">
        <v>46088</v>
      </c>
      <c r="B394" t="str">
        <v>Profile Visits</v>
      </c>
      <c r="C394">
        <v>72</v>
      </c>
    </row>
    <row r="395" spans="1:3" x14ac:dyDescent="0.3">
      <c r="A395" s="31">
        <v>46088</v>
      </c>
      <c r="B395" t="str">
        <v>New Followers</v>
      </c>
      <c r="C395">
        <v>13</v>
      </c>
    </row>
    <row r="396" spans="1:3" x14ac:dyDescent="0.3">
      <c r="A396" s="31">
        <v>46088</v>
      </c>
      <c r="B396" t="str">
        <v>Engagement</v>
      </c>
      <c r="C396">
        <v>79</v>
      </c>
    </row>
    <row r="397" spans="1:3" x14ac:dyDescent="0.3">
      <c r="A397" s="31">
        <v>46088</v>
      </c>
      <c r="B397" t="str">
        <v>Engagement Rate</v>
      </c>
      <c r="C397">
        <v>5.926481620405101E-2</v>
      </c>
    </row>
    <row r="398" spans="1:3" x14ac:dyDescent="0.3">
      <c r="A398" s="31">
        <v>46088</v>
      </c>
      <c r="B398" t="str">
        <v>Brand Awareness</v>
      </c>
      <c r="C398">
        <v>85</v>
      </c>
    </row>
    <row r="399" spans="1:3" x14ac:dyDescent="0.3">
      <c r="A399" s="31">
        <v>46089</v>
      </c>
      <c r="B399" t="str">
        <v>Views</v>
      </c>
      <c r="C399">
        <v>1410</v>
      </c>
    </row>
    <row r="400" spans="1:3" x14ac:dyDescent="0.3">
      <c r="A400" s="31">
        <v>46089</v>
      </c>
      <c r="B400" t="str">
        <v>Total Watch Time (s)</v>
      </c>
      <c r="C400">
        <v>39480</v>
      </c>
    </row>
    <row r="401" spans="1:3" x14ac:dyDescent="0.3">
      <c r="A401" s="31">
        <v>46089</v>
      </c>
      <c r="B401" t="str">
        <v>Likes</v>
      </c>
      <c r="C401">
        <v>44</v>
      </c>
    </row>
    <row r="402" spans="1:3" x14ac:dyDescent="0.3">
      <c r="A402" s="31">
        <v>46089</v>
      </c>
      <c r="B402" t="str">
        <v>Saves</v>
      </c>
      <c r="C402">
        <v>18</v>
      </c>
    </row>
    <row r="403" spans="1:3" x14ac:dyDescent="0.3">
      <c r="A403" s="31">
        <v>46089</v>
      </c>
      <c r="B403" t="str">
        <v>Comments</v>
      </c>
      <c r="C403">
        <v>7</v>
      </c>
    </row>
    <row r="404" spans="1:3" x14ac:dyDescent="0.3">
      <c r="A404" s="31">
        <v>46089</v>
      </c>
      <c r="B404" t="str">
        <v>Shares</v>
      </c>
      <c r="C404">
        <v>4</v>
      </c>
    </row>
    <row r="405" spans="1:3" x14ac:dyDescent="0.3">
      <c r="A405" s="31">
        <v>46089</v>
      </c>
      <c r="B405" t="str">
        <v>Profile Visits</v>
      </c>
      <c r="C405">
        <v>101</v>
      </c>
    </row>
    <row r="406" spans="1:3" x14ac:dyDescent="0.3">
      <c r="A406" s="31">
        <v>46089</v>
      </c>
      <c r="B406" t="str">
        <v>New Followers</v>
      </c>
      <c r="C406">
        <v>22</v>
      </c>
    </row>
    <row r="407" spans="1:3" x14ac:dyDescent="0.3">
      <c r="A407" s="31">
        <v>46089</v>
      </c>
      <c r="B407" t="str">
        <v>Engagement</v>
      </c>
      <c r="C407">
        <v>73</v>
      </c>
    </row>
    <row r="408" spans="1:3" x14ac:dyDescent="0.3">
      <c r="A408" s="31">
        <v>46089</v>
      </c>
      <c r="B408" t="str">
        <v>Engagement Rate</v>
      </c>
      <c r="C408">
        <v>5.1773049645390069E-2</v>
      </c>
    </row>
    <row r="409" spans="1:3" x14ac:dyDescent="0.3">
      <c r="A409" s="31">
        <v>46089</v>
      </c>
      <c r="B409" t="str">
        <v>Brand Awareness</v>
      </c>
      <c r="C409">
        <v>123</v>
      </c>
    </row>
    <row r="410" spans="1:3" x14ac:dyDescent="0.3">
      <c r="A410" s="31">
        <v>46090</v>
      </c>
      <c r="B410" t="str">
        <v>Views</v>
      </c>
      <c r="C410">
        <v>855</v>
      </c>
    </row>
    <row r="411" spans="1:3" x14ac:dyDescent="0.3">
      <c r="A411" s="31">
        <v>46090</v>
      </c>
      <c r="B411" t="str">
        <v>Total Watch Time (s)</v>
      </c>
      <c r="C411">
        <v>19665</v>
      </c>
    </row>
    <row r="412" spans="1:3" x14ac:dyDescent="0.3">
      <c r="A412" s="31">
        <v>46090</v>
      </c>
      <c r="B412" t="str">
        <v>Likes</v>
      </c>
      <c r="C412">
        <v>30</v>
      </c>
    </row>
    <row r="413" spans="1:3" x14ac:dyDescent="0.3">
      <c r="A413" s="31">
        <v>46090</v>
      </c>
      <c r="B413" t="str">
        <v>Saves</v>
      </c>
      <c r="C413">
        <v>9</v>
      </c>
    </row>
    <row r="414" spans="1:3" x14ac:dyDescent="0.3">
      <c r="A414" s="31">
        <v>46090</v>
      </c>
      <c r="B414" t="str">
        <v>Comments</v>
      </c>
      <c r="C414">
        <v>4</v>
      </c>
    </row>
    <row r="415" spans="1:3" x14ac:dyDescent="0.3">
      <c r="A415" s="31">
        <v>46090</v>
      </c>
      <c r="B415" t="str">
        <v>Shares</v>
      </c>
      <c r="C415">
        <v>3</v>
      </c>
    </row>
    <row r="416" spans="1:3" x14ac:dyDescent="0.3">
      <c r="A416" s="31">
        <v>46090</v>
      </c>
      <c r="B416" t="str">
        <v>Profile Visits</v>
      </c>
      <c r="C416">
        <v>67</v>
      </c>
    </row>
    <row r="417" spans="1:3" x14ac:dyDescent="0.3">
      <c r="A417" s="31">
        <v>46090</v>
      </c>
      <c r="B417" t="str">
        <v>New Followers</v>
      </c>
      <c r="C417">
        <v>10</v>
      </c>
    </row>
    <row r="418" spans="1:3" x14ac:dyDescent="0.3">
      <c r="A418" s="31">
        <v>46090</v>
      </c>
      <c r="B418" t="str">
        <v>Engagement</v>
      </c>
      <c r="C418">
        <v>46</v>
      </c>
    </row>
    <row r="419" spans="1:3" x14ac:dyDescent="0.3">
      <c r="A419" s="31">
        <v>46090</v>
      </c>
      <c r="B419" t="str">
        <v>Engagement Rate</v>
      </c>
      <c r="C419">
        <v>5.3801169590643273E-2</v>
      </c>
    </row>
    <row r="420" spans="1:3" x14ac:dyDescent="0.3">
      <c r="A420" s="31">
        <v>46090</v>
      </c>
      <c r="B420" t="str">
        <v>Brand Awareness</v>
      </c>
      <c r="C420">
        <v>77</v>
      </c>
    </row>
    <row r="421" spans="1:3" x14ac:dyDescent="0.3">
      <c r="A421" s="31">
        <v>46091</v>
      </c>
      <c r="B421" t="str">
        <v>Views</v>
      </c>
      <c r="C421">
        <v>788</v>
      </c>
    </row>
    <row r="422" spans="1:3" x14ac:dyDescent="0.3">
      <c r="A422" s="31">
        <v>46091</v>
      </c>
      <c r="B422" t="str">
        <v>Total Watch Time (s)</v>
      </c>
      <c r="C422">
        <v>14972</v>
      </c>
    </row>
    <row r="423" spans="1:3" x14ac:dyDescent="0.3">
      <c r="A423" s="31">
        <v>46091</v>
      </c>
      <c r="B423" t="str">
        <v>Likes</v>
      </c>
      <c r="C423">
        <v>23</v>
      </c>
    </row>
    <row r="424" spans="1:3" x14ac:dyDescent="0.3">
      <c r="A424" s="31">
        <v>46091</v>
      </c>
      <c r="B424" t="str">
        <v>Saves</v>
      </c>
      <c r="C424">
        <v>8</v>
      </c>
    </row>
    <row r="425" spans="1:3" x14ac:dyDescent="0.3">
      <c r="A425" s="31">
        <v>46091</v>
      </c>
      <c r="B425" t="str">
        <v>Comments</v>
      </c>
      <c r="C425">
        <v>3</v>
      </c>
    </row>
    <row r="426" spans="1:3" x14ac:dyDescent="0.3">
      <c r="A426" s="31">
        <v>46091</v>
      </c>
      <c r="B426" t="str">
        <v>Shares</v>
      </c>
      <c r="C426">
        <v>4</v>
      </c>
    </row>
    <row r="427" spans="1:3" x14ac:dyDescent="0.3">
      <c r="A427" s="31">
        <v>46091</v>
      </c>
      <c r="B427" t="str">
        <v>Profile Visits</v>
      </c>
      <c r="C427">
        <v>56</v>
      </c>
    </row>
    <row r="428" spans="1:3" x14ac:dyDescent="0.3">
      <c r="A428" s="31">
        <v>46091</v>
      </c>
      <c r="B428" t="str">
        <v>New Followers</v>
      </c>
      <c r="C428">
        <v>7</v>
      </c>
    </row>
    <row r="429" spans="1:3" x14ac:dyDescent="0.3">
      <c r="A429" s="31">
        <v>46091</v>
      </c>
      <c r="B429" t="str">
        <v>Engagement</v>
      </c>
      <c r="C429">
        <v>38</v>
      </c>
    </row>
    <row r="430" spans="1:3" x14ac:dyDescent="0.3">
      <c r="A430" s="31">
        <v>46091</v>
      </c>
      <c r="B430" t="str">
        <v>Engagement Rate</v>
      </c>
      <c r="C430">
        <v>4.8223350253807105E-2</v>
      </c>
    </row>
    <row r="431" spans="1:3" x14ac:dyDescent="0.3">
      <c r="A431" s="31">
        <v>46091</v>
      </c>
      <c r="B431" t="str">
        <v>Brand Awareness</v>
      </c>
      <c r="C431">
        <v>63</v>
      </c>
    </row>
    <row r="432" spans="1:3" x14ac:dyDescent="0.3">
      <c r="A432" s="31">
        <v>46092</v>
      </c>
      <c r="B432" t="str">
        <v>Views</v>
      </c>
      <c r="C432">
        <v>663</v>
      </c>
    </row>
    <row r="433" spans="1:3" x14ac:dyDescent="0.3">
      <c r="A433" s="31">
        <v>46092</v>
      </c>
      <c r="B433" t="str">
        <v>Total Watch Time (s)</v>
      </c>
      <c r="C433">
        <v>16575</v>
      </c>
    </row>
    <row r="434" spans="1:3" x14ac:dyDescent="0.3">
      <c r="A434" s="31">
        <v>46092</v>
      </c>
      <c r="B434" t="str">
        <v>Likes</v>
      </c>
      <c r="C434">
        <v>19</v>
      </c>
    </row>
    <row r="435" spans="1:3" x14ac:dyDescent="0.3">
      <c r="A435" s="31">
        <v>46092</v>
      </c>
      <c r="B435" t="str">
        <v>Saves</v>
      </c>
      <c r="C435">
        <v>7</v>
      </c>
    </row>
    <row r="436" spans="1:3" x14ac:dyDescent="0.3">
      <c r="A436" s="31">
        <v>46092</v>
      </c>
      <c r="B436" t="str">
        <v>Comments</v>
      </c>
      <c r="C436">
        <v>2</v>
      </c>
    </row>
    <row r="437" spans="1:3" x14ac:dyDescent="0.3">
      <c r="A437" s="31">
        <v>46092</v>
      </c>
      <c r="B437" t="str">
        <v>Shares</v>
      </c>
      <c r="C437">
        <v>2</v>
      </c>
    </row>
    <row r="438" spans="1:3" x14ac:dyDescent="0.3">
      <c r="A438" s="31">
        <v>46092</v>
      </c>
      <c r="B438" t="str">
        <v>Profile Visits</v>
      </c>
      <c r="C438">
        <v>50</v>
      </c>
    </row>
    <row r="439" spans="1:3" x14ac:dyDescent="0.3">
      <c r="A439" s="31">
        <v>46092</v>
      </c>
      <c r="B439" t="str">
        <v>New Followers</v>
      </c>
      <c r="C439">
        <v>6</v>
      </c>
    </row>
    <row r="440" spans="1:3" x14ac:dyDescent="0.3">
      <c r="A440" s="31">
        <v>46092</v>
      </c>
      <c r="B440" t="str">
        <v>Engagement</v>
      </c>
      <c r="C440">
        <v>30</v>
      </c>
    </row>
    <row r="441" spans="1:3" x14ac:dyDescent="0.3">
      <c r="A441" s="31">
        <v>46092</v>
      </c>
      <c r="B441" t="str">
        <v>Engagement Rate</v>
      </c>
      <c r="C441">
        <v>4.5248868778280542E-2</v>
      </c>
    </row>
    <row r="442" spans="1:3" x14ac:dyDescent="0.3">
      <c r="A442" s="31">
        <v>46092</v>
      </c>
      <c r="B442" t="str">
        <v>Brand Awareness</v>
      </c>
      <c r="C442">
        <v>56</v>
      </c>
    </row>
    <row r="443" spans="1:3" x14ac:dyDescent="0.3">
      <c r="A443" s="31">
        <v>46093</v>
      </c>
      <c r="B443" t="str">
        <v>Views</v>
      </c>
      <c r="C443">
        <v>758</v>
      </c>
    </row>
    <row r="444" spans="1:3" x14ac:dyDescent="0.3">
      <c r="A444" s="31">
        <v>46093</v>
      </c>
      <c r="B444" t="str">
        <v>Total Watch Time (s)</v>
      </c>
      <c r="C444">
        <v>18192</v>
      </c>
    </row>
    <row r="445" spans="1:3" x14ac:dyDescent="0.3">
      <c r="A445" s="31">
        <v>46093</v>
      </c>
      <c r="B445" t="str">
        <v>Likes</v>
      </c>
      <c r="C445">
        <v>25</v>
      </c>
    </row>
    <row r="446" spans="1:3" x14ac:dyDescent="0.3">
      <c r="A446" s="31">
        <v>46093</v>
      </c>
      <c r="B446" t="str">
        <v>Saves</v>
      </c>
      <c r="C446">
        <v>9</v>
      </c>
    </row>
    <row r="447" spans="1:3" x14ac:dyDescent="0.3">
      <c r="A447" s="31">
        <v>46093</v>
      </c>
      <c r="B447" t="str">
        <v>Comments</v>
      </c>
      <c r="C447">
        <v>3</v>
      </c>
    </row>
    <row r="448" spans="1:3" x14ac:dyDescent="0.3">
      <c r="A448" s="31">
        <v>46093</v>
      </c>
      <c r="B448" t="str">
        <v>Shares</v>
      </c>
      <c r="C448">
        <v>3</v>
      </c>
    </row>
    <row r="449" spans="1:3" x14ac:dyDescent="0.3">
      <c r="A449" s="31">
        <v>46093</v>
      </c>
      <c r="B449" t="str">
        <v>Profile Visits</v>
      </c>
      <c r="C449">
        <v>60</v>
      </c>
    </row>
    <row r="450" spans="1:3" x14ac:dyDescent="0.3">
      <c r="A450" s="31">
        <v>46093</v>
      </c>
      <c r="B450" t="str">
        <v>New Followers</v>
      </c>
      <c r="C450">
        <v>10</v>
      </c>
    </row>
    <row r="451" spans="1:3" x14ac:dyDescent="0.3">
      <c r="A451" s="31">
        <v>46093</v>
      </c>
      <c r="B451" t="str">
        <v>Engagement</v>
      </c>
      <c r="C451">
        <v>40</v>
      </c>
    </row>
    <row r="452" spans="1:3" x14ac:dyDescent="0.3">
      <c r="A452" s="31">
        <v>46093</v>
      </c>
      <c r="B452" t="str">
        <v>Engagement Rate</v>
      </c>
      <c r="C452">
        <v>5.2770448548812667E-2</v>
      </c>
    </row>
    <row r="453" spans="1:3" x14ac:dyDescent="0.3">
      <c r="A453" s="31">
        <v>46093</v>
      </c>
      <c r="B453" t="str">
        <v>Brand Awareness</v>
      </c>
      <c r="C453">
        <v>70</v>
      </c>
    </row>
    <row r="454" spans="1:3" x14ac:dyDescent="0.3">
      <c r="A454" s="31">
        <v>46094</v>
      </c>
      <c r="B454" t="str">
        <v>Views</v>
      </c>
      <c r="C454">
        <v>690</v>
      </c>
    </row>
    <row r="455" spans="1:3" x14ac:dyDescent="0.3">
      <c r="A455" s="31">
        <v>46094</v>
      </c>
      <c r="B455" t="str">
        <v>Total Watch Time (s)</v>
      </c>
      <c r="C455">
        <v>17940</v>
      </c>
    </row>
    <row r="456" spans="1:3" x14ac:dyDescent="0.3">
      <c r="A456" s="31">
        <v>46094</v>
      </c>
      <c r="B456" t="str">
        <v>Likes</v>
      </c>
      <c r="C456">
        <v>31</v>
      </c>
    </row>
    <row r="457" spans="1:3" x14ac:dyDescent="0.3">
      <c r="A457" s="31">
        <v>46094</v>
      </c>
      <c r="B457" t="str">
        <v>Saves</v>
      </c>
      <c r="C457">
        <v>13</v>
      </c>
    </row>
    <row r="458" spans="1:3" x14ac:dyDescent="0.3">
      <c r="A458" s="31">
        <v>46094</v>
      </c>
      <c r="B458" t="str">
        <v>Comments</v>
      </c>
      <c r="C458">
        <v>3</v>
      </c>
    </row>
    <row r="459" spans="1:3" x14ac:dyDescent="0.3">
      <c r="A459" s="31">
        <v>46094</v>
      </c>
      <c r="B459" t="str">
        <v>Shares</v>
      </c>
      <c r="C459">
        <v>4</v>
      </c>
    </row>
    <row r="460" spans="1:3" x14ac:dyDescent="0.3">
      <c r="A460" s="31">
        <v>46094</v>
      </c>
      <c r="B460" t="str">
        <v>Profile Visits</v>
      </c>
      <c r="C460">
        <v>54</v>
      </c>
    </row>
    <row r="461" spans="1:3" x14ac:dyDescent="0.3">
      <c r="A461" s="31">
        <v>46094</v>
      </c>
      <c r="B461" t="str">
        <v>New Followers</v>
      </c>
      <c r="C461">
        <v>9</v>
      </c>
    </row>
    <row r="462" spans="1:3" x14ac:dyDescent="0.3">
      <c r="A462" s="31">
        <v>46094</v>
      </c>
      <c r="B462" t="str">
        <v>Engagement</v>
      </c>
      <c r="C462">
        <v>51</v>
      </c>
    </row>
    <row r="463" spans="1:3" x14ac:dyDescent="0.3">
      <c r="A463" s="31">
        <v>46094</v>
      </c>
      <c r="B463" t="str">
        <v>Engagement Rate</v>
      </c>
      <c r="C463">
        <v>7.3913043478260873E-2</v>
      </c>
    </row>
    <row r="464" spans="1:3" x14ac:dyDescent="0.3">
      <c r="A464" s="31">
        <v>46094</v>
      </c>
      <c r="B464" t="str">
        <v>Brand Awareness</v>
      </c>
      <c r="C464">
        <v>63</v>
      </c>
    </row>
    <row r="465" spans="1:3" x14ac:dyDescent="0.3">
      <c r="A465" s="31">
        <v>46095</v>
      </c>
      <c r="B465" t="str">
        <v>Views</v>
      </c>
      <c r="C465">
        <v>963</v>
      </c>
    </row>
    <row r="466" spans="1:3" x14ac:dyDescent="0.3">
      <c r="A466" s="31">
        <v>46095</v>
      </c>
      <c r="B466" t="str">
        <v>Total Watch Time (s)</v>
      </c>
      <c r="C466">
        <v>26964</v>
      </c>
    </row>
    <row r="467" spans="1:3" x14ac:dyDescent="0.3">
      <c r="A467" s="31">
        <v>46095</v>
      </c>
      <c r="B467" t="str">
        <v>Likes</v>
      </c>
      <c r="C467">
        <v>37</v>
      </c>
    </row>
    <row r="468" spans="1:3" x14ac:dyDescent="0.3">
      <c r="A468" s="31">
        <v>46095</v>
      </c>
      <c r="B468" t="str">
        <v>Saves</v>
      </c>
      <c r="C468">
        <v>19</v>
      </c>
    </row>
    <row r="469" spans="1:3" x14ac:dyDescent="0.3">
      <c r="A469" s="31">
        <v>46095</v>
      </c>
      <c r="B469" t="str">
        <v>Comments</v>
      </c>
      <c r="C469">
        <v>5</v>
      </c>
    </row>
    <row r="470" spans="1:3" x14ac:dyDescent="0.3">
      <c r="A470" s="31">
        <v>46095</v>
      </c>
      <c r="B470" t="str">
        <v>Shares</v>
      </c>
      <c r="C470">
        <v>4</v>
      </c>
    </row>
    <row r="471" spans="1:3" x14ac:dyDescent="0.3">
      <c r="A471" s="31">
        <v>46095</v>
      </c>
      <c r="B471" t="str">
        <v>Profile Visits</v>
      </c>
      <c r="C471">
        <v>50</v>
      </c>
    </row>
    <row r="472" spans="1:3" x14ac:dyDescent="0.3">
      <c r="A472" s="31">
        <v>46095</v>
      </c>
      <c r="B472" t="str">
        <v>New Followers</v>
      </c>
      <c r="C472">
        <v>9</v>
      </c>
    </row>
    <row r="473" spans="1:3" x14ac:dyDescent="0.3">
      <c r="A473" s="31">
        <v>46095</v>
      </c>
      <c r="B473" t="str">
        <v>Engagement</v>
      </c>
      <c r="C473">
        <v>65</v>
      </c>
    </row>
    <row r="474" spans="1:3" x14ac:dyDescent="0.3">
      <c r="A474" s="31">
        <v>46095</v>
      </c>
      <c r="B474" t="str">
        <v>Engagement Rate</v>
      </c>
      <c r="C474">
        <v>6.749740394600208E-2</v>
      </c>
    </row>
    <row r="475" spans="1:3" x14ac:dyDescent="0.3">
      <c r="A475" s="31">
        <v>46095</v>
      </c>
      <c r="B475" t="str">
        <v>Brand Awareness</v>
      </c>
      <c r="C475">
        <v>59</v>
      </c>
    </row>
    <row r="476" spans="1:3" x14ac:dyDescent="0.3">
      <c r="A476" s="31">
        <v>46096</v>
      </c>
      <c r="B476" t="str">
        <v>Views</v>
      </c>
      <c r="C476">
        <v>992</v>
      </c>
    </row>
    <row r="477" spans="1:3" x14ac:dyDescent="0.3">
      <c r="A477" s="31">
        <v>46096</v>
      </c>
      <c r="B477" t="str">
        <v>Total Watch Time (s)</v>
      </c>
      <c r="C477">
        <v>28768</v>
      </c>
    </row>
    <row r="478" spans="1:3" x14ac:dyDescent="0.3">
      <c r="A478" s="31">
        <v>46096</v>
      </c>
      <c r="B478" t="str">
        <v>Likes</v>
      </c>
      <c r="C478">
        <v>28</v>
      </c>
    </row>
    <row r="479" spans="1:3" x14ac:dyDescent="0.3">
      <c r="A479" s="31">
        <v>46096</v>
      </c>
      <c r="B479" t="str">
        <v>Saves</v>
      </c>
      <c r="C479">
        <v>13</v>
      </c>
    </row>
    <row r="480" spans="1:3" x14ac:dyDescent="0.3">
      <c r="A480" s="31">
        <v>46096</v>
      </c>
      <c r="B480" t="str">
        <v>Comments</v>
      </c>
      <c r="C480">
        <v>3</v>
      </c>
    </row>
    <row r="481" spans="1:3" x14ac:dyDescent="0.3">
      <c r="A481" s="31">
        <v>46096</v>
      </c>
      <c r="B481" t="str">
        <v>Shares</v>
      </c>
      <c r="C481">
        <v>4</v>
      </c>
    </row>
    <row r="482" spans="1:3" x14ac:dyDescent="0.3">
      <c r="A482" s="31">
        <v>46096</v>
      </c>
      <c r="B482" t="str">
        <v>Profile Visits</v>
      </c>
      <c r="C482">
        <v>49</v>
      </c>
    </row>
    <row r="483" spans="1:3" x14ac:dyDescent="0.3">
      <c r="A483" s="31">
        <v>46096</v>
      </c>
      <c r="B483" t="str">
        <v>New Followers</v>
      </c>
      <c r="C483">
        <v>7</v>
      </c>
    </row>
    <row r="484" spans="1:3" x14ac:dyDescent="0.3">
      <c r="A484" s="31">
        <v>46096</v>
      </c>
      <c r="B484" t="str">
        <v>Engagement</v>
      </c>
      <c r="C484">
        <v>48</v>
      </c>
    </row>
    <row r="485" spans="1:3" x14ac:dyDescent="0.3">
      <c r="A485" s="31">
        <v>46096</v>
      </c>
      <c r="B485" t="str">
        <v>Engagement Rate</v>
      </c>
      <c r="C485">
        <v>4.8387096774193547E-2</v>
      </c>
    </row>
    <row r="486" spans="1:3" x14ac:dyDescent="0.3">
      <c r="A486" s="31">
        <v>46096</v>
      </c>
      <c r="B486" t="str">
        <v>Brand Awareness</v>
      </c>
      <c r="C486">
        <v>56</v>
      </c>
    </row>
    <row r="487" spans="1:3" x14ac:dyDescent="0.3">
      <c r="A487" s="31">
        <v>46097</v>
      </c>
      <c r="B487" t="str">
        <v>Views</v>
      </c>
      <c r="C487">
        <v>783</v>
      </c>
    </row>
    <row r="488" spans="1:3" x14ac:dyDescent="0.3">
      <c r="A488" s="31">
        <v>46097</v>
      </c>
      <c r="B488" t="str">
        <v>Total Watch Time (s)</v>
      </c>
      <c r="C488">
        <v>18792</v>
      </c>
    </row>
    <row r="489" spans="1:3" x14ac:dyDescent="0.3">
      <c r="A489" s="31">
        <v>46097</v>
      </c>
      <c r="B489" t="str">
        <v>Likes</v>
      </c>
      <c r="C489">
        <v>30</v>
      </c>
    </row>
    <row r="490" spans="1:3" x14ac:dyDescent="0.3">
      <c r="A490" s="31">
        <v>46097</v>
      </c>
      <c r="B490" t="str">
        <v>Saves</v>
      </c>
      <c r="C490">
        <v>10</v>
      </c>
    </row>
    <row r="491" spans="1:3" x14ac:dyDescent="0.3">
      <c r="A491" s="31">
        <v>46097</v>
      </c>
      <c r="B491" t="str">
        <v>Comments</v>
      </c>
      <c r="C491">
        <v>3</v>
      </c>
    </row>
    <row r="492" spans="1:3" x14ac:dyDescent="0.3">
      <c r="A492" s="31">
        <v>46097</v>
      </c>
      <c r="B492" t="str">
        <v>Shares</v>
      </c>
      <c r="C492">
        <v>3</v>
      </c>
    </row>
    <row r="493" spans="1:3" x14ac:dyDescent="0.3">
      <c r="A493" s="31">
        <v>46097</v>
      </c>
      <c r="B493" t="str">
        <v>Profile Visits</v>
      </c>
      <c r="C493">
        <v>42</v>
      </c>
    </row>
    <row r="494" spans="1:3" x14ac:dyDescent="0.3">
      <c r="A494" s="31">
        <v>46097</v>
      </c>
      <c r="B494" t="str">
        <v>New Followers</v>
      </c>
      <c r="C494">
        <v>6</v>
      </c>
    </row>
    <row r="495" spans="1:3" x14ac:dyDescent="0.3">
      <c r="A495" s="31">
        <v>46097</v>
      </c>
      <c r="B495" t="str">
        <v>Engagement</v>
      </c>
      <c r="C495">
        <v>46</v>
      </c>
    </row>
    <row r="496" spans="1:3" x14ac:dyDescent="0.3">
      <c r="A496" s="31">
        <v>46097</v>
      </c>
      <c r="B496" t="str">
        <v>Engagement Rate</v>
      </c>
      <c r="C496">
        <v>5.8748403575989781E-2</v>
      </c>
    </row>
    <row r="497" spans="1:3" x14ac:dyDescent="0.3">
      <c r="A497" s="31">
        <v>46097</v>
      </c>
      <c r="B497" t="str">
        <v>Brand Awareness</v>
      </c>
      <c r="C497">
        <v>48</v>
      </c>
    </row>
    <row r="498" spans="1:3" x14ac:dyDescent="0.3">
      <c r="A498" s="31">
        <v>46098</v>
      </c>
      <c r="B498" t="str">
        <v>Views</v>
      </c>
      <c r="C498">
        <v>734</v>
      </c>
    </row>
    <row r="499" spans="1:3" x14ac:dyDescent="0.3">
      <c r="A499" s="31">
        <v>46098</v>
      </c>
      <c r="B499" t="str">
        <v>Total Watch Time (s)</v>
      </c>
      <c r="C499">
        <v>17616</v>
      </c>
    </row>
    <row r="500" spans="1:3" x14ac:dyDescent="0.3">
      <c r="A500" s="31">
        <v>46098</v>
      </c>
      <c r="B500" t="str">
        <v>Likes</v>
      </c>
      <c r="C500">
        <v>24</v>
      </c>
    </row>
    <row r="501" spans="1:3" x14ac:dyDescent="0.3">
      <c r="A501" s="31">
        <v>46098</v>
      </c>
      <c r="B501" t="str">
        <v>Saves</v>
      </c>
      <c r="C501">
        <v>9</v>
      </c>
    </row>
    <row r="502" spans="1:3" x14ac:dyDescent="0.3">
      <c r="A502" s="31">
        <v>46098</v>
      </c>
      <c r="B502" t="str">
        <v>Comments</v>
      </c>
      <c r="C502">
        <v>4</v>
      </c>
    </row>
    <row r="503" spans="1:3" x14ac:dyDescent="0.3">
      <c r="A503" s="31">
        <v>46098</v>
      </c>
      <c r="B503" t="str">
        <v>Shares</v>
      </c>
      <c r="C503">
        <v>3</v>
      </c>
    </row>
    <row r="504" spans="1:3" x14ac:dyDescent="0.3">
      <c r="A504" s="31">
        <v>46098</v>
      </c>
      <c r="B504" t="str">
        <v>Profile Visits</v>
      </c>
      <c r="C504">
        <v>37</v>
      </c>
    </row>
    <row r="505" spans="1:3" x14ac:dyDescent="0.3">
      <c r="A505" s="31">
        <v>46098</v>
      </c>
      <c r="B505" t="str">
        <v>New Followers</v>
      </c>
      <c r="C505">
        <v>7</v>
      </c>
    </row>
    <row r="506" spans="1:3" x14ac:dyDescent="0.3">
      <c r="A506" s="31">
        <v>46098</v>
      </c>
      <c r="B506" t="str">
        <v>Engagement</v>
      </c>
      <c r="C506">
        <v>40</v>
      </c>
    </row>
    <row r="507" spans="1:3" x14ac:dyDescent="0.3">
      <c r="A507" s="31">
        <v>46098</v>
      </c>
      <c r="B507" t="str">
        <v>Engagement Rate</v>
      </c>
      <c r="C507">
        <v>5.4495912806539509E-2</v>
      </c>
    </row>
    <row r="508" spans="1:3" x14ac:dyDescent="0.3">
      <c r="A508" s="31">
        <v>46098</v>
      </c>
      <c r="B508" t="str">
        <v>Brand Awareness</v>
      </c>
      <c r="C508">
        <v>44</v>
      </c>
    </row>
    <row r="509" spans="1:3" x14ac:dyDescent="0.3">
      <c r="A509" s="31">
        <v>46099</v>
      </c>
      <c r="B509" t="str">
        <v>Views</v>
      </c>
      <c r="C509">
        <v>724</v>
      </c>
    </row>
    <row r="510" spans="1:3" x14ac:dyDescent="0.3">
      <c r="A510" s="31">
        <v>46099</v>
      </c>
      <c r="B510" t="str">
        <v>Total Watch Time (s)</v>
      </c>
      <c r="C510">
        <v>20272</v>
      </c>
    </row>
    <row r="511" spans="1:3" x14ac:dyDescent="0.3">
      <c r="A511" s="31">
        <v>46099</v>
      </c>
      <c r="B511" t="str">
        <v>Likes</v>
      </c>
      <c r="C511">
        <v>30</v>
      </c>
    </row>
    <row r="512" spans="1:3" x14ac:dyDescent="0.3">
      <c r="A512" s="31">
        <v>46099</v>
      </c>
      <c r="B512" t="str">
        <v>Saves</v>
      </c>
      <c r="C512">
        <v>12</v>
      </c>
    </row>
    <row r="513" spans="1:3" x14ac:dyDescent="0.3">
      <c r="A513" s="31">
        <v>46099</v>
      </c>
      <c r="B513" t="str">
        <v>Comments</v>
      </c>
      <c r="C513">
        <v>4</v>
      </c>
    </row>
    <row r="514" spans="1:3" x14ac:dyDescent="0.3">
      <c r="A514" s="31">
        <v>46099</v>
      </c>
      <c r="B514" t="str">
        <v>Shares</v>
      </c>
      <c r="C514">
        <v>4</v>
      </c>
    </row>
    <row r="515" spans="1:3" x14ac:dyDescent="0.3">
      <c r="A515" s="31">
        <v>46099</v>
      </c>
      <c r="B515" t="str">
        <v>Profile Visits</v>
      </c>
      <c r="C515">
        <v>43</v>
      </c>
    </row>
    <row r="516" spans="1:3" x14ac:dyDescent="0.3">
      <c r="A516" s="31">
        <v>46099</v>
      </c>
      <c r="B516" t="str">
        <v>New Followers</v>
      </c>
      <c r="C516">
        <v>5</v>
      </c>
    </row>
    <row r="517" spans="1:3" x14ac:dyDescent="0.3">
      <c r="A517" s="31">
        <v>46099</v>
      </c>
      <c r="B517" t="str">
        <v>Engagement</v>
      </c>
      <c r="C517">
        <v>50</v>
      </c>
    </row>
    <row r="518" spans="1:3" x14ac:dyDescent="0.3">
      <c r="A518" s="31">
        <v>46099</v>
      </c>
      <c r="B518" t="str">
        <v>Engagement Rate</v>
      </c>
      <c r="C518">
        <v>6.9060773480662987E-2</v>
      </c>
    </row>
    <row r="519" spans="1:3" x14ac:dyDescent="0.3">
      <c r="A519" s="31">
        <v>46099</v>
      </c>
      <c r="B519" t="str">
        <v>Brand Awareness</v>
      </c>
      <c r="C519">
        <v>48</v>
      </c>
    </row>
    <row r="520" spans="1:3" x14ac:dyDescent="0.3">
      <c r="A520" s="31">
        <v>46100</v>
      </c>
      <c r="B520" t="str">
        <v>Views</v>
      </c>
      <c r="C520">
        <v>686</v>
      </c>
    </row>
    <row r="521" spans="1:3" x14ac:dyDescent="0.3">
      <c r="A521" s="31">
        <v>46100</v>
      </c>
      <c r="B521" t="str">
        <v>Total Watch Time (s)</v>
      </c>
      <c r="C521">
        <v>16464</v>
      </c>
    </row>
    <row r="522" spans="1:3" x14ac:dyDescent="0.3">
      <c r="A522" s="31">
        <v>46100</v>
      </c>
      <c r="B522" t="str">
        <v>Likes</v>
      </c>
      <c r="C522">
        <v>20</v>
      </c>
    </row>
    <row r="523" spans="1:3" x14ac:dyDescent="0.3">
      <c r="A523" s="31">
        <v>46100</v>
      </c>
      <c r="B523" t="str">
        <v>Saves</v>
      </c>
      <c r="C523">
        <v>7</v>
      </c>
    </row>
    <row r="524" spans="1:3" x14ac:dyDescent="0.3">
      <c r="A524" s="31">
        <v>46100</v>
      </c>
      <c r="B524" t="str">
        <v>Comments</v>
      </c>
      <c r="C524">
        <v>3</v>
      </c>
    </row>
    <row r="525" spans="1:3" x14ac:dyDescent="0.3">
      <c r="A525" s="31">
        <v>46100</v>
      </c>
      <c r="B525" t="str">
        <v>Shares</v>
      </c>
      <c r="C525">
        <v>2</v>
      </c>
    </row>
    <row r="526" spans="1:3" x14ac:dyDescent="0.3">
      <c r="A526" s="31">
        <v>46100</v>
      </c>
      <c r="B526" t="str">
        <v>Profile Visits</v>
      </c>
      <c r="C526">
        <v>29</v>
      </c>
    </row>
    <row r="527" spans="1:3" x14ac:dyDescent="0.3">
      <c r="A527" s="31">
        <v>46100</v>
      </c>
      <c r="B527" t="str">
        <v>New Followers</v>
      </c>
      <c r="C527">
        <v>4</v>
      </c>
    </row>
    <row r="528" spans="1:3" x14ac:dyDescent="0.3">
      <c r="A528" s="31">
        <v>46100</v>
      </c>
      <c r="B528" t="str">
        <v>Engagement</v>
      </c>
      <c r="C528">
        <v>32</v>
      </c>
    </row>
    <row r="529" spans="1:3" x14ac:dyDescent="0.3">
      <c r="A529" s="31">
        <v>46100</v>
      </c>
      <c r="B529" t="str">
        <v>Engagement Rate</v>
      </c>
      <c r="C529">
        <v>4.6647230320699708E-2</v>
      </c>
    </row>
    <row r="530" spans="1:3" x14ac:dyDescent="0.3">
      <c r="A530" s="31">
        <v>46100</v>
      </c>
      <c r="B530" t="str">
        <v>Brand Awareness</v>
      </c>
      <c r="C530">
        <v>33</v>
      </c>
    </row>
    <row r="531" spans="1:3" x14ac:dyDescent="0.3">
      <c r="A531" s="31">
        <v>46101</v>
      </c>
      <c r="B531" t="str">
        <v>Views</v>
      </c>
      <c r="C531">
        <v>811</v>
      </c>
    </row>
    <row r="532" spans="1:3" x14ac:dyDescent="0.3">
      <c r="A532" s="31">
        <v>46101</v>
      </c>
      <c r="B532" t="str">
        <v>Total Watch Time (s)</v>
      </c>
      <c r="C532">
        <v>24330</v>
      </c>
    </row>
    <row r="533" spans="1:3" x14ac:dyDescent="0.3">
      <c r="A533" s="31">
        <v>46101</v>
      </c>
      <c r="B533" t="str">
        <v>Likes</v>
      </c>
      <c r="C533">
        <v>30</v>
      </c>
    </row>
    <row r="534" spans="1:3" x14ac:dyDescent="0.3">
      <c r="A534" s="31">
        <v>46101</v>
      </c>
      <c r="B534" t="str">
        <v>Saves</v>
      </c>
      <c r="C534">
        <v>11</v>
      </c>
    </row>
    <row r="535" spans="1:3" x14ac:dyDescent="0.3">
      <c r="A535" s="31">
        <v>46101</v>
      </c>
      <c r="B535" t="str">
        <v>Comments</v>
      </c>
      <c r="C535">
        <v>4</v>
      </c>
    </row>
    <row r="536" spans="1:3" x14ac:dyDescent="0.3">
      <c r="A536" s="31">
        <v>46101</v>
      </c>
      <c r="B536" t="str">
        <v>Shares</v>
      </c>
      <c r="C536">
        <v>4</v>
      </c>
    </row>
    <row r="537" spans="1:3" x14ac:dyDescent="0.3">
      <c r="A537" s="31">
        <v>46101</v>
      </c>
      <c r="B537" t="str">
        <v>Profile Visits</v>
      </c>
      <c r="C537">
        <v>46</v>
      </c>
    </row>
    <row r="538" spans="1:3" x14ac:dyDescent="0.3">
      <c r="A538" s="31">
        <v>46101</v>
      </c>
      <c r="B538" t="str">
        <v>New Followers</v>
      </c>
      <c r="C538">
        <v>8</v>
      </c>
    </row>
    <row r="539" spans="1:3" x14ac:dyDescent="0.3">
      <c r="A539" s="31">
        <v>46101</v>
      </c>
      <c r="B539" t="str">
        <v>Engagement</v>
      </c>
      <c r="C539">
        <v>49</v>
      </c>
    </row>
    <row r="540" spans="1:3" x14ac:dyDescent="0.3">
      <c r="A540" s="31">
        <v>46101</v>
      </c>
      <c r="B540" t="str">
        <v>Engagement Rate</v>
      </c>
      <c r="C540">
        <v>6.0419235511713937E-2</v>
      </c>
    </row>
    <row r="541" spans="1:3" x14ac:dyDescent="0.3">
      <c r="A541" s="31">
        <v>46101</v>
      </c>
      <c r="B541" t="str">
        <v>Brand Awareness</v>
      </c>
      <c r="C541">
        <v>54</v>
      </c>
    </row>
    <row r="542" spans="1:3" x14ac:dyDescent="0.3">
      <c r="A542" s="31">
        <v>46102</v>
      </c>
      <c r="B542" t="str">
        <v>Views</v>
      </c>
      <c r="C542">
        <v>951</v>
      </c>
    </row>
    <row r="543" spans="1:3" x14ac:dyDescent="0.3">
      <c r="A543" s="31">
        <v>46102</v>
      </c>
      <c r="B543" t="str">
        <v>Total Watch Time (s)</v>
      </c>
      <c r="C543">
        <v>23775</v>
      </c>
    </row>
    <row r="544" spans="1:3" x14ac:dyDescent="0.3">
      <c r="A544" s="31">
        <v>46102</v>
      </c>
      <c r="B544" t="str">
        <v>Likes</v>
      </c>
      <c r="C544">
        <v>25</v>
      </c>
    </row>
    <row r="545" spans="1:3" x14ac:dyDescent="0.3">
      <c r="A545" s="31">
        <v>46102</v>
      </c>
      <c r="B545" t="str">
        <v>Saves</v>
      </c>
      <c r="C545">
        <v>9</v>
      </c>
    </row>
    <row r="546" spans="1:3" x14ac:dyDescent="0.3">
      <c r="A546" s="31">
        <v>46102</v>
      </c>
      <c r="B546" t="str">
        <v>Comments</v>
      </c>
      <c r="C546">
        <v>3</v>
      </c>
    </row>
    <row r="547" spans="1:3" x14ac:dyDescent="0.3">
      <c r="A547" s="31">
        <v>46102</v>
      </c>
      <c r="B547" t="str">
        <v>Shares</v>
      </c>
      <c r="C547">
        <v>2</v>
      </c>
    </row>
    <row r="548" spans="1:3" x14ac:dyDescent="0.3">
      <c r="A548" s="31">
        <v>46102</v>
      </c>
      <c r="B548" t="str">
        <v>Profile Visits</v>
      </c>
      <c r="C548">
        <v>48</v>
      </c>
    </row>
    <row r="549" spans="1:3" x14ac:dyDescent="0.3">
      <c r="A549" s="31">
        <v>46102</v>
      </c>
      <c r="B549" t="str">
        <v>New Followers</v>
      </c>
      <c r="C549">
        <v>7</v>
      </c>
    </row>
    <row r="550" spans="1:3" x14ac:dyDescent="0.3">
      <c r="A550" s="31">
        <v>46102</v>
      </c>
      <c r="B550" t="str">
        <v>Engagement</v>
      </c>
      <c r="C550">
        <v>39</v>
      </c>
    </row>
    <row r="551" spans="1:3" x14ac:dyDescent="0.3">
      <c r="A551" s="31">
        <v>46102</v>
      </c>
      <c r="B551" t="str">
        <v>Engagement Rate</v>
      </c>
      <c r="C551">
        <v>4.1009463722397478E-2</v>
      </c>
    </row>
    <row r="552" spans="1:3" x14ac:dyDescent="0.3">
      <c r="A552" s="31">
        <v>46102</v>
      </c>
      <c r="B552" t="str">
        <v>Brand Awareness</v>
      </c>
      <c r="C552">
        <v>55</v>
      </c>
    </row>
    <row r="553" spans="1:3" x14ac:dyDescent="0.3">
      <c r="A553" s="31">
        <v>46103</v>
      </c>
      <c r="B553" t="str">
        <v>Views</v>
      </c>
      <c r="C553">
        <v>751</v>
      </c>
    </row>
    <row r="554" spans="1:3" x14ac:dyDescent="0.3">
      <c r="A554" s="31">
        <v>46103</v>
      </c>
      <c r="B554" t="str">
        <v>Total Watch Time (s)</v>
      </c>
      <c r="C554">
        <v>25534</v>
      </c>
    </row>
    <row r="555" spans="1:3" x14ac:dyDescent="0.3">
      <c r="A555" s="31">
        <v>46103</v>
      </c>
      <c r="B555" t="str">
        <v>Likes</v>
      </c>
      <c r="C555">
        <v>33</v>
      </c>
    </row>
    <row r="556" spans="1:3" x14ac:dyDescent="0.3">
      <c r="A556" s="31">
        <v>46103</v>
      </c>
      <c r="B556" t="str">
        <v>Saves</v>
      </c>
      <c r="C556">
        <v>13</v>
      </c>
    </row>
    <row r="557" spans="1:3" x14ac:dyDescent="0.3">
      <c r="A557" s="31">
        <v>46103</v>
      </c>
      <c r="B557" t="str">
        <v>Comments</v>
      </c>
      <c r="C557">
        <v>5</v>
      </c>
    </row>
    <row r="558" spans="1:3" x14ac:dyDescent="0.3">
      <c r="A558" s="31">
        <v>46103</v>
      </c>
      <c r="B558" t="str">
        <v>Shares</v>
      </c>
      <c r="C558">
        <v>5</v>
      </c>
    </row>
    <row r="559" spans="1:3" x14ac:dyDescent="0.3">
      <c r="A559" s="31">
        <v>46103</v>
      </c>
      <c r="B559" t="str">
        <v>Profile Visits</v>
      </c>
      <c r="C559">
        <v>34</v>
      </c>
    </row>
    <row r="560" spans="1:3" x14ac:dyDescent="0.3">
      <c r="A560" s="31">
        <v>46103</v>
      </c>
      <c r="B560" t="str">
        <v>New Followers</v>
      </c>
      <c r="C560">
        <v>4</v>
      </c>
    </row>
    <row r="561" spans="1:3" x14ac:dyDescent="0.3">
      <c r="A561" s="31">
        <v>46103</v>
      </c>
      <c r="B561" t="str">
        <v>Engagement</v>
      </c>
      <c r="C561">
        <v>56</v>
      </c>
    </row>
    <row r="562" spans="1:3" x14ac:dyDescent="0.3">
      <c r="A562" s="31">
        <v>46103</v>
      </c>
      <c r="B562" t="str">
        <v>Engagement Rate</v>
      </c>
      <c r="C562">
        <v>7.456724367509987E-2</v>
      </c>
    </row>
    <row r="563" spans="1:3" x14ac:dyDescent="0.3">
      <c r="A563" s="31">
        <v>46103</v>
      </c>
      <c r="B563" t="str">
        <v>Brand Awareness</v>
      </c>
      <c r="C563">
        <v>38</v>
      </c>
    </row>
    <row r="564" spans="1:3" x14ac:dyDescent="0.3">
      <c r="A564" s="31">
        <v>46104</v>
      </c>
      <c r="B564" t="str">
        <v>Views</v>
      </c>
      <c r="C564">
        <v>880</v>
      </c>
    </row>
    <row r="565" spans="1:3" x14ac:dyDescent="0.3">
      <c r="A565" s="31">
        <v>46104</v>
      </c>
      <c r="B565" t="str">
        <v>Total Watch Time (s)</v>
      </c>
      <c r="C565">
        <v>20240</v>
      </c>
    </row>
    <row r="566" spans="1:3" x14ac:dyDescent="0.3">
      <c r="A566" s="31">
        <v>46104</v>
      </c>
      <c r="B566" t="str">
        <v>Likes</v>
      </c>
      <c r="C566">
        <v>31</v>
      </c>
    </row>
    <row r="567" spans="1:3" x14ac:dyDescent="0.3">
      <c r="A567" s="31">
        <v>46104</v>
      </c>
      <c r="B567" t="str">
        <v>Saves</v>
      </c>
      <c r="C567">
        <v>12</v>
      </c>
    </row>
    <row r="568" spans="1:3" x14ac:dyDescent="0.3">
      <c r="A568" s="31">
        <v>46104</v>
      </c>
      <c r="B568" t="str">
        <v>Comments</v>
      </c>
      <c r="C568">
        <v>5</v>
      </c>
    </row>
    <row r="569" spans="1:3" x14ac:dyDescent="0.3">
      <c r="A569" s="31">
        <v>46104</v>
      </c>
      <c r="B569" t="str">
        <v>Shares</v>
      </c>
      <c r="C569">
        <v>5</v>
      </c>
    </row>
    <row r="570" spans="1:3" x14ac:dyDescent="0.3">
      <c r="A570" s="31">
        <v>46104</v>
      </c>
      <c r="B570" t="str">
        <v>Profile Visits</v>
      </c>
      <c r="C570">
        <v>53</v>
      </c>
    </row>
    <row r="571" spans="1:3" x14ac:dyDescent="0.3">
      <c r="A571" s="31">
        <v>46104</v>
      </c>
      <c r="B571" t="str">
        <v>New Followers</v>
      </c>
      <c r="C571">
        <v>5</v>
      </c>
    </row>
    <row r="572" spans="1:3" x14ac:dyDescent="0.3">
      <c r="A572" s="31">
        <v>46104</v>
      </c>
      <c r="B572" t="str">
        <v>Engagement</v>
      </c>
      <c r="C572">
        <v>53</v>
      </c>
    </row>
    <row r="573" spans="1:3" x14ac:dyDescent="0.3">
      <c r="A573" s="31">
        <v>46104</v>
      </c>
      <c r="B573" t="str">
        <v>Engagement Rate</v>
      </c>
      <c r="C573">
        <v>6.0227272727272727E-2</v>
      </c>
    </row>
    <row r="574" spans="1:3" x14ac:dyDescent="0.3">
      <c r="A574" s="31">
        <v>46104</v>
      </c>
      <c r="B574" t="str">
        <v>Brand Awareness</v>
      </c>
      <c r="C574">
        <v>58</v>
      </c>
    </row>
    <row r="575" spans="1:3" x14ac:dyDescent="0.3">
      <c r="A575" s="31">
        <v>46105</v>
      </c>
      <c r="B575" t="str">
        <v>Views</v>
      </c>
      <c r="C575">
        <v>822</v>
      </c>
    </row>
    <row r="576" spans="1:3" x14ac:dyDescent="0.3">
      <c r="A576" s="31">
        <v>46105</v>
      </c>
      <c r="B576" t="str">
        <v>Total Watch Time (s)</v>
      </c>
      <c r="C576">
        <v>20550</v>
      </c>
    </row>
    <row r="577" spans="1:3" x14ac:dyDescent="0.3">
      <c r="A577" s="31">
        <v>46105</v>
      </c>
      <c r="B577" t="str">
        <v>Likes</v>
      </c>
      <c r="C577">
        <v>30</v>
      </c>
    </row>
    <row r="578" spans="1:3" x14ac:dyDescent="0.3">
      <c r="A578" s="31">
        <v>46105</v>
      </c>
      <c r="B578" t="str">
        <v>Saves</v>
      </c>
      <c r="C578">
        <v>15</v>
      </c>
    </row>
    <row r="579" spans="1:3" x14ac:dyDescent="0.3">
      <c r="A579" s="31">
        <v>46105</v>
      </c>
      <c r="B579" t="str">
        <v>Comments</v>
      </c>
      <c r="C579">
        <v>5</v>
      </c>
    </row>
    <row r="580" spans="1:3" x14ac:dyDescent="0.3">
      <c r="A580" s="31">
        <v>46105</v>
      </c>
      <c r="B580" t="str">
        <v>Shares</v>
      </c>
      <c r="C580">
        <v>4</v>
      </c>
    </row>
    <row r="581" spans="1:3" x14ac:dyDescent="0.3">
      <c r="A581" s="31">
        <v>46105</v>
      </c>
      <c r="B581" t="str">
        <v>Profile Visits</v>
      </c>
      <c r="C581">
        <v>45</v>
      </c>
    </row>
    <row r="582" spans="1:3" x14ac:dyDescent="0.3">
      <c r="A582" s="31">
        <v>46105</v>
      </c>
      <c r="B582" t="str">
        <v>New Followers</v>
      </c>
      <c r="C582">
        <v>5</v>
      </c>
    </row>
    <row r="583" spans="1:3" x14ac:dyDescent="0.3">
      <c r="A583" s="31">
        <v>46105</v>
      </c>
      <c r="B583" t="str">
        <v>Engagement</v>
      </c>
      <c r="C583">
        <v>54</v>
      </c>
    </row>
    <row r="584" spans="1:3" x14ac:dyDescent="0.3">
      <c r="A584" s="31">
        <v>46105</v>
      </c>
      <c r="B584" t="str">
        <v>Engagement Rate</v>
      </c>
      <c r="C584">
        <v>6.569343065693431E-2</v>
      </c>
    </row>
    <row r="585" spans="1:3" x14ac:dyDescent="0.3">
      <c r="A585" s="31">
        <v>46105</v>
      </c>
      <c r="B585" t="str">
        <v>Brand Awareness</v>
      </c>
      <c r="C585">
        <v>50</v>
      </c>
    </row>
    <row r="586" spans="1:3" x14ac:dyDescent="0.3">
      <c r="A586" s="31">
        <v>46106</v>
      </c>
      <c r="B586" t="str">
        <v>Views</v>
      </c>
      <c r="C586">
        <v>767</v>
      </c>
    </row>
    <row r="587" spans="1:3" x14ac:dyDescent="0.3">
      <c r="A587" s="31">
        <v>46106</v>
      </c>
      <c r="B587" t="str">
        <v>Total Watch Time (s)</v>
      </c>
      <c r="C587">
        <v>23777</v>
      </c>
    </row>
    <row r="588" spans="1:3" x14ac:dyDescent="0.3">
      <c r="A588" s="31">
        <v>46106</v>
      </c>
      <c r="B588" t="str">
        <v>Likes</v>
      </c>
      <c r="C588">
        <v>21</v>
      </c>
    </row>
    <row r="589" spans="1:3" x14ac:dyDescent="0.3">
      <c r="A589" s="31">
        <v>46106</v>
      </c>
      <c r="B589" t="str">
        <v>Saves</v>
      </c>
      <c r="C589">
        <v>10</v>
      </c>
    </row>
    <row r="590" spans="1:3" x14ac:dyDescent="0.3">
      <c r="A590" s="31">
        <v>46106</v>
      </c>
      <c r="B590" t="str">
        <v>Comments</v>
      </c>
      <c r="C590">
        <v>3</v>
      </c>
    </row>
    <row r="591" spans="1:3" x14ac:dyDescent="0.3">
      <c r="A591" s="31">
        <v>46106</v>
      </c>
      <c r="B591" t="str">
        <v>Shares</v>
      </c>
      <c r="C591">
        <v>3</v>
      </c>
    </row>
    <row r="592" spans="1:3" x14ac:dyDescent="0.3">
      <c r="A592" s="31">
        <v>46106</v>
      </c>
      <c r="B592" t="str">
        <v>Profile Visits</v>
      </c>
      <c r="C592">
        <v>57</v>
      </c>
    </row>
    <row r="593" spans="1:3" x14ac:dyDescent="0.3">
      <c r="A593" s="31">
        <v>46106</v>
      </c>
      <c r="B593" t="str">
        <v>New Followers</v>
      </c>
      <c r="C593">
        <v>6</v>
      </c>
    </row>
    <row r="594" spans="1:3" x14ac:dyDescent="0.3">
      <c r="A594" s="31">
        <v>46106</v>
      </c>
      <c r="B594" t="str">
        <v>Engagement</v>
      </c>
      <c r="C594">
        <v>37</v>
      </c>
    </row>
    <row r="595" spans="1:3" x14ac:dyDescent="0.3">
      <c r="A595" s="31">
        <v>46106</v>
      </c>
      <c r="B595" t="str">
        <v>Engagement Rate</v>
      </c>
      <c r="C595">
        <v>4.8239895697522815E-2</v>
      </c>
    </row>
    <row r="596" spans="1:3" x14ac:dyDescent="0.3">
      <c r="A596" s="31">
        <v>46106</v>
      </c>
      <c r="B596" t="str">
        <v>Brand Awareness</v>
      </c>
      <c r="C596">
        <v>63</v>
      </c>
    </row>
    <row r="597" spans="1:3" x14ac:dyDescent="0.3">
      <c r="A597" s="31">
        <v>46107</v>
      </c>
      <c r="B597" t="str">
        <v>Views</v>
      </c>
      <c r="C597">
        <v>766</v>
      </c>
    </row>
    <row r="598" spans="1:3" x14ac:dyDescent="0.3">
      <c r="A598" s="31">
        <v>46107</v>
      </c>
      <c r="B598" t="str">
        <v>Total Watch Time (s)</v>
      </c>
      <c r="C598">
        <v>19150</v>
      </c>
    </row>
    <row r="599" spans="1:3" x14ac:dyDescent="0.3">
      <c r="A599" s="31">
        <v>46107</v>
      </c>
      <c r="B599" t="str">
        <v>Likes</v>
      </c>
      <c r="C599">
        <v>21</v>
      </c>
    </row>
    <row r="600" spans="1:3" x14ac:dyDescent="0.3">
      <c r="A600" s="31">
        <v>46107</v>
      </c>
      <c r="B600" t="str">
        <v>Saves</v>
      </c>
      <c r="C600">
        <v>8</v>
      </c>
    </row>
    <row r="601" spans="1:3" x14ac:dyDescent="0.3">
      <c r="A601" s="31">
        <v>46107</v>
      </c>
      <c r="B601" t="str">
        <v>Comments</v>
      </c>
      <c r="C601">
        <v>3</v>
      </c>
    </row>
    <row r="602" spans="1:3" x14ac:dyDescent="0.3">
      <c r="A602" s="31">
        <v>46107</v>
      </c>
      <c r="B602" t="str">
        <v>Shares</v>
      </c>
      <c r="C602">
        <v>2</v>
      </c>
    </row>
    <row r="603" spans="1:3" x14ac:dyDescent="0.3">
      <c r="A603" s="31">
        <v>46107</v>
      </c>
      <c r="B603" t="str">
        <v>Profile Visits</v>
      </c>
      <c r="C603">
        <v>32</v>
      </c>
    </row>
    <row r="604" spans="1:3" x14ac:dyDescent="0.3">
      <c r="A604" s="31">
        <v>46107</v>
      </c>
      <c r="B604" t="str">
        <v>New Followers</v>
      </c>
      <c r="C604">
        <v>5</v>
      </c>
    </row>
    <row r="605" spans="1:3" x14ac:dyDescent="0.3">
      <c r="A605" s="31">
        <v>46107</v>
      </c>
      <c r="B605" t="str">
        <v>Engagement</v>
      </c>
      <c r="C605">
        <v>34</v>
      </c>
    </row>
    <row r="606" spans="1:3" x14ac:dyDescent="0.3">
      <c r="A606" s="31">
        <v>46107</v>
      </c>
      <c r="B606" t="str">
        <v>Engagement Rate</v>
      </c>
      <c r="C606">
        <v>4.4386422976501305E-2</v>
      </c>
    </row>
    <row r="607" spans="1:3" x14ac:dyDescent="0.3">
      <c r="A607" s="31">
        <v>46107</v>
      </c>
      <c r="B607" t="str">
        <v>Brand Awareness</v>
      </c>
      <c r="C607">
        <v>37</v>
      </c>
    </row>
    <row r="608" spans="1:3" x14ac:dyDescent="0.3">
      <c r="A608" s="31">
        <v>46108</v>
      </c>
      <c r="B608" t="str">
        <v>Views</v>
      </c>
      <c r="C608">
        <v>824</v>
      </c>
    </row>
    <row r="609" spans="1:3" x14ac:dyDescent="0.3">
      <c r="A609" s="31">
        <v>46108</v>
      </c>
      <c r="B609" t="str">
        <v>Total Watch Time (s)</v>
      </c>
      <c r="C609">
        <v>17304</v>
      </c>
    </row>
    <row r="610" spans="1:3" x14ac:dyDescent="0.3">
      <c r="A610" s="31">
        <v>46108</v>
      </c>
      <c r="B610" t="str">
        <v>Likes</v>
      </c>
      <c r="C610">
        <v>23</v>
      </c>
    </row>
    <row r="611" spans="1:3" x14ac:dyDescent="0.3">
      <c r="A611" s="31">
        <v>46108</v>
      </c>
      <c r="B611" t="str">
        <v>Saves</v>
      </c>
      <c r="C611">
        <v>11</v>
      </c>
    </row>
    <row r="612" spans="1:3" x14ac:dyDescent="0.3">
      <c r="A612" s="31">
        <v>46108</v>
      </c>
      <c r="B612" t="str">
        <v>Comments</v>
      </c>
      <c r="C612">
        <v>2</v>
      </c>
    </row>
    <row r="613" spans="1:3" x14ac:dyDescent="0.3">
      <c r="A613" s="31">
        <v>46108</v>
      </c>
      <c r="B613" t="str">
        <v>Shares</v>
      </c>
      <c r="C613">
        <v>4</v>
      </c>
    </row>
    <row r="614" spans="1:3" x14ac:dyDescent="0.3">
      <c r="A614" s="31">
        <v>46108</v>
      </c>
      <c r="B614" t="str">
        <v>Profile Visits</v>
      </c>
      <c r="C614">
        <v>36</v>
      </c>
    </row>
    <row r="615" spans="1:3" x14ac:dyDescent="0.3">
      <c r="A615" s="31">
        <v>46108</v>
      </c>
      <c r="B615" t="str">
        <v>New Followers</v>
      </c>
      <c r="C615">
        <v>5</v>
      </c>
    </row>
    <row r="616" spans="1:3" x14ac:dyDescent="0.3">
      <c r="A616" s="31">
        <v>46108</v>
      </c>
      <c r="B616" t="str">
        <v>Engagement</v>
      </c>
      <c r="C616">
        <v>40</v>
      </c>
    </row>
    <row r="617" spans="1:3" x14ac:dyDescent="0.3">
      <c r="A617" s="31">
        <v>46108</v>
      </c>
      <c r="B617" t="str">
        <v>Engagement Rate</v>
      </c>
      <c r="C617">
        <v>4.8543689320388349E-2</v>
      </c>
    </row>
    <row r="618" spans="1:3" x14ac:dyDescent="0.3">
      <c r="A618" s="31">
        <v>46108</v>
      </c>
      <c r="B618" t="str">
        <v>Brand Awareness</v>
      </c>
      <c r="C618">
        <v>41</v>
      </c>
    </row>
    <row r="619" spans="1:3" x14ac:dyDescent="0.3">
      <c r="A619" s="31">
        <v>46109</v>
      </c>
      <c r="B619" t="str">
        <v>Views</v>
      </c>
      <c r="C619">
        <v>2466</v>
      </c>
    </row>
    <row r="620" spans="1:3" x14ac:dyDescent="0.3">
      <c r="A620" s="31">
        <v>46109</v>
      </c>
      <c r="B620" t="str">
        <v>Total Watch Time (s)</v>
      </c>
      <c r="C620">
        <v>69048</v>
      </c>
    </row>
    <row r="621" spans="1:3" x14ac:dyDescent="0.3">
      <c r="A621" s="31">
        <v>46109</v>
      </c>
      <c r="B621" t="str">
        <v>Likes</v>
      </c>
      <c r="C621">
        <v>77</v>
      </c>
    </row>
    <row r="622" spans="1:3" x14ac:dyDescent="0.3">
      <c r="A622" s="31">
        <v>46109</v>
      </c>
      <c r="B622" t="str">
        <v>Saves</v>
      </c>
      <c r="C622">
        <v>31</v>
      </c>
    </row>
    <row r="623" spans="1:3" x14ac:dyDescent="0.3">
      <c r="A623" s="31">
        <v>46109</v>
      </c>
      <c r="B623" t="str">
        <v>Comments</v>
      </c>
      <c r="C623">
        <v>9</v>
      </c>
    </row>
    <row r="624" spans="1:3" x14ac:dyDescent="0.3">
      <c r="A624" s="31">
        <v>46109</v>
      </c>
      <c r="B624" t="str">
        <v>Shares</v>
      </c>
      <c r="C624">
        <v>6</v>
      </c>
    </row>
    <row r="625" spans="1:3" x14ac:dyDescent="0.3">
      <c r="A625" s="31">
        <v>46109</v>
      </c>
      <c r="B625" t="str">
        <v>Profile Visits</v>
      </c>
      <c r="C625">
        <v>175</v>
      </c>
    </row>
    <row r="626" spans="1:3" x14ac:dyDescent="0.3">
      <c r="A626" s="31">
        <v>46109</v>
      </c>
      <c r="B626" t="str">
        <v>New Followers</v>
      </c>
      <c r="C626">
        <v>34</v>
      </c>
    </row>
    <row r="627" spans="1:3" x14ac:dyDescent="0.3">
      <c r="A627" s="31">
        <v>46109</v>
      </c>
      <c r="B627" t="str">
        <v>Engagement</v>
      </c>
      <c r="C627">
        <v>123</v>
      </c>
    </row>
    <row r="628" spans="1:3" x14ac:dyDescent="0.3">
      <c r="A628" s="31">
        <v>46109</v>
      </c>
      <c r="B628" t="str">
        <v>Engagement Rate</v>
      </c>
      <c r="C628">
        <v>4.9878345498783457E-2</v>
      </c>
    </row>
    <row r="629" spans="1:3" x14ac:dyDescent="0.3">
      <c r="A629" s="31">
        <v>46109</v>
      </c>
      <c r="B629" t="str">
        <v>Brand Awareness</v>
      </c>
      <c r="C629">
        <v>209</v>
      </c>
    </row>
    <row r="630" spans="1:3" x14ac:dyDescent="0.3">
      <c r="A630" s="31">
        <v>46110</v>
      </c>
      <c r="B630" t="str">
        <v>Views</v>
      </c>
      <c r="C630">
        <v>832</v>
      </c>
    </row>
    <row r="631" spans="1:3" x14ac:dyDescent="0.3">
      <c r="A631" s="31">
        <v>46110</v>
      </c>
      <c r="B631" t="str">
        <v>Total Watch Time (s)</v>
      </c>
      <c r="C631">
        <v>25792</v>
      </c>
    </row>
    <row r="632" spans="1:3" x14ac:dyDescent="0.3">
      <c r="A632" s="31">
        <v>46110</v>
      </c>
      <c r="B632" t="str">
        <v>Likes</v>
      </c>
      <c r="C632">
        <v>19</v>
      </c>
    </row>
    <row r="633" spans="1:3" x14ac:dyDescent="0.3">
      <c r="A633" s="31">
        <v>46110</v>
      </c>
      <c r="B633" t="str">
        <v>Saves</v>
      </c>
      <c r="C633">
        <v>6</v>
      </c>
    </row>
    <row r="634" spans="1:3" x14ac:dyDescent="0.3">
      <c r="A634" s="31">
        <v>46110</v>
      </c>
      <c r="B634" t="str">
        <v>Comments</v>
      </c>
      <c r="C634">
        <v>2</v>
      </c>
    </row>
    <row r="635" spans="1:3" x14ac:dyDescent="0.3">
      <c r="A635" s="31">
        <v>46110</v>
      </c>
      <c r="B635" t="str">
        <v>Shares</v>
      </c>
      <c r="C635">
        <v>2</v>
      </c>
    </row>
    <row r="636" spans="1:3" x14ac:dyDescent="0.3">
      <c r="A636" s="31">
        <v>46110</v>
      </c>
      <c r="B636" t="str">
        <v>Profile Visits</v>
      </c>
      <c r="C636">
        <v>39</v>
      </c>
    </row>
    <row r="637" spans="1:3" x14ac:dyDescent="0.3">
      <c r="A637" s="31">
        <v>46110</v>
      </c>
      <c r="B637" t="str">
        <v>New Followers</v>
      </c>
      <c r="C637">
        <v>5</v>
      </c>
    </row>
    <row r="638" spans="1:3" x14ac:dyDescent="0.3">
      <c r="A638" s="31">
        <v>46110</v>
      </c>
      <c r="B638" t="str">
        <v>Engagement</v>
      </c>
      <c r="C638">
        <v>29</v>
      </c>
    </row>
    <row r="639" spans="1:3" x14ac:dyDescent="0.3">
      <c r="A639" s="31">
        <v>46110</v>
      </c>
      <c r="B639" t="str">
        <v>Engagement Rate</v>
      </c>
      <c r="C639">
        <v>3.4855769230769232E-2</v>
      </c>
    </row>
    <row r="640" spans="1:3" x14ac:dyDescent="0.3">
      <c r="A640" s="31">
        <v>46110</v>
      </c>
      <c r="B640" t="str">
        <v>Brand Awareness</v>
      </c>
      <c r="C640">
        <v>44</v>
      </c>
    </row>
    <row r="641" spans="1:3" x14ac:dyDescent="0.3">
      <c r="A641" s="31">
        <v>46111</v>
      </c>
      <c r="B641" t="str">
        <v>Views</v>
      </c>
      <c r="C641">
        <v>746</v>
      </c>
    </row>
    <row r="642" spans="1:3" x14ac:dyDescent="0.3">
      <c r="A642" s="31">
        <v>46111</v>
      </c>
      <c r="B642" t="str">
        <v>Total Watch Time (s)</v>
      </c>
      <c r="C642">
        <v>23872</v>
      </c>
    </row>
    <row r="643" spans="1:3" x14ac:dyDescent="0.3">
      <c r="A643" s="31">
        <v>46111</v>
      </c>
      <c r="B643" t="str">
        <v>Likes</v>
      </c>
      <c r="C643">
        <v>29</v>
      </c>
    </row>
    <row r="644" spans="1:3" x14ac:dyDescent="0.3">
      <c r="A644" s="31">
        <v>46111</v>
      </c>
      <c r="B644" t="str">
        <v>Saves</v>
      </c>
      <c r="C644">
        <v>10</v>
      </c>
    </row>
    <row r="645" spans="1:3" x14ac:dyDescent="0.3">
      <c r="A645" s="31">
        <v>46111</v>
      </c>
      <c r="B645" t="str">
        <v>Comments</v>
      </c>
      <c r="C645">
        <v>3</v>
      </c>
    </row>
    <row r="646" spans="1:3" x14ac:dyDescent="0.3">
      <c r="A646" s="31">
        <v>46111</v>
      </c>
      <c r="B646" t="str">
        <v>Shares</v>
      </c>
      <c r="C646">
        <v>5</v>
      </c>
    </row>
    <row r="647" spans="1:3" x14ac:dyDescent="0.3">
      <c r="A647" s="31">
        <v>46111</v>
      </c>
      <c r="B647" t="str">
        <v>Profile Visits</v>
      </c>
      <c r="C647">
        <v>31</v>
      </c>
    </row>
    <row r="648" spans="1:3" x14ac:dyDescent="0.3">
      <c r="A648" s="31">
        <v>46111</v>
      </c>
      <c r="B648" t="str">
        <v>New Followers</v>
      </c>
      <c r="C648">
        <v>5</v>
      </c>
    </row>
    <row r="649" spans="1:3" x14ac:dyDescent="0.3">
      <c r="A649" s="31">
        <v>46111</v>
      </c>
      <c r="B649" t="str">
        <v>Engagement</v>
      </c>
      <c r="C649">
        <v>47</v>
      </c>
    </row>
    <row r="650" spans="1:3" x14ac:dyDescent="0.3">
      <c r="A650" s="31">
        <v>46111</v>
      </c>
      <c r="B650" t="str">
        <v>Engagement Rate</v>
      </c>
      <c r="C650">
        <v>6.3002680965147453E-2</v>
      </c>
    </row>
    <row r="651" spans="1:3" x14ac:dyDescent="0.3">
      <c r="A651" s="31">
        <v>46111</v>
      </c>
      <c r="B651" t="str">
        <v>Brand Awareness</v>
      </c>
      <c r="C651">
        <v>36</v>
      </c>
    </row>
    <row r="652" spans="1:3" x14ac:dyDescent="0.3">
      <c r="A652" s="31">
        <v>46112</v>
      </c>
      <c r="B652" t="str">
        <v>Views</v>
      </c>
      <c r="C652">
        <v>880</v>
      </c>
    </row>
    <row r="653" spans="1:3" x14ac:dyDescent="0.3">
      <c r="A653" s="31">
        <v>46112</v>
      </c>
      <c r="B653" t="str">
        <v>Total Watch Time (s)</v>
      </c>
      <c r="C653">
        <v>16720</v>
      </c>
    </row>
    <row r="654" spans="1:3" x14ac:dyDescent="0.3">
      <c r="A654" s="31">
        <v>46112</v>
      </c>
      <c r="B654" t="str">
        <v>Likes</v>
      </c>
      <c r="C654">
        <v>29</v>
      </c>
    </row>
    <row r="655" spans="1:3" x14ac:dyDescent="0.3">
      <c r="A655" s="31">
        <v>46112</v>
      </c>
      <c r="B655" t="str">
        <v>Saves</v>
      </c>
      <c r="C655">
        <v>13</v>
      </c>
    </row>
    <row r="656" spans="1:3" x14ac:dyDescent="0.3">
      <c r="A656" s="31">
        <v>46112</v>
      </c>
      <c r="B656" t="str">
        <v>Comments</v>
      </c>
      <c r="C656">
        <v>4</v>
      </c>
    </row>
    <row r="657" spans="1:3" x14ac:dyDescent="0.3">
      <c r="A657" s="31">
        <v>46112</v>
      </c>
      <c r="B657" t="str">
        <v>Shares</v>
      </c>
      <c r="C657">
        <v>3</v>
      </c>
    </row>
    <row r="658" spans="1:3" x14ac:dyDescent="0.3">
      <c r="A658" s="31">
        <v>46112</v>
      </c>
      <c r="B658" t="str">
        <v>Profile Visits</v>
      </c>
      <c r="C658">
        <v>57</v>
      </c>
    </row>
    <row r="659" spans="1:3" x14ac:dyDescent="0.3">
      <c r="A659" s="31">
        <v>46112</v>
      </c>
      <c r="B659" t="str">
        <v>New Followers</v>
      </c>
      <c r="C659">
        <v>11</v>
      </c>
    </row>
    <row r="660" spans="1:3" x14ac:dyDescent="0.3">
      <c r="A660" s="31">
        <v>46112</v>
      </c>
      <c r="B660" t="str">
        <v>Engagement</v>
      </c>
      <c r="C660">
        <v>49</v>
      </c>
    </row>
    <row r="661" spans="1:3" x14ac:dyDescent="0.3">
      <c r="A661" s="31">
        <v>46112</v>
      </c>
      <c r="B661" t="str">
        <v>Engagement Rate</v>
      </c>
      <c r="C661">
        <v>5.568181818181818E-2</v>
      </c>
    </row>
    <row r="662" spans="1:3" x14ac:dyDescent="0.3">
      <c r="A662" s="31">
        <v>46112</v>
      </c>
      <c r="B662" t="str">
        <v>Brand Awareness</v>
      </c>
      <c r="C662">
        <v>68</v>
      </c>
    </row>
    <row r="663" spans="1:3" x14ac:dyDescent="0.3">
      <c r="A663" s="31">
        <v>46113</v>
      </c>
      <c r="B663" t="str">
        <v>Views</v>
      </c>
      <c r="C663">
        <v>845</v>
      </c>
    </row>
    <row r="664" spans="1:3" x14ac:dyDescent="0.3">
      <c r="A664" s="31">
        <v>46113</v>
      </c>
      <c r="B664" t="str">
        <v>Total Watch Time (s)</v>
      </c>
      <c r="C664">
        <v>27040</v>
      </c>
    </row>
    <row r="665" spans="1:3" x14ac:dyDescent="0.3">
      <c r="A665" s="31">
        <v>46113</v>
      </c>
      <c r="B665" t="str">
        <v>Likes</v>
      </c>
      <c r="C665">
        <v>19</v>
      </c>
    </row>
    <row r="666" spans="1:3" x14ac:dyDescent="0.3">
      <c r="A666" s="31">
        <v>46113</v>
      </c>
      <c r="B666" t="str">
        <v>Saves</v>
      </c>
      <c r="C666">
        <v>7</v>
      </c>
    </row>
    <row r="667" spans="1:3" x14ac:dyDescent="0.3">
      <c r="A667" s="31">
        <v>46113</v>
      </c>
      <c r="B667" t="str">
        <v>Comments</v>
      </c>
      <c r="C667">
        <v>2</v>
      </c>
    </row>
    <row r="668" spans="1:3" x14ac:dyDescent="0.3">
      <c r="A668" s="31">
        <v>46113</v>
      </c>
      <c r="B668" t="str">
        <v>Shares</v>
      </c>
      <c r="C668">
        <v>3</v>
      </c>
    </row>
    <row r="669" spans="1:3" x14ac:dyDescent="0.3">
      <c r="A669" s="31">
        <v>46113</v>
      </c>
      <c r="B669" t="str">
        <v>Profile Visits</v>
      </c>
      <c r="C669">
        <v>61</v>
      </c>
    </row>
    <row r="670" spans="1:3" x14ac:dyDescent="0.3">
      <c r="A670" s="31">
        <v>46113</v>
      </c>
      <c r="B670" t="str">
        <v>New Followers</v>
      </c>
      <c r="C670">
        <v>10</v>
      </c>
    </row>
    <row r="671" spans="1:3" x14ac:dyDescent="0.3">
      <c r="A671" s="31">
        <v>46113</v>
      </c>
      <c r="B671" t="str">
        <v>Engagement</v>
      </c>
      <c r="C671">
        <v>31</v>
      </c>
    </row>
    <row r="672" spans="1:3" x14ac:dyDescent="0.3">
      <c r="A672" s="31">
        <v>46113</v>
      </c>
      <c r="B672" t="str">
        <v>Engagement Rate</v>
      </c>
      <c r="C672">
        <v>3.6686390532544376E-2</v>
      </c>
    </row>
    <row r="673" spans="1:3" x14ac:dyDescent="0.3">
      <c r="A673" s="31">
        <v>46113</v>
      </c>
      <c r="B673" t="str">
        <v>Brand Awareness</v>
      </c>
      <c r="C673">
        <v>71</v>
      </c>
    </row>
    <row r="674" spans="1:3" x14ac:dyDescent="0.3">
      <c r="A674" s="31">
        <v>46114</v>
      </c>
      <c r="B674" t="str">
        <v>Views</v>
      </c>
      <c r="C674">
        <v>822</v>
      </c>
    </row>
    <row r="675" spans="1:3" x14ac:dyDescent="0.3">
      <c r="A675" s="31">
        <v>46114</v>
      </c>
      <c r="B675" t="str">
        <v>Total Watch Time (s)</v>
      </c>
      <c r="C675">
        <v>16440</v>
      </c>
    </row>
    <row r="676" spans="1:3" x14ac:dyDescent="0.3">
      <c r="A676" s="31">
        <v>46114</v>
      </c>
      <c r="B676" t="str">
        <v>Likes</v>
      </c>
      <c r="C676">
        <v>16</v>
      </c>
    </row>
    <row r="677" spans="1:3" x14ac:dyDescent="0.3">
      <c r="A677" s="31">
        <v>46114</v>
      </c>
      <c r="B677" t="str">
        <v>Saves</v>
      </c>
      <c r="C677">
        <v>8</v>
      </c>
    </row>
    <row r="678" spans="1:3" x14ac:dyDescent="0.3">
      <c r="A678" s="31">
        <v>46114</v>
      </c>
      <c r="B678" t="str">
        <v>Comments</v>
      </c>
      <c r="C678">
        <v>2</v>
      </c>
    </row>
    <row r="679" spans="1:3" x14ac:dyDescent="0.3">
      <c r="A679" s="31">
        <v>46114</v>
      </c>
      <c r="B679" t="str">
        <v>Shares</v>
      </c>
      <c r="C679">
        <v>3</v>
      </c>
    </row>
    <row r="680" spans="1:3" x14ac:dyDescent="0.3">
      <c r="A680" s="31">
        <v>46114</v>
      </c>
      <c r="B680" t="str">
        <v>Profile Visits</v>
      </c>
      <c r="C680">
        <v>57</v>
      </c>
    </row>
    <row r="681" spans="1:3" x14ac:dyDescent="0.3">
      <c r="A681" s="31">
        <v>46114</v>
      </c>
      <c r="B681" t="str">
        <v>New Followers</v>
      </c>
      <c r="C681">
        <v>9</v>
      </c>
    </row>
    <row r="682" spans="1:3" x14ac:dyDescent="0.3">
      <c r="A682" s="31">
        <v>46114</v>
      </c>
      <c r="B682" t="str">
        <v>Engagement</v>
      </c>
      <c r="C682">
        <v>29</v>
      </c>
    </row>
    <row r="683" spans="1:3" x14ac:dyDescent="0.3">
      <c r="A683" s="31">
        <v>46114</v>
      </c>
      <c r="B683" t="str">
        <v>Engagement Rate</v>
      </c>
      <c r="C683">
        <v>3.5279805352798052E-2</v>
      </c>
    </row>
    <row r="684" spans="1:3" x14ac:dyDescent="0.3">
      <c r="A684" s="31">
        <v>46114</v>
      </c>
      <c r="B684" t="str">
        <v>Brand Awareness</v>
      </c>
      <c r="C684">
        <v>66</v>
      </c>
    </row>
    <row r="685" spans="1:3" x14ac:dyDescent="0.3">
      <c r="A685" s="31">
        <v>46115</v>
      </c>
      <c r="B685" t="str">
        <v>Views</v>
      </c>
      <c r="C685">
        <v>1115</v>
      </c>
    </row>
    <row r="686" spans="1:3" x14ac:dyDescent="0.3">
      <c r="A686" s="31">
        <v>46115</v>
      </c>
      <c r="B686" t="str">
        <v>Total Watch Time (s)</v>
      </c>
      <c r="C686">
        <v>32335</v>
      </c>
    </row>
    <row r="687" spans="1:3" x14ac:dyDescent="0.3">
      <c r="A687" s="31">
        <v>46115</v>
      </c>
      <c r="B687" t="str">
        <v>Likes</v>
      </c>
      <c r="C687">
        <v>30</v>
      </c>
    </row>
    <row r="688" spans="1:3" x14ac:dyDescent="0.3">
      <c r="A688" s="31">
        <v>46115</v>
      </c>
      <c r="B688" t="str">
        <v>Saves</v>
      </c>
      <c r="C688">
        <v>11</v>
      </c>
    </row>
    <row r="689" spans="1:3" x14ac:dyDescent="0.3">
      <c r="A689" s="31">
        <v>46115</v>
      </c>
      <c r="B689" t="str">
        <v>Comments</v>
      </c>
      <c r="C689">
        <v>4</v>
      </c>
    </row>
    <row r="690" spans="1:3" x14ac:dyDescent="0.3">
      <c r="A690" s="31">
        <v>46115</v>
      </c>
      <c r="B690" t="str">
        <v>Shares</v>
      </c>
      <c r="C690">
        <v>5</v>
      </c>
    </row>
    <row r="691" spans="1:3" x14ac:dyDescent="0.3">
      <c r="A691" s="31">
        <v>46115</v>
      </c>
      <c r="B691" t="str">
        <v>Profile Visits</v>
      </c>
      <c r="C691">
        <v>77</v>
      </c>
    </row>
    <row r="692" spans="1:3" x14ac:dyDescent="0.3">
      <c r="A692" s="31">
        <v>46115</v>
      </c>
      <c r="B692" t="str">
        <v>New Followers</v>
      </c>
      <c r="C692">
        <v>8</v>
      </c>
    </row>
    <row r="693" spans="1:3" x14ac:dyDescent="0.3">
      <c r="A693" s="31">
        <v>46115</v>
      </c>
      <c r="B693" t="str">
        <v>Engagement</v>
      </c>
      <c r="C693">
        <v>50</v>
      </c>
    </row>
    <row r="694" spans="1:3" x14ac:dyDescent="0.3">
      <c r="A694" s="31">
        <v>46115</v>
      </c>
      <c r="B694" t="str">
        <v>Engagement Rate</v>
      </c>
      <c r="C694">
        <v>4.4843049327354258E-2</v>
      </c>
    </row>
    <row r="695" spans="1:3" x14ac:dyDescent="0.3">
      <c r="A695" s="31">
        <v>46115</v>
      </c>
      <c r="B695" t="str">
        <v>Brand Awareness</v>
      </c>
      <c r="C695">
        <v>85</v>
      </c>
    </row>
    <row r="696" spans="1:3" x14ac:dyDescent="0.3">
      <c r="A696" s="31">
        <v>46116</v>
      </c>
      <c r="B696" t="str">
        <v>Views</v>
      </c>
      <c r="C696">
        <v>1297</v>
      </c>
    </row>
    <row r="697" spans="1:3" x14ac:dyDescent="0.3">
      <c r="A697" s="31">
        <v>46116</v>
      </c>
      <c r="B697" t="str">
        <v>Total Watch Time (s)</v>
      </c>
      <c r="C697">
        <v>42801</v>
      </c>
    </row>
    <row r="698" spans="1:3" x14ac:dyDescent="0.3">
      <c r="A698" s="31">
        <v>46116</v>
      </c>
      <c r="B698" t="str">
        <v>Likes</v>
      </c>
      <c r="C698">
        <v>41</v>
      </c>
    </row>
    <row r="699" spans="1:3" x14ac:dyDescent="0.3">
      <c r="A699" s="31">
        <v>46116</v>
      </c>
      <c r="B699" t="str">
        <v>Saves</v>
      </c>
      <c r="C699">
        <v>19</v>
      </c>
    </row>
    <row r="700" spans="1:3" x14ac:dyDescent="0.3">
      <c r="A700" s="31">
        <v>46116</v>
      </c>
      <c r="B700" t="str">
        <v>Comments</v>
      </c>
      <c r="C700">
        <v>5</v>
      </c>
    </row>
    <row r="701" spans="1:3" x14ac:dyDescent="0.3">
      <c r="A701" s="31">
        <v>46116</v>
      </c>
      <c r="B701" t="str">
        <v>Shares</v>
      </c>
      <c r="C701">
        <v>5</v>
      </c>
    </row>
    <row r="702" spans="1:3" x14ac:dyDescent="0.3">
      <c r="A702" s="31">
        <v>46116</v>
      </c>
      <c r="B702" t="str">
        <v>Profile Visits</v>
      </c>
      <c r="C702">
        <v>59</v>
      </c>
    </row>
    <row r="703" spans="1:3" x14ac:dyDescent="0.3">
      <c r="A703" s="31">
        <v>46116</v>
      </c>
      <c r="B703" t="str">
        <v>New Followers</v>
      </c>
      <c r="C703">
        <v>8</v>
      </c>
    </row>
    <row r="704" spans="1:3" x14ac:dyDescent="0.3">
      <c r="A704" s="31">
        <v>46116</v>
      </c>
      <c r="B704" t="str">
        <v>Engagement</v>
      </c>
      <c r="C704">
        <v>70</v>
      </c>
    </row>
    <row r="705" spans="1:3" x14ac:dyDescent="0.3">
      <c r="A705" s="31">
        <v>46116</v>
      </c>
      <c r="B705" t="str">
        <v>Engagement Rate</v>
      </c>
      <c r="C705">
        <v>5.3970701619121049E-2</v>
      </c>
    </row>
    <row r="706" spans="1:3" x14ac:dyDescent="0.3">
      <c r="A706" s="31">
        <v>46116</v>
      </c>
      <c r="B706" t="str">
        <v>Brand Awareness</v>
      </c>
      <c r="C706">
        <v>67</v>
      </c>
    </row>
    <row r="707" spans="1:3" x14ac:dyDescent="0.3">
      <c r="A707" s="31">
        <v>46117</v>
      </c>
      <c r="B707" t="str">
        <v>Views</v>
      </c>
      <c r="C707">
        <v>1208</v>
      </c>
    </row>
    <row r="708" spans="1:3" x14ac:dyDescent="0.3">
      <c r="A708" s="31">
        <v>46117</v>
      </c>
      <c r="B708" t="str">
        <v>Total Watch Time (s)</v>
      </c>
      <c r="C708">
        <v>33824</v>
      </c>
    </row>
    <row r="709" spans="1:3" x14ac:dyDescent="0.3">
      <c r="A709" s="31">
        <v>46117</v>
      </c>
      <c r="B709" t="str">
        <v>Likes</v>
      </c>
      <c r="C709">
        <v>41</v>
      </c>
    </row>
    <row r="710" spans="1:3" x14ac:dyDescent="0.3">
      <c r="A710" s="31">
        <v>46117</v>
      </c>
      <c r="B710" t="str">
        <v>Saves</v>
      </c>
      <c r="C710">
        <v>20</v>
      </c>
    </row>
    <row r="711" spans="1:3" x14ac:dyDescent="0.3">
      <c r="A711" s="31">
        <v>46117</v>
      </c>
      <c r="B711" t="str">
        <v>Comments</v>
      </c>
      <c r="C711">
        <v>4</v>
      </c>
    </row>
    <row r="712" spans="1:3" x14ac:dyDescent="0.3">
      <c r="A712" s="31">
        <v>46117</v>
      </c>
      <c r="B712" t="str">
        <v>Shares</v>
      </c>
      <c r="C712">
        <v>7</v>
      </c>
    </row>
    <row r="713" spans="1:3" x14ac:dyDescent="0.3">
      <c r="A713" s="31">
        <v>46117</v>
      </c>
      <c r="B713" t="str">
        <v>Profile Visits</v>
      </c>
      <c r="C713">
        <v>75</v>
      </c>
    </row>
    <row r="714" spans="1:3" x14ac:dyDescent="0.3">
      <c r="A714" s="31">
        <v>46117</v>
      </c>
      <c r="B714" t="str">
        <v>New Followers</v>
      </c>
      <c r="C714">
        <v>12</v>
      </c>
    </row>
    <row r="715" spans="1:3" x14ac:dyDescent="0.3">
      <c r="A715" s="31">
        <v>46117</v>
      </c>
      <c r="B715" t="str">
        <v>Engagement</v>
      </c>
      <c r="C715">
        <v>72</v>
      </c>
    </row>
    <row r="716" spans="1:3" x14ac:dyDescent="0.3">
      <c r="A716" s="31">
        <v>46117</v>
      </c>
      <c r="B716" t="str">
        <v>Engagement Rate</v>
      </c>
      <c r="C716">
        <v>5.9602649006622516E-2</v>
      </c>
    </row>
    <row r="717" spans="1:3" x14ac:dyDescent="0.3">
      <c r="A717" s="31">
        <v>46117</v>
      </c>
      <c r="B717" t="str">
        <v>Brand Awareness</v>
      </c>
      <c r="C717">
        <v>87</v>
      </c>
    </row>
    <row r="718" spans="1:3" x14ac:dyDescent="0.3">
      <c r="A718" s="31">
        <v>46118</v>
      </c>
      <c r="B718" t="str">
        <v>Views</v>
      </c>
      <c r="C718">
        <v>865</v>
      </c>
    </row>
    <row r="719" spans="1:3" x14ac:dyDescent="0.3">
      <c r="A719" s="31">
        <v>46118</v>
      </c>
      <c r="B719" t="str">
        <v>Total Watch Time (s)</v>
      </c>
      <c r="C719">
        <v>25950</v>
      </c>
    </row>
    <row r="720" spans="1:3" x14ac:dyDescent="0.3">
      <c r="A720" s="31">
        <v>46118</v>
      </c>
      <c r="B720" t="str">
        <v>Likes</v>
      </c>
      <c r="C720">
        <v>26</v>
      </c>
    </row>
    <row r="721" spans="1:3" x14ac:dyDescent="0.3">
      <c r="A721" s="31">
        <v>46118</v>
      </c>
      <c r="B721" t="str">
        <v>Saves</v>
      </c>
      <c r="C721">
        <v>10</v>
      </c>
    </row>
    <row r="722" spans="1:3" x14ac:dyDescent="0.3">
      <c r="A722" s="31">
        <v>46118</v>
      </c>
      <c r="B722" t="str">
        <v>Comments</v>
      </c>
      <c r="C722">
        <v>4</v>
      </c>
    </row>
    <row r="723" spans="1:3" x14ac:dyDescent="0.3">
      <c r="A723" s="31">
        <v>46118</v>
      </c>
      <c r="B723" t="str">
        <v>Shares</v>
      </c>
      <c r="C723">
        <v>3</v>
      </c>
    </row>
    <row r="724" spans="1:3" x14ac:dyDescent="0.3">
      <c r="A724" s="31">
        <v>46118</v>
      </c>
      <c r="B724" t="str">
        <v>Profile Visits</v>
      </c>
      <c r="C724">
        <v>61</v>
      </c>
    </row>
    <row r="725" spans="1:3" x14ac:dyDescent="0.3">
      <c r="A725" s="31">
        <v>46118</v>
      </c>
      <c r="B725" t="str">
        <v>New Followers</v>
      </c>
      <c r="C725">
        <v>12</v>
      </c>
    </row>
    <row r="726" spans="1:3" x14ac:dyDescent="0.3">
      <c r="A726" s="31">
        <v>46118</v>
      </c>
      <c r="B726" t="str">
        <v>Engagement</v>
      </c>
      <c r="C726">
        <v>43</v>
      </c>
    </row>
    <row r="727" spans="1:3" x14ac:dyDescent="0.3">
      <c r="A727" s="31">
        <v>46118</v>
      </c>
      <c r="B727" t="str">
        <v>Engagement Rate</v>
      </c>
      <c r="C727">
        <v>4.971098265895954E-2</v>
      </c>
    </row>
    <row r="728" spans="1:3" x14ac:dyDescent="0.3">
      <c r="A728" s="31">
        <v>46118</v>
      </c>
      <c r="B728" t="str">
        <v>Brand Awareness</v>
      </c>
      <c r="C728">
        <v>73</v>
      </c>
    </row>
    <row r="729" spans="1:3" x14ac:dyDescent="0.3">
      <c r="A729" s="31">
        <v>46119</v>
      </c>
      <c r="B729" t="str">
        <v>Views</v>
      </c>
      <c r="C729">
        <v>779</v>
      </c>
    </row>
    <row r="730" spans="1:3" x14ac:dyDescent="0.3">
      <c r="A730" s="31">
        <v>46119</v>
      </c>
      <c r="B730" t="str">
        <v>Total Watch Time (s)</v>
      </c>
      <c r="C730">
        <v>14022</v>
      </c>
    </row>
    <row r="731" spans="1:3" x14ac:dyDescent="0.3">
      <c r="A731" s="31">
        <v>46119</v>
      </c>
      <c r="B731" t="str">
        <v>Likes</v>
      </c>
      <c r="C731">
        <v>22</v>
      </c>
    </row>
    <row r="732" spans="1:3" x14ac:dyDescent="0.3">
      <c r="A732" s="31">
        <v>46119</v>
      </c>
      <c r="B732" t="str">
        <v>Saves</v>
      </c>
      <c r="C732">
        <v>8</v>
      </c>
    </row>
    <row r="733" spans="1:3" x14ac:dyDescent="0.3">
      <c r="A733" s="31">
        <v>46119</v>
      </c>
      <c r="B733" t="str">
        <v>Comments</v>
      </c>
      <c r="C733">
        <v>3</v>
      </c>
    </row>
    <row r="734" spans="1:3" x14ac:dyDescent="0.3">
      <c r="A734" s="31">
        <v>46119</v>
      </c>
      <c r="B734" t="str">
        <v>Shares</v>
      </c>
      <c r="C734">
        <v>2</v>
      </c>
    </row>
    <row r="735" spans="1:3" x14ac:dyDescent="0.3">
      <c r="A735" s="31">
        <v>46119</v>
      </c>
      <c r="B735" t="str">
        <v>Profile Visits</v>
      </c>
      <c r="C735">
        <v>34</v>
      </c>
    </row>
    <row r="736" spans="1:3" x14ac:dyDescent="0.3">
      <c r="A736" s="31">
        <v>46119</v>
      </c>
      <c r="B736" t="str">
        <v>New Followers</v>
      </c>
      <c r="C736">
        <v>4</v>
      </c>
    </row>
    <row r="737" spans="1:3" x14ac:dyDescent="0.3">
      <c r="A737" s="31">
        <v>46119</v>
      </c>
      <c r="B737" t="str">
        <v>Engagement</v>
      </c>
      <c r="C737">
        <v>35</v>
      </c>
    </row>
    <row r="738" spans="1:3" x14ac:dyDescent="0.3">
      <c r="A738" s="31">
        <v>46119</v>
      </c>
      <c r="B738" t="str">
        <v>Engagement Rate</v>
      </c>
      <c r="C738">
        <v>4.4929396662387676E-2</v>
      </c>
    </row>
    <row r="739" spans="1:3" x14ac:dyDescent="0.3">
      <c r="A739" s="31">
        <v>46119</v>
      </c>
      <c r="B739" t="str">
        <v>Brand Awareness</v>
      </c>
      <c r="C739">
        <v>38</v>
      </c>
    </row>
    <row r="740" spans="1:3" x14ac:dyDescent="0.3">
      <c r="A740" s="31">
        <v>46120</v>
      </c>
      <c r="B740" t="str">
        <v>Views</v>
      </c>
      <c r="C740">
        <v>749</v>
      </c>
    </row>
    <row r="741" spans="1:3" x14ac:dyDescent="0.3">
      <c r="A741" s="31">
        <v>46120</v>
      </c>
      <c r="B741" t="str">
        <v>Total Watch Time (s)</v>
      </c>
      <c r="C741">
        <v>23968</v>
      </c>
    </row>
    <row r="742" spans="1:3" x14ac:dyDescent="0.3">
      <c r="A742" s="31">
        <v>46120</v>
      </c>
      <c r="B742" t="str">
        <v>Likes</v>
      </c>
      <c r="C742">
        <v>21</v>
      </c>
    </row>
    <row r="743" spans="1:3" x14ac:dyDescent="0.3">
      <c r="A743" s="31">
        <v>46120</v>
      </c>
      <c r="B743" t="str">
        <v>Saves</v>
      </c>
      <c r="C743">
        <v>10</v>
      </c>
    </row>
    <row r="744" spans="1:3" x14ac:dyDescent="0.3">
      <c r="A744" s="31">
        <v>46120</v>
      </c>
      <c r="B744" t="str">
        <v>Comments</v>
      </c>
      <c r="C744">
        <v>3</v>
      </c>
    </row>
    <row r="745" spans="1:3" x14ac:dyDescent="0.3">
      <c r="A745" s="31">
        <v>46120</v>
      </c>
      <c r="B745" t="str">
        <v>Shares</v>
      </c>
      <c r="C745">
        <v>4</v>
      </c>
    </row>
    <row r="746" spans="1:3" x14ac:dyDescent="0.3">
      <c r="A746" s="31">
        <v>46120</v>
      </c>
      <c r="B746" t="str">
        <v>Profile Visits</v>
      </c>
      <c r="C746">
        <v>45</v>
      </c>
    </row>
    <row r="747" spans="1:3" x14ac:dyDescent="0.3">
      <c r="A747" s="31">
        <v>46120</v>
      </c>
      <c r="B747" t="str">
        <v>New Followers</v>
      </c>
      <c r="C747">
        <v>7</v>
      </c>
    </row>
    <row r="748" spans="1:3" x14ac:dyDescent="0.3">
      <c r="A748" s="31">
        <v>46120</v>
      </c>
      <c r="B748" t="str">
        <v>Engagement</v>
      </c>
      <c r="C748">
        <v>38</v>
      </c>
    </row>
    <row r="749" spans="1:3" x14ac:dyDescent="0.3">
      <c r="A749" s="31">
        <v>46120</v>
      </c>
      <c r="B749" t="str">
        <v>Engagement Rate</v>
      </c>
      <c r="C749">
        <v>5.0734312416555405E-2</v>
      </c>
    </row>
    <row r="750" spans="1:3" x14ac:dyDescent="0.3">
      <c r="A750" s="31">
        <v>46120</v>
      </c>
      <c r="B750" t="str">
        <v>Brand Awareness</v>
      </c>
      <c r="C750">
        <v>52</v>
      </c>
    </row>
    <row r="751" spans="1:3" x14ac:dyDescent="0.3">
      <c r="A751" s="31">
        <v>46121</v>
      </c>
      <c r="B751" t="str">
        <v>Views</v>
      </c>
      <c r="C751">
        <v>887</v>
      </c>
    </row>
    <row r="752" spans="1:3" x14ac:dyDescent="0.3">
      <c r="A752" s="31">
        <v>46121</v>
      </c>
      <c r="B752" t="str">
        <v>Total Watch Time (s)</v>
      </c>
      <c r="C752">
        <v>27497</v>
      </c>
    </row>
    <row r="753" spans="1:3" x14ac:dyDescent="0.3">
      <c r="A753" s="31">
        <v>46121</v>
      </c>
      <c r="B753" t="str">
        <v>Likes</v>
      </c>
      <c r="C753">
        <v>23</v>
      </c>
    </row>
    <row r="754" spans="1:3" x14ac:dyDescent="0.3">
      <c r="A754" s="31">
        <v>46121</v>
      </c>
      <c r="B754" t="str">
        <v>Saves</v>
      </c>
      <c r="C754">
        <v>10</v>
      </c>
    </row>
    <row r="755" spans="1:3" x14ac:dyDescent="0.3">
      <c r="A755" s="31">
        <v>46121</v>
      </c>
      <c r="B755" t="str">
        <v>Comments</v>
      </c>
      <c r="C755">
        <v>3</v>
      </c>
    </row>
    <row r="756" spans="1:3" x14ac:dyDescent="0.3">
      <c r="A756" s="31">
        <v>46121</v>
      </c>
      <c r="B756" t="str">
        <v>Shares</v>
      </c>
      <c r="C756">
        <v>2</v>
      </c>
    </row>
    <row r="757" spans="1:3" x14ac:dyDescent="0.3">
      <c r="A757" s="31">
        <v>46121</v>
      </c>
      <c r="B757" t="str">
        <v>Profile Visits</v>
      </c>
      <c r="C757">
        <v>50</v>
      </c>
    </row>
    <row r="758" spans="1:3" x14ac:dyDescent="0.3">
      <c r="A758" s="31">
        <v>46121</v>
      </c>
      <c r="B758" t="str">
        <v>New Followers</v>
      </c>
      <c r="C758">
        <v>9</v>
      </c>
    </row>
    <row r="759" spans="1:3" x14ac:dyDescent="0.3">
      <c r="A759" s="31">
        <v>46121</v>
      </c>
      <c r="B759" t="str">
        <v>Engagement</v>
      </c>
      <c r="C759">
        <v>38</v>
      </c>
    </row>
    <row r="760" spans="1:3" x14ac:dyDescent="0.3">
      <c r="A760" s="31">
        <v>46121</v>
      </c>
      <c r="B760" t="str">
        <v>Engagement Rate</v>
      </c>
      <c r="C760">
        <v>4.2841037204058623E-2</v>
      </c>
    </row>
    <row r="761" spans="1:3" x14ac:dyDescent="0.3">
      <c r="A761" s="31">
        <v>46121</v>
      </c>
      <c r="B761" t="str">
        <v>Brand Awareness</v>
      </c>
      <c r="C761">
        <v>59</v>
      </c>
    </row>
    <row r="762" spans="1:3" x14ac:dyDescent="0.3">
      <c r="A762" s="31">
        <v>46122</v>
      </c>
      <c r="B762" t="str">
        <v>Views</v>
      </c>
      <c r="C762">
        <v>671</v>
      </c>
    </row>
    <row r="763" spans="1:3" x14ac:dyDescent="0.3">
      <c r="A763" s="31">
        <v>46122</v>
      </c>
      <c r="B763" t="str">
        <v>Total Watch Time (s)</v>
      </c>
      <c r="C763">
        <v>21472</v>
      </c>
    </row>
    <row r="764" spans="1:3" x14ac:dyDescent="0.3">
      <c r="A764" s="31">
        <v>46122</v>
      </c>
      <c r="B764" t="str">
        <v>Likes</v>
      </c>
      <c r="C764">
        <v>26</v>
      </c>
    </row>
    <row r="765" spans="1:3" x14ac:dyDescent="0.3">
      <c r="A765" s="31">
        <v>46122</v>
      </c>
      <c r="B765" t="str">
        <v>Saves</v>
      </c>
      <c r="C765">
        <v>13</v>
      </c>
    </row>
    <row r="766" spans="1:3" x14ac:dyDescent="0.3">
      <c r="A766" s="31">
        <v>46122</v>
      </c>
      <c r="B766" t="str">
        <v>Comments</v>
      </c>
      <c r="C766">
        <v>4</v>
      </c>
    </row>
    <row r="767" spans="1:3" x14ac:dyDescent="0.3">
      <c r="A767" s="31">
        <v>46122</v>
      </c>
      <c r="B767" t="str">
        <v>Shares</v>
      </c>
      <c r="C767">
        <v>3</v>
      </c>
    </row>
    <row r="768" spans="1:3" x14ac:dyDescent="0.3">
      <c r="A768" s="31">
        <v>46122</v>
      </c>
      <c r="B768" t="str">
        <v>Profile Visits</v>
      </c>
      <c r="C768">
        <v>33</v>
      </c>
    </row>
    <row r="769" spans="1:3" x14ac:dyDescent="0.3">
      <c r="A769" s="31">
        <v>46122</v>
      </c>
      <c r="B769" t="str">
        <v>New Followers</v>
      </c>
      <c r="C769">
        <v>6</v>
      </c>
    </row>
    <row r="770" spans="1:3" x14ac:dyDescent="0.3">
      <c r="A770" s="31">
        <v>46122</v>
      </c>
      <c r="B770" t="str">
        <v>Engagement</v>
      </c>
      <c r="C770">
        <v>46</v>
      </c>
    </row>
    <row r="771" spans="1:3" x14ac:dyDescent="0.3">
      <c r="A771" s="31">
        <v>46122</v>
      </c>
      <c r="B771" t="str">
        <v>Engagement Rate</v>
      </c>
      <c r="C771">
        <v>6.8554396423248884E-2</v>
      </c>
    </row>
    <row r="772" spans="1:3" x14ac:dyDescent="0.3">
      <c r="A772" s="31">
        <v>46122</v>
      </c>
      <c r="B772" t="str">
        <v>Brand Awareness</v>
      </c>
      <c r="C772">
        <v>39</v>
      </c>
    </row>
    <row r="773" spans="1:3" x14ac:dyDescent="0.3">
      <c r="A773" s="31">
        <v>46123</v>
      </c>
      <c r="B773" t="str">
        <v>Views</v>
      </c>
      <c r="C773">
        <v>1050</v>
      </c>
    </row>
    <row r="774" spans="1:3" x14ac:dyDescent="0.3">
      <c r="A774" s="31">
        <v>46123</v>
      </c>
      <c r="B774" t="str">
        <v>Total Watch Time (s)</v>
      </c>
      <c r="C774">
        <v>30450</v>
      </c>
    </row>
    <row r="775" spans="1:3" x14ac:dyDescent="0.3">
      <c r="A775" s="31">
        <v>46123</v>
      </c>
      <c r="B775" t="str">
        <v>Likes</v>
      </c>
      <c r="C775">
        <v>30</v>
      </c>
    </row>
    <row r="776" spans="1:3" x14ac:dyDescent="0.3">
      <c r="A776" s="31">
        <v>46123</v>
      </c>
      <c r="B776" t="str">
        <v>Saves</v>
      </c>
      <c r="C776">
        <v>14</v>
      </c>
    </row>
    <row r="777" spans="1:3" x14ac:dyDescent="0.3">
      <c r="A777" s="31">
        <v>46123</v>
      </c>
      <c r="B777" t="str">
        <v>Comments</v>
      </c>
      <c r="C777">
        <v>3</v>
      </c>
    </row>
    <row r="778" spans="1:3" x14ac:dyDescent="0.3">
      <c r="A778" s="31">
        <v>46123</v>
      </c>
      <c r="B778" t="str">
        <v>Shares</v>
      </c>
      <c r="C778">
        <v>4</v>
      </c>
    </row>
    <row r="779" spans="1:3" x14ac:dyDescent="0.3">
      <c r="A779" s="31">
        <v>46123</v>
      </c>
      <c r="B779" t="str">
        <v>Profile Visits</v>
      </c>
      <c r="C779">
        <v>55</v>
      </c>
    </row>
    <row r="780" spans="1:3" x14ac:dyDescent="0.3">
      <c r="A780" s="31">
        <v>46123</v>
      </c>
      <c r="B780" t="str">
        <v>New Followers</v>
      </c>
      <c r="C780">
        <v>10</v>
      </c>
    </row>
    <row r="781" spans="1:3" x14ac:dyDescent="0.3">
      <c r="A781" s="31">
        <v>46123</v>
      </c>
      <c r="B781" t="str">
        <v>Engagement</v>
      </c>
      <c r="C781">
        <v>51</v>
      </c>
    </row>
    <row r="782" spans="1:3" x14ac:dyDescent="0.3">
      <c r="A782" s="31">
        <v>46123</v>
      </c>
      <c r="B782" t="str">
        <v>Engagement Rate</v>
      </c>
      <c r="C782">
        <v>4.8571428571428571E-2</v>
      </c>
    </row>
    <row r="783" spans="1:3" x14ac:dyDescent="0.3">
      <c r="A783" s="31">
        <v>46123</v>
      </c>
      <c r="B783" t="str">
        <v>Brand Awareness</v>
      </c>
      <c r="C783">
        <v>65</v>
      </c>
    </row>
    <row r="784" spans="1:3" x14ac:dyDescent="0.3">
      <c r="A784" s="31">
        <v>46124</v>
      </c>
      <c r="B784" t="str">
        <v>Views</v>
      </c>
      <c r="C784">
        <v>771</v>
      </c>
    </row>
    <row r="785" spans="1:3" x14ac:dyDescent="0.3">
      <c r="A785" s="31">
        <v>46124</v>
      </c>
      <c r="B785" t="str">
        <v>Total Watch Time (s)</v>
      </c>
      <c r="C785">
        <v>18504</v>
      </c>
    </row>
    <row r="786" spans="1:3" x14ac:dyDescent="0.3">
      <c r="A786" s="31">
        <v>46124</v>
      </c>
      <c r="B786" t="str">
        <v>Likes</v>
      </c>
      <c r="C786">
        <v>21</v>
      </c>
    </row>
    <row r="787" spans="1:3" x14ac:dyDescent="0.3">
      <c r="A787" s="31">
        <v>46124</v>
      </c>
      <c r="B787" t="str">
        <v>Saves</v>
      </c>
      <c r="C787">
        <v>9</v>
      </c>
    </row>
    <row r="788" spans="1:3" x14ac:dyDescent="0.3">
      <c r="A788" s="31">
        <v>46124</v>
      </c>
      <c r="B788" t="str">
        <v>Comments</v>
      </c>
      <c r="C788">
        <v>2</v>
      </c>
    </row>
    <row r="789" spans="1:3" x14ac:dyDescent="0.3">
      <c r="A789" s="31">
        <v>46124</v>
      </c>
      <c r="B789" t="str">
        <v>Shares</v>
      </c>
      <c r="C789">
        <v>3</v>
      </c>
    </row>
    <row r="790" spans="1:3" x14ac:dyDescent="0.3">
      <c r="A790" s="31">
        <v>46124</v>
      </c>
      <c r="B790" t="str">
        <v>Profile Visits</v>
      </c>
      <c r="C790">
        <v>36</v>
      </c>
    </row>
    <row r="791" spans="1:3" x14ac:dyDescent="0.3">
      <c r="A791" s="31">
        <v>46124</v>
      </c>
      <c r="B791" t="str">
        <v>New Followers</v>
      </c>
      <c r="C791">
        <v>4</v>
      </c>
    </row>
    <row r="792" spans="1:3" x14ac:dyDescent="0.3">
      <c r="A792" s="31">
        <v>46124</v>
      </c>
      <c r="B792" t="str">
        <v>Engagement</v>
      </c>
      <c r="C792">
        <v>35</v>
      </c>
    </row>
    <row r="793" spans="1:3" x14ac:dyDescent="0.3">
      <c r="A793" s="31">
        <v>46124</v>
      </c>
      <c r="B793" t="str">
        <v>Engagement Rate</v>
      </c>
      <c r="C793">
        <v>4.5395590142671853E-2</v>
      </c>
    </row>
    <row r="794" spans="1:3" x14ac:dyDescent="0.3">
      <c r="A794" s="31">
        <v>46124</v>
      </c>
      <c r="B794" t="str">
        <v>Brand Awareness</v>
      </c>
      <c r="C794">
        <v>40</v>
      </c>
    </row>
    <row r="795" spans="1:3" x14ac:dyDescent="0.3">
      <c r="A795" s="31">
        <v>46125</v>
      </c>
      <c r="B795" t="str">
        <v>Views</v>
      </c>
      <c r="C795">
        <v>818</v>
      </c>
    </row>
    <row r="796" spans="1:3" x14ac:dyDescent="0.3">
      <c r="A796" s="31">
        <v>46125</v>
      </c>
      <c r="B796" t="str">
        <v>Total Watch Time (s)</v>
      </c>
      <c r="C796">
        <v>26176</v>
      </c>
    </row>
    <row r="797" spans="1:3" x14ac:dyDescent="0.3">
      <c r="A797" s="31">
        <v>46125</v>
      </c>
      <c r="B797" t="str">
        <v>Likes</v>
      </c>
      <c r="C797">
        <v>34</v>
      </c>
    </row>
    <row r="798" spans="1:3" x14ac:dyDescent="0.3">
      <c r="A798" s="31">
        <v>46125</v>
      </c>
      <c r="B798" t="str">
        <v>Saves</v>
      </c>
      <c r="C798">
        <v>17</v>
      </c>
    </row>
    <row r="799" spans="1:3" x14ac:dyDescent="0.3">
      <c r="A799" s="31">
        <v>46125</v>
      </c>
      <c r="B799" t="str">
        <v>Comments</v>
      </c>
      <c r="C799">
        <v>3</v>
      </c>
    </row>
    <row r="800" spans="1:3" x14ac:dyDescent="0.3">
      <c r="A800" s="31">
        <v>46125</v>
      </c>
      <c r="B800" t="str">
        <v>Shares</v>
      </c>
      <c r="C800">
        <v>4</v>
      </c>
    </row>
    <row r="801" spans="1:3" x14ac:dyDescent="0.3">
      <c r="A801" s="31">
        <v>46125</v>
      </c>
      <c r="B801" t="str">
        <v>Profile Visits</v>
      </c>
      <c r="C801">
        <v>56</v>
      </c>
    </row>
    <row r="802" spans="1:3" x14ac:dyDescent="0.3">
      <c r="A802" s="31">
        <v>46125</v>
      </c>
      <c r="B802" t="str">
        <v>New Followers</v>
      </c>
      <c r="C802">
        <v>10</v>
      </c>
    </row>
    <row r="803" spans="1:3" x14ac:dyDescent="0.3">
      <c r="A803" s="31">
        <v>46125</v>
      </c>
      <c r="B803" t="str">
        <v>Engagement</v>
      </c>
      <c r="C803">
        <v>58</v>
      </c>
    </row>
    <row r="804" spans="1:3" x14ac:dyDescent="0.3">
      <c r="A804" s="31">
        <v>46125</v>
      </c>
      <c r="B804" t="str">
        <v>Engagement Rate</v>
      </c>
      <c r="C804">
        <v>7.090464547677261E-2</v>
      </c>
    </row>
    <row r="805" spans="1:3" x14ac:dyDescent="0.3">
      <c r="A805" s="31">
        <v>46125</v>
      </c>
      <c r="B805" t="str">
        <v>Brand Awareness</v>
      </c>
      <c r="C805">
        <v>66</v>
      </c>
    </row>
    <row r="806" spans="1:3" x14ac:dyDescent="0.3">
      <c r="A806" s="31">
        <v>46126</v>
      </c>
      <c r="B806" t="str">
        <v>Views</v>
      </c>
      <c r="C806">
        <v>654</v>
      </c>
    </row>
    <row r="807" spans="1:3" x14ac:dyDescent="0.3">
      <c r="A807" s="31">
        <v>46126</v>
      </c>
      <c r="B807" t="str">
        <v>Total Watch Time (s)</v>
      </c>
      <c r="C807">
        <v>19620</v>
      </c>
    </row>
    <row r="808" spans="1:3" x14ac:dyDescent="0.3">
      <c r="A808" s="31">
        <v>46126</v>
      </c>
      <c r="B808" t="str">
        <v>Likes</v>
      </c>
      <c r="C808">
        <v>19</v>
      </c>
    </row>
    <row r="809" spans="1:3" x14ac:dyDescent="0.3">
      <c r="A809" s="31">
        <v>46126</v>
      </c>
      <c r="B809" t="str">
        <v>Saves</v>
      </c>
      <c r="C809">
        <v>7</v>
      </c>
    </row>
    <row r="810" spans="1:3" x14ac:dyDescent="0.3">
      <c r="A810" s="31">
        <v>46126</v>
      </c>
      <c r="B810" t="str">
        <v>Comments</v>
      </c>
      <c r="C810">
        <v>3</v>
      </c>
    </row>
    <row r="811" spans="1:3" x14ac:dyDescent="0.3">
      <c r="A811" s="31">
        <v>46126</v>
      </c>
      <c r="B811" t="str">
        <v>Shares</v>
      </c>
      <c r="C811">
        <v>2</v>
      </c>
    </row>
    <row r="812" spans="1:3" x14ac:dyDescent="0.3">
      <c r="A812" s="31">
        <v>46126</v>
      </c>
      <c r="B812" t="str">
        <v>Profile Visits</v>
      </c>
      <c r="C812">
        <v>50</v>
      </c>
    </row>
    <row r="813" spans="1:3" x14ac:dyDescent="0.3">
      <c r="A813" s="31">
        <v>46126</v>
      </c>
      <c r="B813" t="str">
        <v>New Followers</v>
      </c>
      <c r="C813">
        <v>7</v>
      </c>
    </row>
    <row r="814" spans="1:3" x14ac:dyDescent="0.3">
      <c r="A814" s="31">
        <v>46126</v>
      </c>
      <c r="B814" t="str">
        <v>Engagement</v>
      </c>
      <c r="C814">
        <v>31</v>
      </c>
    </row>
    <row r="815" spans="1:3" x14ac:dyDescent="0.3">
      <c r="A815" s="31">
        <v>46126</v>
      </c>
      <c r="B815" t="str">
        <v>Engagement Rate</v>
      </c>
      <c r="C815">
        <v>4.7400611620795105E-2</v>
      </c>
    </row>
    <row r="816" spans="1:3" x14ac:dyDescent="0.3">
      <c r="A816" s="31">
        <v>46126</v>
      </c>
      <c r="B816" t="str">
        <v>Brand Awareness</v>
      </c>
      <c r="C816">
        <v>57</v>
      </c>
    </row>
    <row r="817" spans="1:3" x14ac:dyDescent="0.3">
      <c r="A817" s="31">
        <v>46127</v>
      </c>
      <c r="B817" t="str">
        <v>Views</v>
      </c>
      <c r="C817">
        <v>877</v>
      </c>
    </row>
    <row r="818" spans="1:3" x14ac:dyDescent="0.3">
      <c r="A818" s="31">
        <v>46127</v>
      </c>
      <c r="B818" t="str">
        <v>Total Watch Time (s)</v>
      </c>
      <c r="C818">
        <v>25433</v>
      </c>
    </row>
    <row r="819" spans="1:3" x14ac:dyDescent="0.3">
      <c r="A819" s="31">
        <v>46127</v>
      </c>
      <c r="B819" t="str">
        <v>Likes</v>
      </c>
      <c r="C819">
        <v>25</v>
      </c>
    </row>
    <row r="820" spans="1:3" x14ac:dyDescent="0.3">
      <c r="A820" s="31">
        <v>46127</v>
      </c>
      <c r="B820" t="str">
        <v>Saves</v>
      </c>
      <c r="C820">
        <v>9</v>
      </c>
    </row>
    <row r="821" spans="1:3" x14ac:dyDescent="0.3">
      <c r="A821" s="31">
        <v>46127</v>
      </c>
      <c r="B821" t="str">
        <v>Comments</v>
      </c>
      <c r="C821">
        <v>3</v>
      </c>
    </row>
    <row r="822" spans="1:3" x14ac:dyDescent="0.3">
      <c r="A822" s="31">
        <v>46127</v>
      </c>
      <c r="B822" t="str">
        <v>Shares</v>
      </c>
      <c r="C822">
        <v>4</v>
      </c>
    </row>
    <row r="823" spans="1:3" x14ac:dyDescent="0.3">
      <c r="A823" s="31">
        <v>46127</v>
      </c>
      <c r="B823" t="str">
        <v>Profile Visits</v>
      </c>
      <c r="C823">
        <v>51</v>
      </c>
    </row>
    <row r="824" spans="1:3" x14ac:dyDescent="0.3">
      <c r="A824" s="31">
        <v>46127</v>
      </c>
      <c r="B824" t="str">
        <v>New Followers</v>
      </c>
      <c r="C824">
        <v>10</v>
      </c>
    </row>
    <row r="825" spans="1:3" x14ac:dyDescent="0.3">
      <c r="A825" s="31">
        <v>46127</v>
      </c>
      <c r="B825" t="str">
        <v>Engagement</v>
      </c>
      <c r="C825">
        <v>41</v>
      </c>
    </row>
    <row r="826" spans="1:3" x14ac:dyDescent="0.3">
      <c r="A826" s="31">
        <v>46127</v>
      </c>
      <c r="B826" t="str">
        <v>Engagement Rate</v>
      </c>
      <c r="C826">
        <v>4.6750285062713795E-2</v>
      </c>
    </row>
    <row r="827" spans="1:3" x14ac:dyDescent="0.3">
      <c r="A827" s="31">
        <v>46127</v>
      </c>
      <c r="B827" t="str">
        <v>Brand Awareness</v>
      </c>
      <c r="C827">
        <v>61</v>
      </c>
    </row>
    <row r="828" spans="1:3" x14ac:dyDescent="0.3">
      <c r="A828" s="31">
        <v>46128</v>
      </c>
      <c r="B828" t="str">
        <v>Views</v>
      </c>
      <c r="C828">
        <v>771</v>
      </c>
    </row>
    <row r="829" spans="1:3" x14ac:dyDescent="0.3">
      <c r="A829" s="31">
        <v>46128</v>
      </c>
      <c r="B829" t="str">
        <v>Total Watch Time (s)</v>
      </c>
      <c r="C829">
        <v>25443</v>
      </c>
    </row>
    <row r="830" spans="1:3" x14ac:dyDescent="0.3">
      <c r="A830" s="31">
        <v>46128</v>
      </c>
      <c r="B830" t="str">
        <v>Likes</v>
      </c>
      <c r="C830">
        <v>28</v>
      </c>
    </row>
    <row r="831" spans="1:3" x14ac:dyDescent="0.3">
      <c r="A831" s="31">
        <v>46128</v>
      </c>
      <c r="B831" t="str">
        <v>Saves</v>
      </c>
      <c r="C831">
        <v>13</v>
      </c>
    </row>
    <row r="832" spans="1:3" x14ac:dyDescent="0.3">
      <c r="A832" s="31">
        <v>46128</v>
      </c>
      <c r="B832" t="str">
        <v>Comments</v>
      </c>
      <c r="C832">
        <v>3</v>
      </c>
    </row>
    <row r="833" spans="1:3" x14ac:dyDescent="0.3">
      <c r="A833" s="31">
        <v>46128</v>
      </c>
      <c r="B833" t="str">
        <v>Shares</v>
      </c>
      <c r="C833">
        <v>3</v>
      </c>
    </row>
    <row r="834" spans="1:3" x14ac:dyDescent="0.3">
      <c r="A834" s="31">
        <v>46128</v>
      </c>
      <c r="B834" t="str">
        <v>Profile Visits</v>
      </c>
      <c r="C834">
        <v>33</v>
      </c>
    </row>
    <row r="835" spans="1:3" x14ac:dyDescent="0.3">
      <c r="A835" s="31">
        <v>46128</v>
      </c>
      <c r="B835" t="str">
        <v>New Followers</v>
      </c>
      <c r="C835">
        <v>6</v>
      </c>
    </row>
    <row r="836" spans="1:3" x14ac:dyDescent="0.3">
      <c r="A836" s="31">
        <v>46128</v>
      </c>
      <c r="B836" t="str">
        <v>Engagement</v>
      </c>
      <c r="C836">
        <v>47</v>
      </c>
    </row>
    <row r="837" spans="1:3" x14ac:dyDescent="0.3">
      <c r="A837" s="31">
        <v>46128</v>
      </c>
      <c r="B837" t="str">
        <v>Engagement Rate</v>
      </c>
      <c r="C837">
        <v>6.0959792477302203E-2</v>
      </c>
    </row>
    <row r="838" spans="1:3" x14ac:dyDescent="0.3">
      <c r="A838" s="31">
        <v>46128</v>
      </c>
      <c r="B838" t="str">
        <v>Brand Awareness</v>
      </c>
      <c r="C838">
        <v>39</v>
      </c>
    </row>
    <row r="839" spans="1:3" x14ac:dyDescent="0.3">
      <c r="A839" s="31">
        <v>46129</v>
      </c>
      <c r="B839" t="str">
        <v>Views</v>
      </c>
      <c r="C839">
        <v>2203</v>
      </c>
    </row>
    <row r="840" spans="1:3" x14ac:dyDescent="0.3">
      <c r="A840" s="31">
        <v>46129</v>
      </c>
      <c r="B840" t="str">
        <v>Total Watch Time (s)</v>
      </c>
      <c r="C840">
        <v>39654</v>
      </c>
    </row>
    <row r="841" spans="1:3" x14ac:dyDescent="0.3">
      <c r="A841" s="31">
        <v>46129</v>
      </c>
      <c r="B841" t="str">
        <v>Likes</v>
      </c>
      <c r="C841">
        <v>66</v>
      </c>
    </row>
    <row r="842" spans="1:3" x14ac:dyDescent="0.3">
      <c r="A842" s="31">
        <v>46129</v>
      </c>
      <c r="B842" t="str">
        <v>Saves</v>
      </c>
      <c r="C842">
        <v>26</v>
      </c>
    </row>
    <row r="843" spans="1:3" x14ac:dyDescent="0.3">
      <c r="A843" s="31">
        <v>46129</v>
      </c>
      <c r="B843" t="str">
        <v>Comments</v>
      </c>
      <c r="C843">
        <v>7</v>
      </c>
    </row>
    <row r="844" spans="1:3" x14ac:dyDescent="0.3">
      <c r="A844" s="31">
        <v>46129</v>
      </c>
      <c r="B844" t="str">
        <v>Shares</v>
      </c>
      <c r="C844">
        <v>8</v>
      </c>
    </row>
    <row r="845" spans="1:3" x14ac:dyDescent="0.3">
      <c r="A845" s="31">
        <v>46129</v>
      </c>
      <c r="B845" t="str">
        <v>Profile Visits</v>
      </c>
      <c r="C845">
        <v>136</v>
      </c>
    </row>
    <row r="846" spans="1:3" x14ac:dyDescent="0.3">
      <c r="A846" s="31">
        <v>46129</v>
      </c>
      <c r="B846" t="str">
        <v>New Followers</v>
      </c>
      <c r="C846">
        <v>26</v>
      </c>
    </row>
    <row r="847" spans="1:3" x14ac:dyDescent="0.3">
      <c r="A847" s="31">
        <v>46129</v>
      </c>
      <c r="B847" t="str">
        <v>Engagement</v>
      </c>
      <c r="C847">
        <v>107</v>
      </c>
    </row>
    <row r="848" spans="1:3" x14ac:dyDescent="0.3">
      <c r="A848" s="31">
        <v>46129</v>
      </c>
      <c r="B848" t="str">
        <v>Engagement Rate</v>
      </c>
      <c r="C848">
        <v>4.8570131638674532E-2</v>
      </c>
    </row>
    <row r="849" spans="1:3" x14ac:dyDescent="0.3">
      <c r="A849" s="31">
        <v>46129</v>
      </c>
      <c r="B849" t="str">
        <v>Brand Awareness</v>
      </c>
      <c r="C849">
        <v>162</v>
      </c>
    </row>
    <row r="850" spans="1:3" x14ac:dyDescent="0.3">
      <c r="A850" s="31">
        <v>46130</v>
      </c>
      <c r="B850" t="str">
        <v>Views</v>
      </c>
      <c r="C850">
        <v>866</v>
      </c>
    </row>
    <row r="851" spans="1:3" x14ac:dyDescent="0.3">
      <c r="A851" s="31">
        <v>46130</v>
      </c>
      <c r="B851" t="str">
        <v>Total Watch Time (s)</v>
      </c>
      <c r="C851">
        <v>19052</v>
      </c>
    </row>
    <row r="852" spans="1:3" x14ac:dyDescent="0.3">
      <c r="A852" s="31">
        <v>46130</v>
      </c>
      <c r="B852" t="str">
        <v>Likes</v>
      </c>
      <c r="C852">
        <v>32</v>
      </c>
    </row>
    <row r="853" spans="1:3" x14ac:dyDescent="0.3">
      <c r="A853" s="31">
        <v>46130</v>
      </c>
      <c r="B853" t="str">
        <v>Saves</v>
      </c>
      <c r="C853">
        <v>12</v>
      </c>
    </row>
    <row r="854" spans="1:3" x14ac:dyDescent="0.3">
      <c r="A854" s="31">
        <v>46130</v>
      </c>
      <c r="B854" t="str">
        <v>Comments</v>
      </c>
      <c r="C854">
        <v>4</v>
      </c>
    </row>
    <row r="855" spans="1:3" x14ac:dyDescent="0.3">
      <c r="A855" s="31">
        <v>46130</v>
      </c>
      <c r="B855" t="str">
        <v>Shares</v>
      </c>
      <c r="C855">
        <v>3</v>
      </c>
    </row>
    <row r="856" spans="1:3" x14ac:dyDescent="0.3">
      <c r="A856" s="31">
        <v>46130</v>
      </c>
      <c r="B856" t="str">
        <v>Profile Visits</v>
      </c>
      <c r="C856">
        <v>36</v>
      </c>
    </row>
    <row r="857" spans="1:3" x14ac:dyDescent="0.3">
      <c r="A857" s="31">
        <v>46130</v>
      </c>
      <c r="B857" t="str">
        <v>New Followers</v>
      </c>
      <c r="C857">
        <v>5</v>
      </c>
    </row>
    <row r="858" spans="1:3" x14ac:dyDescent="0.3">
      <c r="A858" s="31">
        <v>46130</v>
      </c>
      <c r="B858" t="str">
        <v>Engagement</v>
      </c>
      <c r="C858">
        <v>51</v>
      </c>
    </row>
    <row r="859" spans="1:3" x14ac:dyDescent="0.3">
      <c r="A859" s="31">
        <v>46130</v>
      </c>
      <c r="B859" t="str">
        <v>Engagement Rate</v>
      </c>
      <c r="C859">
        <v>5.889145496535797E-2</v>
      </c>
    </row>
    <row r="860" spans="1:3" x14ac:dyDescent="0.3">
      <c r="A860" s="31">
        <v>46130</v>
      </c>
      <c r="B860" t="str">
        <v>Brand Awareness</v>
      </c>
      <c r="C860">
        <v>41</v>
      </c>
    </row>
    <row r="861" spans="1:3" x14ac:dyDescent="0.3">
      <c r="A861" s="31">
        <v>46131</v>
      </c>
      <c r="B861" t="str">
        <v>Views</v>
      </c>
      <c r="C861">
        <v>862</v>
      </c>
    </row>
    <row r="862" spans="1:3" x14ac:dyDescent="0.3">
      <c r="A862" s="31">
        <v>46131</v>
      </c>
      <c r="B862" t="str">
        <v>Total Watch Time (s)</v>
      </c>
      <c r="C862">
        <v>24136</v>
      </c>
    </row>
    <row r="863" spans="1:3" x14ac:dyDescent="0.3">
      <c r="A863" s="31">
        <v>46131</v>
      </c>
      <c r="B863" t="str">
        <v>Likes</v>
      </c>
      <c r="C863">
        <v>34</v>
      </c>
    </row>
    <row r="864" spans="1:3" x14ac:dyDescent="0.3">
      <c r="A864" s="31">
        <v>46131</v>
      </c>
      <c r="B864" t="str">
        <v>Saves</v>
      </c>
      <c r="C864">
        <v>14</v>
      </c>
    </row>
    <row r="865" spans="1:3" x14ac:dyDescent="0.3">
      <c r="A865" s="31">
        <v>46131</v>
      </c>
      <c r="B865" t="str">
        <v>Comments</v>
      </c>
      <c r="C865">
        <v>5</v>
      </c>
    </row>
    <row r="866" spans="1:3" x14ac:dyDescent="0.3">
      <c r="A866" s="31">
        <v>46131</v>
      </c>
      <c r="B866" t="str">
        <v>Shares</v>
      </c>
      <c r="C866">
        <v>3</v>
      </c>
    </row>
    <row r="867" spans="1:3" x14ac:dyDescent="0.3">
      <c r="A867" s="31">
        <v>46131</v>
      </c>
      <c r="B867" t="str">
        <v>Profile Visits</v>
      </c>
      <c r="C867">
        <v>38</v>
      </c>
    </row>
    <row r="868" spans="1:3" x14ac:dyDescent="0.3">
      <c r="A868" s="31">
        <v>46131</v>
      </c>
      <c r="B868" t="str">
        <v>New Followers</v>
      </c>
      <c r="C868">
        <v>5</v>
      </c>
    </row>
    <row r="869" spans="1:3" x14ac:dyDescent="0.3">
      <c r="A869" s="31">
        <v>46131</v>
      </c>
      <c r="B869" t="str">
        <v>Engagement</v>
      </c>
      <c r="C869">
        <v>56</v>
      </c>
    </row>
    <row r="870" spans="1:3" x14ac:dyDescent="0.3">
      <c r="A870" s="31">
        <v>46131</v>
      </c>
      <c r="B870" t="str">
        <v>Engagement Rate</v>
      </c>
      <c r="C870">
        <v>6.4965197215777259E-2</v>
      </c>
    </row>
    <row r="871" spans="1:3" x14ac:dyDescent="0.3">
      <c r="A871" s="31">
        <v>46131</v>
      </c>
      <c r="B871" t="str">
        <v>Brand Awareness</v>
      </c>
      <c r="C871">
        <v>43</v>
      </c>
    </row>
    <row r="872" spans="1:3" x14ac:dyDescent="0.3">
      <c r="A872" s="31">
        <v>46132</v>
      </c>
      <c r="B872" t="str">
        <v>Views</v>
      </c>
      <c r="C872">
        <v>898</v>
      </c>
    </row>
    <row r="873" spans="1:3" x14ac:dyDescent="0.3">
      <c r="A873" s="31">
        <v>46132</v>
      </c>
      <c r="B873" t="str">
        <v>Total Watch Time (s)</v>
      </c>
      <c r="C873">
        <v>21552</v>
      </c>
    </row>
    <row r="874" spans="1:3" x14ac:dyDescent="0.3">
      <c r="A874" s="31">
        <v>46132</v>
      </c>
      <c r="B874" t="str">
        <v>Likes</v>
      </c>
      <c r="C874">
        <v>37</v>
      </c>
    </row>
    <row r="875" spans="1:3" x14ac:dyDescent="0.3">
      <c r="A875" s="31">
        <v>46132</v>
      </c>
      <c r="B875" t="str">
        <v>Saves</v>
      </c>
      <c r="C875">
        <v>14</v>
      </c>
    </row>
    <row r="876" spans="1:3" x14ac:dyDescent="0.3">
      <c r="A876" s="31">
        <v>46132</v>
      </c>
      <c r="B876" t="str">
        <v>Comments</v>
      </c>
      <c r="C876">
        <v>4</v>
      </c>
    </row>
    <row r="877" spans="1:3" x14ac:dyDescent="0.3">
      <c r="A877" s="31">
        <v>46132</v>
      </c>
      <c r="B877" t="str">
        <v>Shares</v>
      </c>
      <c r="C877">
        <v>4</v>
      </c>
    </row>
    <row r="878" spans="1:3" x14ac:dyDescent="0.3">
      <c r="A878" s="31">
        <v>46132</v>
      </c>
      <c r="B878" t="str">
        <v>Profile Visits</v>
      </c>
      <c r="C878">
        <v>54</v>
      </c>
    </row>
    <row r="879" spans="1:3" x14ac:dyDescent="0.3">
      <c r="A879" s="31">
        <v>46132</v>
      </c>
      <c r="B879" t="str">
        <v>New Followers</v>
      </c>
      <c r="C879">
        <v>7</v>
      </c>
    </row>
    <row r="880" spans="1:3" x14ac:dyDescent="0.3">
      <c r="A880" s="31">
        <v>46132</v>
      </c>
      <c r="B880" t="str">
        <v>Engagement</v>
      </c>
      <c r="C880">
        <v>59</v>
      </c>
    </row>
    <row r="881" spans="1:3" x14ac:dyDescent="0.3">
      <c r="A881" s="31">
        <v>46132</v>
      </c>
      <c r="B881" t="str">
        <v>Engagement Rate</v>
      </c>
      <c r="C881">
        <v>6.5701559020044542E-2</v>
      </c>
    </row>
    <row r="882" spans="1:3" x14ac:dyDescent="0.3">
      <c r="A882" s="31">
        <v>46132</v>
      </c>
      <c r="B882" t="str">
        <v>Brand Awareness</v>
      </c>
      <c r="C882">
        <v>61</v>
      </c>
    </row>
    <row r="883" spans="1:3" x14ac:dyDescent="0.3">
      <c r="A883" s="31">
        <v>46133</v>
      </c>
      <c r="B883" t="str">
        <v>Views</v>
      </c>
      <c r="C883">
        <v>688</v>
      </c>
    </row>
    <row r="884" spans="1:3" x14ac:dyDescent="0.3">
      <c r="A884" s="31">
        <v>46133</v>
      </c>
      <c r="B884" t="str">
        <v>Total Watch Time (s)</v>
      </c>
      <c r="C884">
        <v>22016</v>
      </c>
    </row>
    <row r="885" spans="1:3" x14ac:dyDescent="0.3">
      <c r="A885" s="31">
        <v>46133</v>
      </c>
      <c r="B885" t="str">
        <v>Likes</v>
      </c>
      <c r="C885">
        <v>31</v>
      </c>
    </row>
    <row r="886" spans="1:3" x14ac:dyDescent="0.3">
      <c r="A886" s="31">
        <v>46133</v>
      </c>
      <c r="B886" t="str">
        <v>Saves</v>
      </c>
      <c r="C886">
        <v>13</v>
      </c>
    </row>
    <row r="887" spans="1:3" x14ac:dyDescent="0.3">
      <c r="A887" s="31">
        <v>46133</v>
      </c>
      <c r="B887" t="str">
        <v>Comments</v>
      </c>
      <c r="C887">
        <v>3</v>
      </c>
    </row>
    <row r="888" spans="1:3" x14ac:dyDescent="0.3">
      <c r="A888" s="31">
        <v>46133</v>
      </c>
      <c r="B888" t="str">
        <v>Shares</v>
      </c>
      <c r="C888">
        <v>4</v>
      </c>
    </row>
    <row r="889" spans="1:3" x14ac:dyDescent="0.3">
      <c r="A889" s="31">
        <v>46133</v>
      </c>
      <c r="B889" t="str">
        <v>Profile Visits</v>
      </c>
      <c r="C889">
        <v>54</v>
      </c>
    </row>
    <row r="890" spans="1:3" x14ac:dyDescent="0.3">
      <c r="A890" s="31">
        <v>46133</v>
      </c>
      <c r="B890" t="str">
        <v>New Followers</v>
      </c>
      <c r="C890">
        <v>10</v>
      </c>
    </row>
    <row r="891" spans="1:3" x14ac:dyDescent="0.3">
      <c r="A891" s="31">
        <v>46133</v>
      </c>
      <c r="B891" t="str">
        <v>Engagement</v>
      </c>
      <c r="C891">
        <v>51</v>
      </c>
    </row>
    <row r="892" spans="1:3" x14ac:dyDescent="0.3">
      <c r="A892" s="31">
        <v>46133</v>
      </c>
      <c r="B892" t="str">
        <v>Engagement Rate</v>
      </c>
      <c r="C892">
        <v>7.4127906976744193E-2</v>
      </c>
    </row>
    <row r="893" spans="1:3" x14ac:dyDescent="0.3">
      <c r="A893" s="31">
        <v>46133</v>
      </c>
      <c r="B893" t="str">
        <v>Brand Awareness</v>
      </c>
      <c r="C893">
        <v>64</v>
      </c>
    </row>
    <row r="894" spans="1:3" x14ac:dyDescent="0.3">
      <c r="A894" s="31">
        <v>46134</v>
      </c>
      <c r="B894" t="str">
        <v>Views</v>
      </c>
      <c r="C894">
        <v>706</v>
      </c>
    </row>
    <row r="895" spans="1:3" x14ac:dyDescent="0.3">
      <c r="A895" s="31">
        <v>46134</v>
      </c>
      <c r="B895" t="str">
        <v>Total Watch Time (s)</v>
      </c>
      <c r="C895">
        <v>22592</v>
      </c>
    </row>
    <row r="896" spans="1:3" x14ac:dyDescent="0.3">
      <c r="A896" s="31">
        <v>46134</v>
      </c>
      <c r="B896" t="str">
        <v>Likes</v>
      </c>
      <c r="C896">
        <v>17</v>
      </c>
    </row>
    <row r="897" spans="1:3" x14ac:dyDescent="0.3">
      <c r="A897" s="31">
        <v>46134</v>
      </c>
      <c r="B897" t="str">
        <v>Saves</v>
      </c>
      <c r="C897">
        <v>9</v>
      </c>
    </row>
    <row r="898" spans="1:3" x14ac:dyDescent="0.3">
      <c r="A898" s="31">
        <v>46134</v>
      </c>
      <c r="B898" t="str">
        <v>Comments</v>
      </c>
      <c r="C898">
        <v>3</v>
      </c>
    </row>
    <row r="899" spans="1:3" x14ac:dyDescent="0.3">
      <c r="A899" s="31">
        <v>46134</v>
      </c>
      <c r="B899" t="str">
        <v>Shares</v>
      </c>
      <c r="C899">
        <v>2</v>
      </c>
    </row>
    <row r="900" spans="1:3" x14ac:dyDescent="0.3">
      <c r="A900" s="31">
        <v>46134</v>
      </c>
      <c r="B900" t="str">
        <v>Profile Visits</v>
      </c>
      <c r="C900">
        <v>30</v>
      </c>
    </row>
    <row r="901" spans="1:3" x14ac:dyDescent="0.3">
      <c r="A901" s="31">
        <v>46134</v>
      </c>
      <c r="B901" t="str">
        <v>New Followers</v>
      </c>
      <c r="C901">
        <v>4</v>
      </c>
    </row>
    <row r="902" spans="1:3" x14ac:dyDescent="0.3">
      <c r="A902" s="31">
        <v>46134</v>
      </c>
      <c r="B902" t="str">
        <v>Engagement</v>
      </c>
      <c r="C902">
        <v>31</v>
      </c>
    </row>
    <row r="903" spans="1:3" x14ac:dyDescent="0.3">
      <c r="A903" s="31">
        <v>46134</v>
      </c>
      <c r="B903" t="str">
        <v>Engagement Rate</v>
      </c>
      <c r="C903">
        <v>4.3909348441926344E-2</v>
      </c>
    </row>
    <row r="904" spans="1:3" x14ac:dyDescent="0.3">
      <c r="A904" s="31">
        <v>46134</v>
      </c>
      <c r="B904" t="str">
        <v>Brand Awareness</v>
      </c>
      <c r="C904">
        <v>34</v>
      </c>
    </row>
    <row r="905" spans="1:3" x14ac:dyDescent="0.3">
      <c r="A905" s="31">
        <v>46135</v>
      </c>
      <c r="B905" t="str">
        <v>Views</v>
      </c>
      <c r="C905">
        <v>735</v>
      </c>
    </row>
    <row r="906" spans="1:3" x14ac:dyDescent="0.3">
      <c r="A906" s="31">
        <v>46135</v>
      </c>
      <c r="B906" t="str">
        <v>Total Watch Time (s)</v>
      </c>
      <c r="C906">
        <v>21315</v>
      </c>
    </row>
    <row r="907" spans="1:3" x14ac:dyDescent="0.3">
      <c r="A907" s="31">
        <v>46135</v>
      </c>
      <c r="B907" t="str">
        <v>Likes</v>
      </c>
      <c r="C907">
        <v>15</v>
      </c>
    </row>
    <row r="908" spans="1:3" x14ac:dyDescent="0.3">
      <c r="A908" s="31">
        <v>46135</v>
      </c>
      <c r="B908" t="str">
        <v>Saves</v>
      </c>
      <c r="C908">
        <v>7</v>
      </c>
    </row>
    <row r="909" spans="1:3" x14ac:dyDescent="0.3">
      <c r="A909" s="31">
        <v>46135</v>
      </c>
      <c r="B909" t="str">
        <v>Comments</v>
      </c>
      <c r="C909">
        <v>2</v>
      </c>
    </row>
    <row r="910" spans="1:3" x14ac:dyDescent="0.3">
      <c r="A910" s="31">
        <v>46135</v>
      </c>
      <c r="B910" t="str">
        <v>Shares</v>
      </c>
      <c r="C910">
        <v>2</v>
      </c>
    </row>
    <row r="911" spans="1:3" x14ac:dyDescent="0.3">
      <c r="A911" s="31">
        <v>46135</v>
      </c>
      <c r="B911" t="str">
        <v>Profile Visits</v>
      </c>
      <c r="C911">
        <v>55</v>
      </c>
    </row>
    <row r="912" spans="1:3" x14ac:dyDescent="0.3">
      <c r="A912" s="31">
        <v>46135</v>
      </c>
      <c r="B912" t="str">
        <v>New Followers</v>
      </c>
      <c r="C912">
        <v>7</v>
      </c>
    </row>
    <row r="913" spans="1:3" x14ac:dyDescent="0.3">
      <c r="A913" s="31">
        <v>46135</v>
      </c>
      <c r="B913" t="str">
        <v>Engagement</v>
      </c>
      <c r="C913">
        <v>26</v>
      </c>
    </row>
    <row r="914" spans="1:3" x14ac:dyDescent="0.3">
      <c r="A914" s="31">
        <v>46135</v>
      </c>
      <c r="B914" t="str">
        <v>Engagement Rate</v>
      </c>
      <c r="C914">
        <v>3.5374149659863949E-2</v>
      </c>
    </row>
    <row r="915" spans="1:3" x14ac:dyDescent="0.3">
      <c r="A915" s="31">
        <v>46135</v>
      </c>
      <c r="B915" t="str">
        <v>Brand Awareness</v>
      </c>
      <c r="C915">
        <v>62</v>
      </c>
    </row>
    <row r="916" spans="1:3" x14ac:dyDescent="0.3">
      <c r="A916" s="31">
        <v>46136</v>
      </c>
      <c r="B916" t="str">
        <v>Views</v>
      </c>
      <c r="C916">
        <v>856</v>
      </c>
    </row>
    <row r="917" spans="1:3" x14ac:dyDescent="0.3">
      <c r="A917" s="31">
        <v>46136</v>
      </c>
      <c r="B917" t="str">
        <v>Total Watch Time (s)</v>
      </c>
      <c r="C917">
        <v>29960</v>
      </c>
    </row>
    <row r="918" spans="1:3" x14ac:dyDescent="0.3">
      <c r="A918" s="31">
        <v>46136</v>
      </c>
      <c r="B918" t="str">
        <v>Likes</v>
      </c>
      <c r="C918">
        <v>27</v>
      </c>
    </row>
    <row r="919" spans="1:3" x14ac:dyDescent="0.3">
      <c r="A919" s="31">
        <v>46136</v>
      </c>
      <c r="B919" t="str">
        <v>Saves</v>
      </c>
      <c r="C919">
        <v>13</v>
      </c>
    </row>
    <row r="920" spans="1:3" x14ac:dyDescent="0.3">
      <c r="A920" s="31">
        <v>46136</v>
      </c>
      <c r="B920" t="str">
        <v>Comments</v>
      </c>
      <c r="C920">
        <v>3</v>
      </c>
    </row>
    <row r="921" spans="1:3" x14ac:dyDescent="0.3">
      <c r="A921" s="31">
        <v>46136</v>
      </c>
      <c r="B921" t="str">
        <v>Shares</v>
      </c>
      <c r="C921">
        <v>4</v>
      </c>
    </row>
    <row r="922" spans="1:3" x14ac:dyDescent="0.3">
      <c r="A922" s="31">
        <v>46136</v>
      </c>
      <c r="B922" t="str">
        <v>Profile Visits</v>
      </c>
      <c r="C922">
        <v>45</v>
      </c>
    </row>
    <row r="923" spans="1:3" x14ac:dyDescent="0.3">
      <c r="A923" s="31">
        <v>46136</v>
      </c>
      <c r="B923" t="str">
        <v>New Followers</v>
      </c>
      <c r="C923">
        <v>5</v>
      </c>
    </row>
    <row r="924" spans="1:3" x14ac:dyDescent="0.3">
      <c r="A924" s="31">
        <v>46136</v>
      </c>
      <c r="B924" t="str">
        <v>Engagement</v>
      </c>
      <c r="C924">
        <v>47</v>
      </c>
    </row>
    <row r="925" spans="1:3" x14ac:dyDescent="0.3">
      <c r="A925" s="31">
        <v>46136</v>
      </c>
      <c r="B925" t="str">
        <v>Engagement Rate</v>
      </c>
      <c r="C925">
        <v>5.4906542056074766E-2</v>
      </c>
    </row>
    <row r="926" spans="1:3" x14ac:dyDescent="0.3">
      <c r="A926" s="31">
        <v>46136</v>
      </c>
      <c r="B926" t="str">
        <v>Brand Awareness</v>
      </c>
      <c r="C926">
        <v>50</v>
      </c>
    </row>
    <row r="927" spans="1:3" x14ac:dyDescent="0.3">
      <c r="A927" s="31">
        <v>46137</v>
      </c>
      <c r="B927" t="str">
        <v>Views</v>
      </c>
      <c r="C927">
        <v>859</v>
      </c>
    </row>
    <row r="928" spans="1:3" x14ac:dyDescent="0.3">
      <c r="A928" s="31">
        <v>46137</v>
      </c>
      <c r="B928" t="str">
        <v>Total Watch Time (s)</v>
      </c>
      <c r="C928">
        <v>16321</v>
      </c>
    </row>
    <row r="929" spans="1:3" x14ac:dyDescent="0.3">
      <c r="A929" s="31">
        <v>46137</v>
      </c>
      <c r="B929" t="str">
        <v>Likes</v>
      </c>
      <c r="C929">
        <v>28</v>
      </c>
    </row>
    <row r="930" spans="1:3" x14ac:dyDescent="0.3">
      <c r="A930" s="31">
        <v>46137</v>
      </c>
      <c r="B930" t="str">
        <v>Saves</v>
      </c>
      <c r="C930">
        <v>14</v>
      </c>
    </row>
    <row r="931" spans="1:3" x14ac:dyDescent="0.3">
      <c r="A931" s="31">
        <v>46137</v>
      </c>
      <c r="B931" t="str">
        <v>Comments</v>
      </c>
      <c r="C931">
        <v>3</v>
      </c>
    </row>
    <row r="932" spans="1:3" x14ac:dyDescent="0.3">
      <c r="A932" s="31">
        <v>46137</v>
      </c>
      <c r="B932" t="str">
        <v>Shares</v>
      </c>
      <c r="C932">
        <v>3</v>
      </c>
    </row>
    <row r="933" spans="1:3" x14ac:dyDescent="0.3">
      <c r="A933" s="31">
        <v>46137</v>
      </c>
      <c r="B933" t="str">
        <v>Profile Visits</v>
      </c>
      <c r="C933">
        <v>35</v>
      </c>
    </row>
    <row r="934" spans="1:3" x14ac:dyDescent="0.3">
      <c r="A934" s="31">
        <v>46137</v>
      </c>
      <c r="B934" t="str">
        <v>New Followers</v>
      </c>
      <c r="C934">
        <v>4</v>
      </c>
    </row>
    <row r="935" spans="1:3" x14ac:dyDescent="0.3">
      <c r="A935" s="31">
        <v>46137</v>
      </c>
      <c r="B935" t="str">
        <v>Engagement</v>
      </c>
      <c r="C935">
        <v>48</v>
      </c>
    </row>
    <row r="936" spans="1:3" x14ac:dyDescent="0.3">
      <c r="A936" s="31">
        <v>46137</v>
      </c>
      <c r="B936" t="str">
        <v>Engagement Rate</v>
      </c>
      <c r="C936">
        <v>5.5878928987194411E-2</v>
      </c>
    </row>
    <row r="937" spans="1:3" x14ac:dyDescent="0.3">
      <c r="A937" s="31">
        <v>46137</v>
      </c>
      <c r="B937" t="str">
        <v>Brand Awareness</v>
      </c>
      <c r="C937">
        <v>39</v>
      </c>
    </row>
    <row r="938" spans="1:3" x14ac:dyDescent="0.3">
      <c r="A938" s="31">
        <v>46138</v>
      </c>
      <c r="B938" t="str">
        <v>Views</v>
      </c>
      <c r="C938">
        <v>1089</v>
      </c>
    </row>
    <row r="939" spans="1:3" x14ac:dyDescent="0.3">
      <c r="A939" s="31">
        <v>46138</v>
      </c>
      <c r="B939" t="str">
        <v>Total Watch Time (s)</v>
      </c>
      <c r="C939">
        <v>25047</v>
      </c>
    </row>
    <row r="940" spans="1:3" x14ac:dyDescent="0.3">
      <c r="A940" s="31">
        <v>46138</v>
      </c>
      <c r="B940" t="str">
        <v>Likes</v>
      </c>
      <c r="C940">
        <v>26</v>
      </c>
    </row>
    <row r="941" spans="1:3" x14ac:dyDescent="0.3">
      <c r="A941" s="31">
        <v>46138</v>
      </c>
      <c r="B941" t="str">
        <v>Saves</v>
      </c>
      <c r="C941">
        <v>10</v>
      </c>
    </row>
    <row r="942" spans="1:3" x14ac:dyDescent="0.3">
      <c r="A942" s="31">
        <v>46138</v>
      </c>
      <c r="B942" t="str">
        <v>Comments</v>
      </c>
      <c r="C942">
        <v>3</v>
      </c>
    </row>
    <row r="943" spans="1:3" x14ac:dyDescent="0.3">
      <c r="A943" s="31">
        <v>46138</v>
      </c>
      <c r="B943" t="str">
        <v>Shares</v>
      </c>
      <c r="C943">
        <v>4</v>
      </c>
    </row>
    <row r="944" spans="1:3" x14ac:dyDescent="0.3">
      <c r="A944" s="31">
        <v>46138</v>
      </c>
      <c r="B944" t="str">
        <v>Profile Visits</v>
      </c>
      <c r="C944">
        <v>68</v>
      </c>
    </row>
    <row r="945" spans="1:3" x14ac:dyDescent="0.3">
      <c r="A945" s="31">
        <v>46138</v>
      </c>
      <c r="B945" t="str">
        <v>New Followers</v>
      </c>
      <c r="C945">
        <v>11</v>
      </c>
    </row>
    <row r="946" spans="1:3" x14ac:dyDescent="0.3">
      <c r="A946" s="31">
        <v>46138</v>
      </c>
      <c r="B946" t="str">
        <v>Engagement</v>
      </c>
      <c r="C946">
        <v>43</v>
      </c>
    </row>
    <row r="947" spans="1:3" x14ac:dyDescent="0.3">
      <c r="A947" s="31">
        <v>46138</v>
      </c>
      <c r="B947" t="str">
        <v>Engagement Rate</v>
      </c>
      <c r="C947">
        <v>3.948576675849403E-2</v>
      </c>
    </row>
    <row r="948" spans="1:3" x14ac:dyDescent="0.3">
      <c r="A948" s="31">
        <v>46138</v>
      </c>
      <c r="B948" t="str">
        <v>Brand Awareness</v>
      </c>
      <c r="C948">
        <v>79</v>
      </c>
    </row>
    <row r="949" spans="1:3" x14ac:dyDescent="0.3">
      <c r="A949" s="31">
        <v>46139</v>
      </c>
      <c r="B949" t="str">
        <v>Views</v>
      </c>
      <c r="C949">
        <v>662</v>
      </c>
    </row>
    <row r="950" spans="1:3" x14ac:dyDescent="0.3">
      <c r="A950" s="31">
        <v>46139</v>
      </c>
      <c r="B950" t="str">
        <v>Total Watch Time (s)</v>
      </c>
      <c r="C950">
        <v>13902</v>
      </c>
    </row>
    <row r="951" spans="1:3" x14ac:dyDescent="0.3">
      <c r="A951" s="31">
        <v>46139</v>
      </c>
      <c r="B951" t="str">
        <v>Likes</v>
      </c>
      <c r="C951">
        <v>23</v>
      </c>
    </row>
    <row r="952" spans="1:3" x14ac:dyDescent="0.3">
      <c r="A952" s="31">
        <v>46139</v>
      </c>
      <c r="B952" t="str">
        <v>Saves</v>
      </c>
      <c r="C952">
        <v>8</v>
      </c>
    </row>
    <row r="953" spans="1:3" x14ac:dyDescent="0.3">
      <c r="A953" s="31">
        <v>46139</v>
      </c>
      <c r="B953" t="str">
        <v>Comments</v>
      </c>
      <c r="C953">
        <v>4</v>
      </c>
    </row>
    <row r="954" spans="1:3" x14ac:dyDescent="0.3">
      <c r="A954" s="31">
        <v>46139</v>
      </c>
      <c r="B954" t="str">
        <v>Shares</v>
      </c>
      <c r="C954">
        <v>3</v>
      </c>
    </row>
    <row r="955" spans="1:3" x14ac:dyDescent="0.3">
      <c r="A955" s="31">
        <v>46139</v>
      </c>
      <c r="B955" t="str">
        <v>Profile Visits</v>
      </c>
      <c r="C955">
        <v>46</v>
      </c>
    </row>
    <row r="956" spans="1:3" x14ac:dyDescent="0.3">
      <c r="A956" s="31">
        <v>46139</v>
      </c>
      <c r="B956" t="str">
        <v>New Followers</v>
      </c>
      <c r="C956">
        <v>7</v>
      </c>
    </row>
    <row r="957" spans="1:3" x14ac:dyDescent="0.3">
      <c r="A957" s="31">
        <v>46139</v>
      </c>
      <c r="B957" t="str">
        <v>Engagement</v>
      </c>
      <c r="C957">
        <v>38</v>
      </c>
    </row>
    <row r="958" spans="1:3" x14ac:dyDescent="0.3">
      <c r="A958" s="31">
        <v>46139</v>
      </c>
      <c r="B958" t="str">
        <v>Engagement Rate</v>
      </c>
      <c r="C958">
        <v>5.7401812688821753E-2</v>
      </c>
    </row>
    <row r="959" spans="1:3" x14ac:dyDescent="0.3">
      <c r="A959" s="31">
        <v>46139</v>
      </c>
      <c r="B959" t="str">
        <v>Brand Awareness</v>
      </c>
      <c r="C959">
        <v>53</v>
      </c>
    </row>
    <row r="960" spans="1:3" x14ac:dyDescent="0.3">
      <c r="A960" s="31">
        <v>46140</v>
      </c>
      <c r="B960" t="str">
        <v>Views</v>
      </c>
      <c r="C960">
        <v>772</v>
      </c>
    </row>
    <row r="961" spans="1:3" x14ac:dyDescent="0.3">
      <c r="A961" s="31">
        <v>46140</v>
      </c>
      <c r="B961" t="str">
        <v>Total Watch Time (s)</v>
      </c>
      <c r="C961">
        <v>20844</v>
      </c>
    </row>
    <row r="962" spans="1:3" x14ac:dyDescent="0.3">
      <c r="A962" s="31">
        <v>46140</v>
      </c>
      <c r="B962" t="str">
        <v>Likes</v>
      </c>
      <c r="C962">
        <v>19</v>
      </c>
    </row>
    <row r="963" spans="1:3" x14ac:dyDescent="0.3">
      <c r="A963" s="31">
        <v>46140</v>
      </c>
      <c r="B963" t="str">
        <v>Saves</v>
      </c>
      <c r="C963">
        <v>9</v>
      </c>
    </row>
    <row r="964" spans="1:3" x14ac:dyDescent="0.3">
      <c r="A964" s="31">
        <v>46140</v>
      </c>
      <c r="B964" t="str">
        <v>Comments</v>
      </c>
      <c r="C964">
        <v>2</v>
      </c>
    </row>
    <row r="965" spans="1:3" x14ac:dyDescent="0.3">
      <c r="A965" s="31">
        <v>46140</v>
      </c>
      <c r="B965" t="str">
        <v>Shares</v>
      </c>
      <c r="C965">
        <v>3</v>
      </c>
    </row>
    <row r="966" spans="1:3" x14ac:dyDescent="0.3">
      <c r="A966" s="31">
        <v>46140</v>
      </c>
      <c r="B966" t="str">
        <v>Profile Visits</v>
      </c>
      <c r="C966">
        <v>49</v>
      </c>
    </row>
    <row r="967" spans="1:3" x14ac:dyDescent="0.3">
      <c r="A967" s="31">
        <v>46140</v>
      </c>
      <c r="B967" t="str">
        <v>New Followers</v>
      </c>
      <c r="C967">
        <v>8</v>
      </c>
    </row>
    <row r="968" spans="1:3" x14ac:dyDescent="0.3">
      <c r="A968" s="31">
        <v>46140</v>
      </c>
      <c r="B968" t="str">
        <v>Engagement</v>
      </c>
      <c r="C968">
        <v>33</v>
      </c>
    </row>
    <row r="969" spans="1:3" x14ac:dyDescent="0.3">
      <c r="A969" s="31">
        <v>46140</v>
      </c>
      <c r="B969" t="str">
        <v>Engagement Rate</v>
      </c>
      <c r="C969">
        <v>4.2746113989637305E-2</v>
      </c>
    </row>
    <row r="970" spans="1:3" x14ac:dyDescent="0.3">
      <c r="A970" s="31">
        <v>46140</v>
      </c>
      <c r="B970" t="str">
        <v>Brand Awareness</v>
      </c>
      <c r="C970">
        <v>57</v>
      </c>
    </row>
    <row r="971" spans="1:3" x14ac:dyDescent="0.3">
      <c r="A971" s="31">
        <v>46141</v>
      </c>
      <c r="B971" t="str">
        <v>Views</v>
      </c>
      <c r="C971">
        <v>678</v>
      </c>
    </row>
    <row r="972" spans="1:3" x14ac:dyDescent="0.3">
      <c r="A972" s="31">
        <v>46141</v>
      </c>
      <c r="B972" t="str">
        <v>Total Watch Time (s)</v>
      </c>
      <c r="C972">
        <v>23052</v>
      </c>
    </row>
    <row r="973" spans="1:3" x14ac:dyDescent="0.3">
      <c r="A973" s="31">
        <v>46141</v>
      </c>
      <c r="B973" t="str">
        <v>Likes</v>
      </c>
      <c r="C973">
        <v>26</v>
      </c>
    </row>
    <row r="974" spans="1:3" x14ac:dyDescent="0.3">
      <c r="A974" s="31">
        <v>46141</v>
      </c>
      <c r="B974" t="str">
        <v>Saves</v>
      </c>
      <c r="C974">
        <v>12</v>
      </c>
    </row>
    <row r="975" spans="1:3" x14ac:dyDescent="0.3">
      <c r="A975" s="31">
        <v>46141</v>
      </c>
      <c r="B975" t="str">
        <v>Comments</v>
      </c>
      <c r="C975">
        <v>3</v>
      </c>
    </row>
    <row r="976" spans="1:3" x14ac:dyDescent="0.3">
      <c r="A976" s="31">
        <v>46141</v>
      </c>
      <c r="B976" t="str">
        <v>Shares</v>
      </c>
      <c r="C976">
        <v>4</v>
      </c>
    </row>
    <row r="977" spans="1:3" x14ac:dyDescent="0.3">
      <c r="A977" s="31">
        <v>46141</v>
      </c>
      <c r="B977" t="str">
        <v>Profile Visits</v>
      </c>
      <c r="C977">
        <v>42</v>
      </c>
    </row>
    <row r="978" spans="1:3" x14ac:dyDescent="0.3">
      <c r="A978" s="31">
        <v>46141</v>
      </c>
      <c r="B978" t="str">
        <v>New Followers</v>
      </c>
      <c r="C978">
        <v>7</v>
      </c>
    </row>
    <row r="979" spans="1:3" x14ac:dyDescent="0.3">
      <c r="A979" s="31">
        <v>46141</v>
      </c>
      <c r="B979" t="str">
        <v>Engagement</v>
      </c>
      <c r="C979">
        <v>45</v>
      </c>
    </row>
    <row r="980" spans="1:3" x14ac:dyDescent="0.3">
      <c r="A980" s="31">
        <v>46141</v>
      </c>
      <c r="B980" t="str">
        <v>Engagement Rate</v>
      </c>
      <c r="C980">
        <v>6.637168141592921E-2</v>
      </c>
    </row>
    <row r="981" spans="1:3" x14ac:dyDescent="0.3">
      <c r="A981" s="31">
        <v>46141</v>
      </c>
      <c r="B981" t="str">
        <v>Brand Awareness</v>
      </c>
      <c r="C981">
        <v>49</v>
      </c>
    </row>
    <row r="982" spans="1:3" x14ac:dyDescent="0.3">
      <c r="A982" s="31">
        <v>46142</v>
      </c>
      <c r="B982" t="str">
        <v>Views</v>
      </c>
      <c r="C982">
        <v>678</v>
      </c>
    </row>
    <row r="983" spans="1:3" x14ac:dyDescent="0.3">
      <c r="A983" s="31">
        <v>46142</v>
      </c>
      <c r="B983" t="str">
        <v>Total Watch Time (s)</v>
      </c>
      <c r="C983">
        <v>15594</v>
      </c>
    </row>
    <row r="984" spans="1:3" x14ac:dyDescent="0.3">
      <c r="A984" s="31">
        <v>46142</v>
      </c>
      <c r="B984" t="str">
        <v>Likes</v>
      </c>
      <c r="C984">
        <v>15</v>
      </c>
    </row>
    <row r="985" spans="1:3" x14ac:dyDescent="0.3">
      <c r="A985" s="31">
        <v>46142</v>
      </c>
      <c r="B985" t="str">
        <v>Saves</v>
      </c>
      <c r="C985">
        <v>6</v>
      </c>
    </row>
    <row r="986" spans="1:3" x14ac:dyDescent="0.3">
      <c r="A986" s="31">
        <v>46142</v>
      </c>
      <c r="B986" t="str">
        <v>Comments</v>
      </c>
      <c r="C986">
        <v>2</v>
      </c>
    </row>
    <row r="987" spans="1:3" x14ac:dyDescent="0.3">
      <c r="A987" s="31">
        <v>46142</v>
      </c>
      <c r="B987" t="str">
        <v>Shares</v>
      </c>
      <c r="C987">
        <v>2</v>
      </c>
    </row>
    <row r="988" spans="1:3" x14ac:dyDescent="0.3">
      <c r="A988" s="31">
        <v>46142</v>
      </c>
      <c r="B988" t="str">
        <v>Profile Visits</v>
      </c>
      <c r="C988">
        <v>39</v>
      </c>
    </row>
    <row r="989" spans="1:3" x14ac:dyDescent="0.3">
      <c r="A989" s="31">
        <v>46142</v>
      </c>
      <c r="B989" t="str">
        <v>New Followers</v>
      </c>
      <c r="C989">
        <v>5</v>
      </c>
    </row>
    <row r="990" spans="1:3" x14ac:dyDescent="0.3">
      <c r="A990" s="31">
        <v>46142</v>
      </c>
      <c r="B990" t="str">
        <v>Engagement</v>
      </c>
      <c r="C990">
        <v>25</v>
      </c>
    </row>
    <row r="991" spans="1:3" x14ac:dyDescent="0.3">
      <c r="A991" s="31">
        <v>46142</v>
      </c>
      <c r="B991" t="str">
        <v>Engagement Rate</v>
      </c>
      <c r="C991">
        <v>3.687315634218289E-2</v>
      </c>
    </row>
    <row r="992" spans="1:3" x14ac:dyDescent="0.3">
      <c r="A992" s="31">
        <v>46142</v>
      </c>
      <c r="B992" t="str">
        <v>Brand Awareness</v>
      </c>
      <c r="C992">
        <v>44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B2BA-2A24-4B3F-A86B-57C84D0AFF31}">
  <dimension ref="A1:C700"/>
  <sheetViews>
    <sheetView workbookViewId="0">
      <selection activeCell="D61" sqref="D61"/>
    </sheetView>
  </sheetViews>
  <sheetFormatPr baseColWidth="10" defaultRowHeight="14.4" x14ac:dyDescent="0.3"/>
  <cols>
    <col min="1" max="1" width="11.77734375" style="87" bestFit="1" customWidth="1"/>
    <col min="2" max="3" width="11.5546875" style="21"/>
  </cols>
  <sheetData>
    <row r="1" spans="1:3" ht="15.6" x14ac:dyDescent="0.3">
      <c r="A1" s="37" t="s">
        <v>67</v>
      </c>
      <c r="B1"/>
      <c r="C1"/>
    </row>
    <row r="2" spans="1:3" x14ac:dyDescent="0.3">
      <c r="A2" s="82" t="s">
        <v>68</v>
      </c>
      <c r="B2" s="82" t="s">
        <v>33</v>
      </c>
      <c r="C2" s="82" t="s">
        <v>34</v>
      </c>
    </row>
    <row r="3" spans="1:3" x14ac:dyDescent="0.3">
      <c r="A3" s="83" cm="1">
        <f t="array" ref="A3:A90">_xlfn.LET(_xlpm.n,Dashboard!$O$7,_xlpm.days,_xlfn.SEQUENCE(_xlpm.n),Dashboard!$K$7+_xlpm.days-1)</f>
        <v>46053</v>
      </c>
      <c r="B3" cm="1">
        <f t="array" ref="B3:C90">_xlfn.LET(_xlpm.n,Dashboard!$O$7,_xlpm.days,_xlfn.SEQUENCE(_xlpm.n),_xlpm.metricIdx,MATCH(Dashboard!$O$6,DataTbl[#Headers],0)-1,_xlpm.metricCol,INDEX(DataTbl[[Views]:[Brand Awareness]],0,_xlpm.metricIdx),_xlpm.isRate,Dashboard!$O$6="Engagement Rate",_xlpm.aDates,Dashboard!$K$7+_xlpm.days-1,_xlpm.bDates,Dashboard!$M$7+_xlpm.days-1,_xlpm.aVals,IFERROR(_xlfn.XLOOKUP(_xlpm.aDates,DataTbl[Date],_xlpm.metricCol,0),0),_xlpm.bVals,IFERROR(_xlfn.XLOOKUP(_xlpm.bDates,DataTbl[Date],_xlpm.metricCol,0),0),_xlfn.HSTACK(_xlpm.aVals,_xlpm.bVals))</f>
        <v>6</v>
      </c>
      <c r="C3">
        <v>6</v>
      </c>
    </row>
    <row r="4" spans="1:3" x14ac:dyDescent="0.3">
      <c r="A4" s="84">
        <v>46054</v>
      </c>
      <c r="B4">
        <v>7</v>
      </c>
      <c r="C4">
        <v>6</v>
      </c>
    </row>
    <row r="5" spans="1:3" x14ac:dyDescent="0.3">
      <c r="A5" s="84">
        <v>46055</v>
      </c>
      <c r="B5">
        <v>8</v>
      </c>
      <c r="C5">
        <v>6</v>
      </c>
    </row>
    <row r="6" spans="1:3" x14ac:dyDescent="0.3">
      <c r="A6" s="84">
        <v>46056</v>
      </c>
      <c r="B6">
        <v>11</v>
      </c>
      <c r="C6">
        <v>5</v>
      </c>
    </row>
    <row r="7" spans="1:3" x14ac:dyDescent="0.3">
      <c r="A7" s="84">
        <v>46057</v>
      </c>
      <c r="B7">
        <v>3</v>
      </c>
      <c r="C7">
        <v>5</v>
      </c>
    </row>
    <row r="8" spans="1:3" x14ac:dyDescent="0.3">
      <c r="A8" s="84">
        <v>46058</v>
      </c>
      <c r="B8">
        <v>9</v>
      </c>
      <c r="C8">
        <v>5</v>
      </c>
    </row>
    <row r="9" spans="1:3" x14ac:dyDescent="0.3">
      <c r="A9" s="84">
        <v>46059</v>
      </c>
      <c r="B9">
        <v>5</v>
      </c>
      <c r="C9">
        <v>4</v>
      </c>
    </row>
    <row r="10" spans="1:3" x14ac:dyDescent="0.3">
      <c r="A10" s="84">
        <v>46060</v>
      </c>
      <c r="B10">
        <v>7</v>
      </c>
      <c r="C10">
        <v>10</v>
      </c>
    </row>
    <row r="11" spans="1:3" x14ac:dyDescent="0.3">
      <c r="A11" s="84">
        <v>46061</v>
      </c>
      <c r="B11">
        <v>9</v>
      </c>
      <c r="C11">
        <v>30</v>
      </c>
    </row>
    <row r="12" spans="1:3" x14ac:dyDescent="0.3">
      <c r="A12" s="84">
        <v>46062</v>
      </c>
      <c r="B12">
        <v>7</v>
      </c>
      <c r="C12">
        <v>15</v>
      </c>
    </row>
    <row r="13" spans="1:3" x14ac:dyDescent="0.3">
      <c r="A13" s="84">
        <v>46063</v>
      </c>
      <c r="B13">
        <v>4</v>
      </c>
      <c r="C13">
        <v>22</v>
      </c>
    </row>
    <row r="14" spans="1:3" x14ac:dyDescent="0.3">
      <c r="A14" s="84">
        <v>46064</v>
      </c>
      <c r="B14">
        <v>9</v>
      </c>
      <c r="C14">
        <v>18</v>
      </c>
    </row>
    <row r="15" spans="1:3" x14ac:dyDescent="0.3">
      <c r="A15" s="84">
        <v>46065</v>
      </c>
      <c r="B15">
        <v>5</v>
      </c>
      <c r="C15">
        <v>6</v>
      </c>
    </row>
    <row r="16" spans="1:3" x14ac:dyDescent="0.3">
      <c r="A16" s="84">
        <v>46066</v>
      </c>
      <c r="B16">
        <v>22</v>
      </c>
      <c r="C16">
        <v>5</v>
      </c>
    </row>
    <row r="17" spans="1:3" x14ac:dyDescent="0.3">
      <c r="A17" s="84">
        <v>46067</v>
      </c>
      <c r="B17">
        <v>21</v>
      </c>
      <c r="C17">
        <v>8</v>
      </c>
    </row>
    <row r="18" spans="1:3" x14ac:dyDescent="0.3">
      <c r="A18" s="84">
        <v>46068</v>
      </c>
      <c r="B18">
        <v>22</v>
      </c>
      <c r="C18">
        <v>7</v>
      </c>
    </row>
    <row r="19" spans="1:3" x14ac:dyDescent="0.3">
      <c r="A19" s="84">
        <v>46069</v>
      </c>
      <c r="B19">
        <v>21</v>
      </c>
      <c r="C19">
        <v>6</v>
      </c>
    </row>
    <row r="20" spans="1:3" x14ac:dyDescent="0.3">
      <c r="A20" s="84">
        <v>46070</v>
      </c>
      <c r="B20">
        <v>28</v>
      </c>
      <c r="C20">
        <v>3</v>
      </c>
    </row>
    <row r="21" spans="1:3" x14ac:dyDescent="0.3">
      <c r="A21" s="84">
        <v>46071</v>
      </c>
      <c r="B21">
        <v>25</v>
      </c>
      <c r="C21">
        <v>6</v>
      </c>
    </row>
    <row r="22" spans="1:3" x14ac:dyDescent="0.3">
      <c r="A22" s="84">
        <v>46072</v>
      </c>
      <c r="B22">
        <v>22</v>
      </c>
      <c r="C22">
        <v>5</v>
      </c>
    </row>
    <row r="23" spans="1:3" x14ac:dyDescent="0.3">
      <c r="A23" s="84">
        <v>46073</v>
      </c>
      <c r="B23">
        <v>15</v>
      </c>
      <c r="C23">
        <v>6</v>
      </c>
    </row>
    <row r="24" spans="1:3" x14ac:dyDescent="0.3">
      <c r="A24" s="84">
        <v>46074</v>
      </c>
      <c r="B24">
        <v>9</v>
      </c>
      <c r="C24">
        <v>6</v>
      </c>
    </row>
    <row r="25" spans="1:3" x14ac:dyDescent="0.3">
      <c r="A25" s="84">
        <v>46075</v>
      </c>
      <c r="B25">
        <v>8</v>
      </c>
      <c r="C25">
        <v>6</v>
      </c>
    </row>
    <row r="26" spans="1:3" x14ac:dyDescent="0.3">
      <c r="A26" s="84">
        <v>46076</v>
      </c>
      <c r="B26">
        <v>6</v>
      </c>
      <c r="C26">
        <v>9</v>
      </c>
    </row>
    <row r="27" spans="1:3" x14ac:dyDescent="0.3">
      <c r="A27" s="84">
        <v>46077</v>
      </c>
      <c r="B27">
        <v>10</v>
      </c>
      <c r="C27">
        <v>17</v>
      </c>
    </row>
    <row r="28" spans="1:3" x14ac:dyDescent="0.3">
      <c r="A28" s="84">
        <v>46078</v>
      </c>
      <c r="B28">
        <v>8</v>
      </c>
      <c r="C28">
        <v>5</v>
      </c>
    </row>
    <row r="29" spans="1:3" x14ac:dyDescent="0.3">
      <c r="A29" s="84">
        <v>46079</v>
      </c>
      <c r="B29">
        <v>10</v>
      </c>
      <c r="C29">
        <v>6</v>
      </c>
    </row>
    <row r="30" spans="1:3" x14ac:dyDescent="0.3">
      <c r="A30" s="84">
        <v>46080</v>
      </c>
      <c r="B30">
        <v>4</v>
      </c>
      <c r="C30">
        <v>11</v>
      </c>
    </row>
    <row r="31" spans="1:3" x14ac:dyDescent="0.3">
      <c r="A31" s="84">
        <v>46081</v>
      </c>
      <c r="B31">
        <v>11</v>
      </c>
      <c r="C31">
        <v>6</v>
      </c>
    </row>
    <row r="32" spans="1:3" x14ac:dyDescent="0.3">
      <c r="A32" s="84">
        <v>46082</v>
      </c>
      <c r="B32">
        <v>14</v>
      </c>
      <c r="C32">
        <v>5</v>
      </c>
    </row>
    <row r="33" spans="1:3" x14ac:dyDescent="0.3">
      <c r="A33" s="84">
        <v>46083</v>
      </c>
      <c r="B33">
        <v>10</v>
      </c>
      <c r="C33">
        <v>4</v>
      </c>
    </row>
    <row r="34" spans="1:3" x14ac:dyDescent="0.3">
      <c r="A34" s="84">
        <v>46084</v>
      </c>
      <c r="B34">
        <v>10</v>
      </c>
      <c r="C34">
        <v>5</v>
      </c>
    </row>
    <row r="35" spans="1:3" x14ac:dyDescent="0.3">
      <c r="A35" s="84">
        <v>46085</v>
      </c>
      <c r="B35">
        <v>10</v>
      </c>
      <c r="C35">
        <v>8</v>
      </c>
    </row>
    <row r="36" spans="1:3" x14ac:dyDescent="0.3">
      <c r="A36" s="84">
        <v>46086</v>
      </c>
      <c r="B36">
        <v>3</v>
      </c>
      <c r="C36">
        <v>7</v>
      </c>
    </row>
    <row r="37" spans="1:3" x14ac:dyDescent="0.3">
      <c r="A37" s="84">
        <v>46087</v>
      </c>
      <c r="B37">
        <v>8</v>
      </c>
      <c r="C37">
        <v>29</v>
      </c>
    </row>
    <row r="38" spans="1:3" x14ac:dyDescent="0.3">
      <c r="A38" s="84">
        <v>46088</v>
      </c>
      <c r="B38">
        <v>13</v>
      </c>
      <c r="C38">
        <v>6</v>
      </c>
    </row>
    <row r="39" spans="1:3" x14ac:dyDescent="0.3">
      <c r="A39" s="84">
        <v>46089</v>
      </c>
      <c r="B39">
        <v>22</v>
      </c>
      <c r="C39">
        <v>6</v>
      </c>
    </row>
    <row r="40" spans="1:3" x14ac:dyDescent="0.3">
      <c r="A40" s="84">
        <v>46090</v>
      </c>
      <c r="B40">
        <v>10</v>
      </c>
      <c r="C40">
        <v>6</v>
      </c>
    </row>
    <row r="41" spans="1:3" x14ac:dyDescent="0.3">
      <c r="A41" s="84">
        <v>46091</v>
      </c>
      <c r="B41">
        <v>7</v>
      </c>
      <c r="C41">
        <v>8</v>
      </c>
    </row>
    <row r="42" spans="1:3" x14ac:dyDescent="0.3">
      <c r="A42" s="84">
        <v>46092</v>
      </c>
      <c r="B42">
        <v>6</v>
      </c>
      <c r="C42">
        <v>17</v>
      </c>
    </row>
    <row r="43" spans="1:3" x14ac:dyDescent="0.3">
      <c r="A43" s="84">
        <v>46093</v>
      </c>
      <c r="B43">
        <v>10</v>
      </c>
      <c r="C43">
        <v>9</v>
      </c>
    </row>
    <row r="44" spans="1:3" x14ac:dyDescent="0.3">
      <c r="A44" s="84">
        <v>46094</v>
      </c>
      <c r="B44">
        <v>9</v>
      </c>
      <c r="C44">
        <v>16</v>
      </c>
    </row>
    <row r="45" spans="1:3" x14ac:dyDescent="0.3">
      <c r="A45" s="84">
        <v>46095</v>
      </c>
      <c r="B45">
        <v>9</v>
      </c>
      <c r="C45">
        <v>5</v>
      </c>
    </row>
    <row r="46" spans="1:3" x14ac:dyDescent="0.3">
      <c r="A46" s="84">
        <v>46096</v>
      </c>
      <c r="B46">
        <v>7</v>
      </c>
      <c r="C46">
        <v>6</v>
      </c>
    </row>
    <row r="47" spans="1:3" x14ac:dyDescent="0.3">
      <c r="A47" s="84">
        <v>46097</v>
      </c>
      <c r="B47">
        <v>6</v>
      </c>
      <c r="C47">
        <v>9</v>
      </c>
    </row>
    <row r="48" spans="1:3" x14ac:dyDescent="0.3">
      <c r="A48" s="84">
        <v>46098</v>
      </c>
      <c r="B48">
        <v>7</v>
      </c>
      <c r="C48">
        <v>10</v>
      </c>
    </row>
    <row r="49" spans="1:3" x14ac:dyDescent="0.3">
      <c r="A49" s="84">
        <v>46099</v>
      </c>
      <c r="B49">
        <v>5</v>
      </c>
      <c r="C49">
        <v>8</v>
      </c>
    </row>
    <row r="50" spans="1:3" x14ac:dyDescent="0.3">
      <c r="A50" s="84">
        <v>46100</v>
      </c>
      <c r="B50">
        <v>4</v>
      </c>
      <c r="C50">
        <v>8</v>
      </c>
    </row>
    <row r="51" spans="1:3" x14ac:dyDescent="0.3">
      <c r="A51" s="84">
        <v>46101</v>
      </c>
      <c r="B51">
        <v>8</v>
      </c>
      <c r="C51">
        <v>9</v>
      </c>
    </row>
    <row r="52" spans="1:3" x14ac:dyDescent="0.3">
      <c r="A52" s="84">
        <v>46102</v>
      </c>
      <c r="B52">
        <v>7</v>
      </c>
      <c r="C52">
        <v>7</v>
      </c>
    </row>
    <row r="53" spans="1:3" x14ac:dyDescent="0.3">
      <c r="A53" s="84">
        <v>46103</v>
      </c>
      <c r="B53">
        <v>4</v>
      </c>
      <c r="C53">
        <v>9</v>
      </c>
    </row>
    <row r="54" spans="1:3" x14ac:dyDescent="0.3">
      <c r="A54" s="84">
        <v>46104</v>
      </c>
      <c r="B54">
        <v>5</v>
      </c>
      <c r="C54">
        <v>9</v>
      </c>
    </row>
    <row r="55" spans="1:3" x14ac:dyDescent="0.3">
      <c r="A55" s="84">
        <v>46105</v>
      </c>
      <c r="B55">
        <v>5</v>
      </c>
      <c r="C55">
        <v>11</v>
      </c>
    </row>
    <row r="56" spans="1:3" x14ac:dyDescent="0.3">
      <c r="A56" s="84">
        <v>46106</v>
      </c>
      <c r="B56">
        <v>6</v>
      </c>
      <c r="C56">
        <v>21</v>
      </c>
    </row>
    <row r="57" spans="1:3" x14ac:dyDescent="0.3">
      <c r="A57" s="84">
        <v>46107</v>
      </c>
      <c r="B57">
        <v>5</v>
      </c>
      <c r="C57">
        <v>14</v>
      </c>
    </row>
    <row r="58" spans="1:3" x14ac:dyDescent="0.3">
      <c r="A58" s="84">
        <v>46108</v>
      </c>
      <c r="B58">
        <v>5</v>
      </c>
      <c r="C58">
        <v>6</v>
      </c>
    </row>
    <row r="59" spans="1:3" x14ac:dyDescent="0.3">
      <c r="A59" s="84">
        <v>46109</v>
      </c>
      <c r="B59">
        <v>34</v>
      </c>
      <c r="C59">
        <v>9</v>
      </c>
    </row>
    <row r="60" spans="1:3" x14ac:dyDescent="0.3">
      <c r="A60" s="84">
        <v>46110</v>
      </c>
      <c r="B60">
        <v>5</v>
      </c>
      <c r="C60">
        <v>9</v>
      </c>
    </row>
    <row r="61" spans="1:3" x14ac:dyDescent="0.3">
      <c r="A61" s="84">
        <v>46111</v>
      </c>
      <c r="B61">
        <v>5</v>
      </c>
      <c r="C61">
        <v>13</v>
      </c>
    </row>
    <row r="62" spans="1:3" x14ac:dyDescent="0.3">
      <c r="A62" s="84">
        <v>46112</v>
      </c>
      <c r="B62">
        <v>11</v>
      </c>
      <c r="C62">
        <v>17</v>
      </c>
    </row>
    <row r="63" spans="1:3" x14ac:dyDescent="0.3">
      <c r="A63" s="84">
        <v>46113</v>
      </c>
      <c r="B63">
        <v>10</v>
      </c>
      <c r="C63">
        <v>17</v>
      </c>
    </row>
    <row r="64" spans="1:3" x14ac:dyDescent="0.3">
      <c r="A64" s="84">
        <v>46114</v>
      </c>
      <c r="B64">
        <v>9</v>
      </c>
      <c r="C64">
        <v>8</v>
      </c>
    </row>
    <row r="65" spans="1:3" x14ac:dyDescent="0.3">
      <c r="A65" s="84">
        <v>46115</v>
      </c>
      <c r="B65">
        <v>8</v>
      </c>
      <c r="C65">
        <v>5</v>
      </c>
    </row>
    <row r="66" spans="1:3" x14ac:dyDescent="0.3">
      <c r="A66" s="84">
        <v>46116</v>
      </c>
      <c r="B66">
        <v>8</v>
      </c>
      <c r="C66">
        <v>6</v>
      </c>
    </row>
    <row r="67" spans="1:3" x14ac:dyDescent="0.3">
      <c r="A67" s="84">
        <v>46117</v>
      </c>
      <c r="B67">
        <v>12</v>
      </c>
      <c r="C67">
        <v>10</v>
      </c>
    </row>
    <row r="68" spans="1:3" x14ac:dyDescent="0.3">
      <c r="A68" s="84">
        <v>46118</v>
      </c>
      <c r="B68">
        <v>12</v>
      </c>
      <c r="C68">
        <v>6</v>
      </c>
    </row>
    <row r="69" spans="1:3" x14ac:dyDescent="0.3">
      <c r="A69" s="84">
        <v>46119</v>
      </c>
      <c r="B69">
        <v>4</v>
      </c>
      <c r="C69">
        <v>6</v>
      </c>
    </row>
    <row r="70" spans="1:3" x14ac:dyDescent="0.3">
      <c r="A70" s="84">
        <v>46120</v>
      </c>
      <c r="B70">
        <v>7</v>
      </c>
      <c r="C70">
        <v>5</v>
      </c>
    </row>
    <row r="71" spans="1:3" x14ac:dyDescent="0.3">
      <c r="A71" s="84">
        <v>46121</v>
      </c>
      <c r="B71">
        <v>9</v>
      </c>
      <c r="C71">
        <v>4</v>
      </c>
    </row>
    <row r="72" spans="1:3" x14ac:dyDescent="0.3">
      <c r="A72" s="84">
        <v>46122</v>
      </c>
      <c r="B72">
        <v>6</v>
      </c>
      <c r="C72">
        <v>6</v>
      </c>
    </row>
    <row r="73" spans="1:3" x14ac:dyDescent="0.3">
      <c r="A73" s="84">
        <v>46123</v>
      </c>
      <c r="B73">
        <v>10</v>
      </c>
      <c r="C73">
        <v>7</v>
      </c>
    </row>
    <row r="74" spans="1:3" x14ac:dyDescent="0.3">
      <c r="A74" s="84">
        <v>46124</v>
      </c>
      <c r="B74">
        <v>4</v>
      </c>
      <c r="C74">
        <v>4</v>
      </c>
    </row>
    <row r="75" spans="1:3" x14ac:dyDescent="0.3">
      <c r="A75" s="84">
        <v>46125</v>
      </c>
      <c r="B75">
        <v>10</v>
      </c>
      <c r="C75">
        <v>5</v>
      </c>
    </row>
    <row r="76" spans="1:3" x14ac:dyDescent="0.3">
      <c r="A76" s="84">
        <v>46126</v>
      </c>
      <c r="B76">
        <v>7</v>
      </c>
      <c r="C76">
        <v>5</v>
      </c>
    </row>
    <row r="77" spans="1:3" x14ac:dyDescent="0.3">
      <c r="A77" s="84">
        <v>46127</v>
      </c>
      <c r="B77">
        <v>10</v>
      </c>
      <c r="C77">
        <v>6</v>
      </c>
    </row>
    <row r="78" spans="1:3" x14ac:dyDescent="0.3">
      <c r="A78" s="84">
        <v>46128</v>
      </c>
      <c r="B78">
        <v>6</v>
      </c>
      <c r="C78">
        <v>4</v>
      </c>
    </row>
    <row r="79" spans="1:3" x14ac:dyDescent="0.3">
      <c r="A79" s="84">
        <v>46129</v>
      </c>
      <c r="B79">
        <v>26</v>
      </c>
      <c r="C79">
        <v>4</v>
      </c>
    </row>
    <row r="80" spans="1:3" x14ac:dyDescent="0.3">
      <c r="A80" s="84">
        <v>46130</v>
      </c>
      <c r="B80">
        <v>5</v>
      </c>
      <c r="C80">
        <v>4</v>
      </c>
    </row>
    <row r="81" spans="1:3" x14ac:dyDescent="0.3">
      <c r="A81" s="84">
        <v>46131</v>
      </c>
      <c r="B81">
        <v>5</v>
      </c>
      <c r="C81">
        <v>8</v>
      </c>
    </row>
    <row r="82" spans="1:3" x14ac:dyDescent="0.3">
      <c r="A82" s="84">
        <v>46132</v>
      </c>
      <c r="B82">
        <v>7</v>
      </c>
      <c r="C82">
        <v>5</v>
      </c>
    </row>
    <row r="83" spans="1:3" x14ac:dyDescent="0.3">
      <c r="A83" s="84">
        <v>46133</v>
      </c>
      <c r="B83">
        <v>10</v>
      </c>
      <c r="C83">
        <v>7</v>
      </c>
    </row>
    <row r="84" spans="1:3" x14ac:dyDescent="0.3">
      <c r="A84" s="84">
        <v>46134</v>
      </c>
      <c r="B84">
        <v>4</v>
      </c>
      <c r="C84">
        <v>9</v>
      </c>
    </row>
    <row r="85" spans="1:3" x14ac:dyDescent="0.3">
      <c r="A85" s="84">
        <v>46135</v>
      </c>
      <c r="B85">
        <v>7</v>
      </c>
      <c r="C85">
        <v>8</v>
      </c>
    </row>
    <row r="86" spans="1:3" x14ac:dyDescent="0.3">
      <c r="A86" s="84">
        <v>46136</v>
      </c>
      <c r="B86">
        <v>5</v>
      </c>
      <c r="C86">
        <v>7</v>
      </c>
    </row>
    <row r="87" spans="1:3" x14ac:dyDescent="0.3">
      <c r="A87" s="84">
        <v>46137</v>
      </c>
      <c r="B87">
        <v>4</v>
      </c>
      <c r="C87">
        <v>7</v>
      </c>
    </row>
    <row r="88" spans="1:3" x14ac:dyDescent="0.3">
      <c r="A88" s="84">
        <v>46138</v>
      </c>
      <c r="B88">
        <v>11</v>
      </c>
      <c r="C88">
        <v>4</v>
      </c>
    </row>
    <row r="89" spans="1:3" x14ac:dyDescent="0.3">
      <c r="A89" s="84">
        <v>46139</v>
      </c>
      <c r="B89">
        <v>7</v>
      </c>
      <c r="C89">
        <v>9</v>
      </c>
    </row>
    <row r="90" spans="1:3" x14ac:dyDescent="0.3">
      <c r="A90" s="84">
        <v>46140</v>
      </c>
      <c r="B90">
        <v>8</v>
      </c>
      <c r="C90">
        <v>7</v>
      </c>
    </row>
    <row r="91" spans="1:3" x14ac:dyDescent="0.3">
      <c r="A91" s="84"/>
      <c r="B91"/>
      <c r="C91"/>
    </row>
    <row r="92" spans="1:3" x14ac:dyDescent="0.3">
      <c r="A92" s="84"/>
      <c r="B92"/>
      <c r="C92"/>
    </row>
    <row r="93" spans="1:3" x14ac:dyDescent="0.3">
      <c r="A93" s="84"/>
      <c r="B93"/>
      <c r="C93"/>
    </row>
    <row r="94" spans="1:3" x14ac:dyDescent="0.3">
      <c r="A94" s="84"/>
      <c r="B94"/>
      <c r="C94"/>
    </row>
    <row r="95" spans="1:3" x14ac:dyDescent="0.3">
      <c r="A95" s="84"/>
      <c r="B95"/>
      <c r="C95"/>
    </row>
    <row r="96" spans="1:3" x14ac:dyDescent="0.3">
      <c r="A96" s="84"/>
      <c r="B96"/>
      <c r="C96"/>
    </row>
    <row r="97" spans="1:1" customFormat="1" x14ac:dyDescent="0.3">
      <c r="A97" s="84"/>
    </row>
    <row r="98" spans="1:1" customFormat="1" x14ac:dyDescent="0.3">
      <c r="A98" s="84"/>
    </row>
    <row r="99" spans="1:1" customFormat="1" x14ac:dyDescent="0.3">
      <c r="A99" s="84"/>
    </row>
    <row r="100" spans="1:1" customFormat="1" x14ac:dyDescent="0.3">
      <c r="A100" s="84"/>
    </row>
    <row r="101" spans="1:1" customFormat="1" x14ac:dyDescent="0.3">
      <c r="A101" s="84"/>
    </row>
    <row r="102" spans="1:1" customFormat="1" x14ac:dyDescent="0.3">
      <c r="A102" s="84"/>
    </row>
    <row r="103" spans="1:1" customFormat="1" x14ac:dyDescent="0.3">
      <c r="A103" s="84"/>
    </row>
    <row r="104" spans="1:1" customFormat="1" x14ac:dyDescent="0.3">
      <c r="A104" s="84"/>
    </row>
    <row r="105" spans="1:1" customFormat="1" x14ac:dyDescent="0.3">
      <c r="A105" s="84"/>
    </row>
    <row r="106" spans="1:1" customFormat="1" x14ac:dyDescent="0.3">
      <c r="A106" s="84"/>
    </row>
    <row r="107" spans="1:1" customFormat="1" x14ac:dyDescent="0.3">
      <c r="A107" s="84"/>
    </row>
    <row r="108" spans="1:1" customFormat="1" x14ac:dyDescent="0.3">
      <c r="A108" s="84"/>
    </row>
    <row r="109" spans="1:1" customFormat="1" x14ac:dyDescent="0.3">
      <c r="A109" s="84"/>
    </row>
    <row r="110" spans="1:1" customFormat="1" x14ac:dyDescent="0.3">
      <c r="A110" s="84"/>
    </row>
    <row r="111" spans="1:1" customFormat="1" x14ac:dyDescent="0.3">
      <c r="A111" s="84"/>
    </row>
    <row r="112" spans="1:1" customFormat="1" x14ac:dyDescent="0.3">
      <c r="A112" s="84"/>
    </row>
    <row r="113" spans="1:1" customFormat="1" x14ac:dyDescent="0.3">
      <c r="A113" s="84"/>
    </row>
    <row r="114" spans="1:1" customFormat="1" x14ac:dyDescent="0.3">
      <c r="A114" s="84"/>
    </row>
    <row r="115" spans="1:1" customFormat="1" x14ac:dyDescent="0.3">
      <c r="A115" s="84"/>
    </row>
    <row r="116" spans="1:1" customFormat="1" x14ac:dyDescent="0.3">
      <c r="A116" s="84"/>
    </row>
    <row r="117" spans="1:1" customFormat="1" x14ac:dyDescent="0.3">
      <c r="A117" s="84"/>
    </row>
    <row r="118" spans="1:1" customFormat="1" x14ac:dyDescent="0.3">
      <c r="A118" s="84"/>
    </row>
    <row r="119" spans="1:1" customFormat="1" x14ac:dyDescent="0.3">
      <c r="A119" s="84"/>
    </row>
    <row r="120" spans="1:1" customFormat="1" x14ac:dyDescent="0.3">
      <c r="A120" s="84"/>
    </row>
    <row r="121" spans="1:1" customFormat="1" x14ac:dyDescent="0.3">
      <c r="A121" s="84"/>
    </row>
    <row r="122" spans="1:1" customFormat="1" x14ac:dyDescent="0.3">
      <c r="A122" s="84"/>
    </row>
    <row r="123" spans="1:1" customFormat="1" x14ac:dyDescent="0.3">
      <c r="A123" s="84"/>
    </row>
    <row r="124" spans="1:1" customFormat="1" x14ac:dyDescent="0.3">
      <c r="A124" s="84"/>
    </row>
    <row r="125" spans="1:1" customFormat="1" x14ac:dyDescent="0.3">
      <c r="A125" s="84"/>
    </row>
    <row r="126" spans="1:1" customFormat="1" x14ac:dyDescent="0.3">
      <c r="A126" s="84"/>
    </row>
    <row r="127" spans="1:1" customFormat="1" x14ac:dyDescent="0.3">
      <c r="A127" s="84"/>
    </row>
    <row r="128" spans="1:1" customFormat="1" x14ac:dyDescent="0.3">
      <c r="A128" s="84"/>
    </row>
    <row r="129" spans="1:1" customFormat="1" x14ac:dyDescent="0.3">
      <c r="A129" s="84"/>
    </row>
    <row r="130" spans="1:1" customFormat="1" x14ac:dyDescent="0.3">
      <c r="A130" s="84"/>
    </row>
    <row r="131" spans="1:1" customFormat="1" x14ac:dyDescent="0.3">
      <c r="A131" s="84"/>
    </row>
    <row r="132" spans="1:1" customFormat="1" x14ac:dyDescent="0.3">
      <c r="A132" s="84"/>
    </row>
    <row r="133" spans="1:1" customFormat="1" x14ac:dyDescent="0.3">
      <c r="A133" s="84"/>
    </row>
    <row r="134" spans="1:1" customFormat="1" x14ac:dyDescent="0.3">
      <c r="A134" s="84"/>
    </row>
    <row r="135" spans="1:1" customFormat="1" x14ac:dyDescent="0.3">
      <c r="A135" s="84"/>
    </row>
    <row r="136" spans="1:1" customFormat="1" x14ac:dyDescent="0.3">
      <c r="A136" s="84"/>
    </row>
    <row r="137" spans="1:1" customFormat="1" x14ac:dyDescent="0.3">
      <c r="A137" s="84"/>
    </row>
    <row r="138" spans="1:1" customFormat="1" x14ac:dyDescent="0.3">
      <c r="A138" s="84"/>
    </row>
    <row r="139" spans="1:1" customFormat="1" x14ac:dyDescent="0.3">
      <c r="A139" s="84"/>
    </row>
    <row r="140" spans="1:1" customFormat="1" x14ac:dyDescent="0.3">
      <c r="A140" s="84"/>
    </row>
    <row r="141" spans="1:1" customFormat="1" x14ac:dyDescent="0.3">
      <c r="A141" s="84"/>
    </row>
    <row r="142" spans="1:1" customFormat="1" x14ac:dyDescent="0.3">
      <c r="A142" s="84"/>
    </row>
    <row r="143" spans="1:1" customFormat="1" x14ac:dyDescent="0.3">
      <c r="A143" s="84"/>
    </row>
    <row r="144" spans="1:1" customFormat="1" x14ac:dyDescent="0.3">
      <c r="A144" s="84"/>
    </row>
    <row r="145" spans="1:1" customFormat="1" x14ac:dyDescent="0.3">
      <c r="A145" s="84"/>
    </row>
    <row r="146" spans="1:1" customFormat="1" x14ac:dyDescent="0.3">
      <c r="A146" s="84"/>
    </row>
    <row r="147" spans="1:1" customFormat="1" x14ac:dyDescent="0.3">
      <c r="A147" s="84"/>
    </row>
    <row r="148" spans="1:1" customFormat="1" x14ac:dyDescent="0.3">
      <c r="A148" s="84"/>
    </row>
    <row r="149" spans="1:1" customFormat="1" x14ac:dyDescent="0.3">
      <c r="A149" s="84"/>
    </row>
    <row r="150" spans="1:1" customFormat="1" x14ac:dyDescent="0.3">
      <c r="A150" s="84"/>
    </row>
    <row r="151" spans="1:1" customFormat="1" x14ac:dyDescent="0.3">
      <c r="A151" s="84"/>
    </row>
    <row r="152" spans="1:1" customFormat="1" x14ac:dyDescent="0.3">
      <c r="A152" s="84"/>
    </row>
    <row r="153" spans="1:1" customFormat="1" x14ac:dyDescent="0.3">
      <c r="A153" s="84"/>
    </row>
    <row r="154" spans="1:1" customFormat="1" x14ac:dyDescent="0.3">
      <c r="A154" s="84"/>
    </row>
    <row r="155" spans="1:1" customFormat="1" x14ac:dyDescent="0.3">
      <c r="A155" s="84"/>
    </row>
    <row r="156" spans="1:1" customFormat="1" x14ac:dyDescent="0.3">
      <c r="A156" s="84"/>
    </row>
    <row r="157" spans="1:1" customFormat="1" x14ac:dyDescent="0.3">
      <c r="A157" s="84"/>
    </row>
    <row r="158" spans="1:1" customFormat="1" x14ac:dyDescent="0.3">
      <c r="A158" s="84"/>
    </row>
    <row r="159" spans="1:1" customFormat="1" x14ac:dyDescent="0.3">
      <c r="A159" s="84"/>
    </row>
    <row r="160" spans="1:1" customFormat="1" x14ac:dyDescent="0.3">
      <c r="A160" s="84"/>
    </row>
    <row r="161" spans="1:1" customFormat="1" x14ac:dyDescent="0.3">
      <c r="A161" s="84"/>
    </row>
    <row r="162" spans="1:1" customFormat="1" x14ac:dyDescent="0.3">
      <c r="A162" s="84"/>
    </row>
    <row r="163" spans="1:1" customFormat="1" x14ac:dyDescent="0.3">
      <c r="A163" s="84"/>
    </row>
    <row r="164" spans="1:1" customFormat="1" x14ac:dyDescent="0.3">
      <c r="A164" s="84"/>
    </row>
    <row r="165" spans="1:1" customFormat="1" x14ac:dyDescent="0.3">
      <c r="A165" s="84"/>
    </row>
    <row r="166" spans="1:1" customFormat="1" x14ac:dyDescent="0.3">
      <c r="A166" s="84"/>
    </row>
    <row r="167" spans="1:1" customFormat="1" x14ac:dyDescent="0.3">
      <c r="A167" s="84"/>
    </row>
    <row r="168" spans="1:1" customFormat="1" x14ac:dyDescent="0.3">
      <c r="A168" s="84"/>
    </row>
    <row r="169" spans="1:1" customFormat="1" x14ac:dyDescent="0.3">
      <c r="A169" s="84"/>
    </row>
    <row r="170" spans="1:1" customFormat="1" x14ac:dyDescent="0.3">
      <c r="A170" s="84"/>
    </row>
    <row r="171" spans="1:1" customFormat="1" x14ac:dyDescent="0.3">
      <c r="A171" s="84"/>
    </row>
    <row r="172" spans="1:1" customFormat="1" x14ac:dyDescent="0.3">
      <c r="A172" s="84"/>
    </row>
    <row r="173" spans="1:1" customFormat="1" x14ac:dyDescent="0.3">
      <c r="A173" s="84"/>
    </row>
    <row r="174" spans="1:1" customFormat="1" x14ac:dyDescent="0.3">
      <c r="A174" s="84"/>
    </row>
    <row r="175" spans="1:1" customFormat="1" x14ac:dyDescent="0.3">
      <c r="A175" s="84"/>
    </row>
    <row r="176" spans="1:1" customFormat="1" x14ac:dyDescent="0.3">
      <c r="A176" s="84"/>
    </row>
    <row r="177" spans="1:1" customFormat="1" x14ac:dyDescent="0.3">
      <c r="A177" s="84"/>
    </row>
    <row r="178" spans="1:1" customFormat="1" x14ac:dyDescent="0.3">
      <c r="A178" s="84"/>
    </row>
    <row r="179" spans="1:1" customFormat="1" x14ac:dyDescent="0.3">
      <c r="A179" s="84"/>
    </row>
    <row r="180" spans="1:1" customFormat="1" x14ac:dyDescent="0.3">
      <c r="A180" s="84"/>
    </row>
    <row r="181" spans="1:1" customFormat="1" x14ac:dyDescent="0.3">
      <c r="A181" s="84"/>
    </row>
    <row r="182" spans="1:1" customFormat="1" x14ac:dyDescent="0.3">
      <c r="A182" s="84"/>
    </row>
    <row r="183" spans="1:1" customFormat="1" x14ac:dyDescent="0.3">
      <c r="A183" s="84"/>
    </row>
    <row r="184" spans="1:1" customFormat="1" x14ac:dyDescent="0.3">
      <c r="A184" s="84"/>
    </row>
    <row r="185" spans="1:1" customFormat="1" x14ac:dyDescent="0.3">
      <c r="A185" s="84"/>
    </row>
    <row r="186" spans="1:1" customFormat="1" x14ac:dyDescent="0.3">
      <c r="A186" s="84"/>
    </row>
    <row r="187" spans="1:1" customFormat="1" x14ac:dyDescent="0.3">
      <c r="A187" s="84"/>
    </row>
    <row r="188" spans="1:1" customFormat="1" x14ac:dyDescent="0.3">
      <c r="A188" s="84"/>
    </row>
    <row r="189" spans="1:1" customFormat="1" x14ac:dyDescent="0.3">
      <c r="A189" s="84"/>
    </row>
    <row r="190" spans="1:1" customFormat="1" x14ac:dyDescent="0.3">
      <c r="A190" s="84"/>
    </row>
    <row r="191" spans="1:1" customFormat="1" x14ac:dyDescent="0.3">
      <c r="A191" s="84"/>
    </row>
    <row r="192" spans="1:1" customFormat="1" x14ac:dyDescent="0.3">
      <c r="A192" s="84"/>
    </row>
    <row r="193" spans="1:1" customFormat="1" x14ac:dyDescent="0.3">
      <c r="A193" s="84"/>
    </row>
    <row r="194" spans="1:1" customFormat="1" x14ac:dyDescent="0.3">
      <c r="A194" s="84"/>
    </row>
    <row r="195" spans="1:1" customFormat="1" x14ac:dyDescent="0.3">
      <c r="A195" s="84"/>
    </row>
    <row r="196" spans="1:1" customFormat="1" x14ac:dyDescent="0.3">
      <c r="A196" s="84"/>
    </row>
    <row r="197" spans="1:1" customFormat="1" x14ac:dyDescent="0.3">
      <c r="A197" s="84"/>
    </row>
    <row r="198" spans="1:1" customFormat="1" x14ac:dyDescent="0.3">
      <c r="A198" s="84"/>
    </row>
    <row r="199" spans="1:1" customFormat="1" x14ac:dyDescent="0.3">
      <c r="A199" s="84"/>
    </row>
    <row r="200" spans="1:1" customFormat="1" x14ac:dyDescent="0.3">
      <c r="A200" s="84"/>
    </row>
    <row r="201" spans="1:1" customFormat="1" x14ac:dyDescent="0.3">
      <c r="A201" s="84"/>
    </row>
    <row r="202" spans="1:1" customFormat="1" x14ac:dyDescent="0.3">
      <c r="A202" s="84"/>
    </row>
    <row r="203" spans="1:1" customFormat="1" x14ac:dyDescent="0.3">
      <c r="A203" s="84"/>
    </row>
    <row r="204" spans="1:1" customFormat="1" x14ac:dyDescent="0.3">
      <c r="A204" s="84"/>
    </row>
    <row r="205" spans="1:1" customFormat="1" x14ac:dyDescent="0.3">
      <c r="A205" s="84"/>
    </row>
    <row r="206" spans="1:1" customFormat="1" x14ac:dyDescent="0.3">
      <c r="A206" s="84"/>
    </row>
    <row r="207" spans="1:1" customFormat="1" x14ac:dyDescent="0.3">
      <c r="A207" s="84"/>
    </row>
    <row r="208" spans="1:1" customFormat="1" x14ac:dyDescent="0.3">
      <c r="A208" s="84"/>
    </row>
    <row r="209" spans="1:1" customFormat="1" x14ac:dyDescent="0.3">
      <c r="A209" s="84"/>
    </row>
    <row r="210" spans="1:1" customFormat="1" x14ac:dyDescent="0.3">
      <c r="A210" s="84"/>
    </row>
    <row r="211" spans="1:1" customFormat="1" x14ac:dyDescent="0.3">
      <c r="A211" s="84"/>
    </row>
    <row r="212" spans="1:1" customFormat="1" x14ac:dyDescent="0.3">
      <c r="A212" s="84"/>
    </row>
    <row r="213" spans="1:1" customFormat="1" x14ac:dyDescent="0.3">
      <c r="A213" s="84"/>
    </row>
    <row r="214" spans="1:1" customFormat="1" x14ac:dyDescent="0.3">
      <c r="A214" s="84"/>
    </row>
    <row r="215" spans="1:1" customFormat="1" x14ac:dyDescent="0.3">
      <c r="A215" s="84"/>
    </row>
    <row r="216" spans="1:1" customFormat="1" x14ac:dyDescent="0.3">
      <c r="A216" s="84"/>
    </row>
    <row r="217" spans="1:1" customFormat="1" x14ac:dyDescent="0.3">
      <c r="A217" s="84"/>
    </row>
    <row r="218" spans="1:1" customFormat="1" x14ac:dyDescent="0.3">
      <c r="A218" s="84"/>
    </row>
    <row r="219" spans="1:1" customFormat="1" x14ac:dyDescent="0.3">
      <c r="A219" s="84"/>
    </row>
    <row r="220" spans="1:1" customFormat="1" x14ac:dyDescent="0.3">
      <c r="A220" s="84"/>
    </row>
    <row r="221" spans="1:1" customFormat="1" x14ac:dyDescent="0.3">
      <c r="A221" s="84"/>
    </row>
    <row r="222" spans="1:1" customFormat="1" x14ac:dyDescent="0.3">
      <c r="A222" s="84"/>
    </row>
    <row r="223" spans="1:1" customFormat="1" x14ac:dyDescent="0.3">
      <c r="A223" s="84"/>
    </row>
    <row r="224" spans="1:1" customFormat="1" x14ac:dyDescent="0.3">
      <c r="A224" s="84"/>
    </row>
    <row r="225" spans="1:1" customFormat="1" x14ac:dyDescent="0.3">
      <c r="A225" s="84"/>
    </row>
    <row r="226" spans="1:1" customFormat="1" x14ac:dyDescent="0.3">
      <c r="A226" s="84"/>
    </row>
    <row r="227" spans="1:1" customFormat="1" x14ac:dyDescent="0.3">
      <c r="A227" s="84"/>
    </row>
    <row r="228" spans="1:1" customFormat="1" x14ac:dyDescent="0.3">
      <c r="A228" s="84"/>
    </row>
    <row r="229" spans="1:1" customFormat="1" x14ac:dyDescent="0.3">
      <c r="A229" s="84"/>
    </row>
    <row r="230" spans="1:1" customFormat="1" x14ac:dyDescent="0.3">
      <c r="A230" s="84"/>
    </row>
    <row r="231" spans="1:1" customFormat="1" x14ac:dyDescent="0.3">
      <c r="A231" s="84"/>
    </row>
    <row r="232" spans="1:1" customFormat="1" x14ac:dyDescent="0.3">
      <c r="A232" s="84"/>
    </row>
    <row r="233" spans="1:1" customFormat="1" x14ac:dyDescent="0.3">
      <c r="A233" s="84"/>
    </row>
    <row r="234" spans="1:1" customFormat="1" x14ac:dyDescent="0.3">
      <c r="A234" s="84"/>
    </row>
    <row r="235" spans="1:1" customFormat="1" x14ac:dyDescent="0.3">
      <c r="A235" s="84"/>
    </row>
    <row r="236" spans="1:1" customFormat="1" x14ac:dyDescent="0.3">
      <c r="A236" s="84"/>
    </row>
    <row r="237" spans="1:1" customFormat="1" x14ac:dyDescent="0.3">
      <c r="A237" s="84"/>
    </row>
    <row r="238" spans="1:1" customFormat="1" x14ac:dyDescent="0.3">
      <c r="A238" s="84"/>
    </row>
    <row r="239" spans="1:1" customFormat="1" x14ac:dyDescent="0.3">
      <c r="A239" s="84"/>
    </row>
    <row r="240" spans="1:1" customFormat="1" x14ac:dyDescent="0.3">
      <c r="A240" s="84"/>
    </row>
    <row r="241" spans="1:1" customFormat="1" x14ac:dyDescent="0.3">
      <c r="A241" s="84"/>
    </row>
    <row r="242" spans="1:1" customFormat="1" x14ac:dyDescent="0.3">
      <c r="A242" s="84"/>
    </row>
    <row r="243" spans="1:1" customFormat="1" x14ac:dyDescent="0.3">
      <c r="A243" s="84"/>
    </row>
    <row r="244" spans="1:1" customFormat="1" x14ac:dyDescent="0.3">
      <c r="A244" s="84"/>
    </row>
    <row r="245" spans="1:1" customFormat="1" x14ac:dyDescent="0.3">
      <c r="A245" s="84"/>
    </row>
    <row r="246" spans="1:1" customFormat="1" x14ac:dyDescent="0.3">
      <c r="A246" s="84"/>
    </row>
    <row r="247" spans="1:1" customFormat="1" x14ac:dyDescent="0.3">
      <c r="A247" s="84"/>
    </row>
    <row r="248" spans="1:1" customFormat="1" x14ac:dyDescent="0.3">
      <c r="A248" s="84"/>
    </row>
    <row r="249" spans="1:1" customFormat="1" x14ac:dyDescent="0.3">
      <c r="A249" s="84"/>
    </row>
    <row r="250" spans="1:1" customFormat="1" x14ac:dyDescent="0.3">
      <c r="A250" s="84"/>
    </row>
    <row r="251" spans="1:1" customFormat="1" x14ac:dyDescent="0.3">
      <c r="A251" s="84"/>
    </row>
    <row r="252" spans="1:1" customFormat="1" x14ac:dyDescent="0.3">
      <c r="A252" s="84"/>
    </row>
    <row r="253" spans="1:1" customFormat="1" x14ac:dyDescent="0.3">
      <c r="A253" s="84"/>
    </row>
    <row r="254" spans="1:1" customFormat="1" x14ac:dyDescent="0.3">
      <c r="A254" s="84"/>
    </row>
    <row r="255" spans="1:1" customFormat="1" x14ac:dyDescent="0.3">
      <c r="A255" s="84"/>
    </row>
    <row r="256" spans="1:1" customFormat="1" x14ac:dyDescent="0.3">
      <c r="A256" s="84"/>
    </row>
    <row r="257" spans="1:1" customFormat="1" x14ac:dyDescent="0.3">
      <c r="A257" s="84"/>
    </row>
    <row r="258" spans="1:1" customFormat="1" x14ac:dyDescent="0.3">
      <c r="A258" s="84"/>
    </row>
    <row r="259" spans="1:1" customFormat="1" x14ac:dyDescent="0.3">
      <c r="A259" s="84"/>
    </row>
    <row r="260" spans="1:1" customFormat="1" x14ac:dyDescent="0.3">
      <c r="A260" s="84"/>
    </row>
    <row r="261" spans="1:1" customFormat="1" x14ac:dyDescent="0.3">
      <c r="A261" s="84"/>
    </row>
    <row r="262" spans="1:1" customFormat="1" x14ac:dyDescent="0.3">
      <c r="A262" s="84"/>
    </row>
    <row r="263" spans="1:1" customFormat="1" x14ac:dyDescent="0.3">
      <c r="A263" s="84"/>
    </row>
    <row r="264" spans="1:1" customFormat="1" x14ac:dyDescent="0.3">
      <c r="A264" s="84"/>
    </row>
    <row r="265" spans="1:1" customFormat="1" x14ac:dyDescent="0.3">
      <c r="A265" s="84"/>
    </row>
    <row r="266" spans="1:1" customFormat="1" x14ac:dyDescent="0.3">
      <c r="A266" s="84"/>
    </row>
    <row r="267" spans="1:1" customFormat="1" x14ac:dyDescent="0.3">
      <c r="A267" s="84"/>
    </row>
    <row r="268" spans="1:1" customFormat="1" x14ac:dyDescent="0.3">
      <c r="A268" s="84"/>
    </row>
    <row r="269" spans="1:1" customFormat="1" x14ac:dyDescent="0.3">
      <c r="A269" s="84"/>
    </row>
    <row r="270" spans="1:1" customFormat="1" x14ac:dyDescent="0.3">
      <c r="A270" s="84"/>
    </row>
    <row r="271" spans="1:1" customFormat="1" x14ac:dyDescent="0.3">
      <c r="A271" s="84"/>
    </row>
    <row r="272" spans="1:1" customFormat="1" x14ac:dyDescent="0.3">
      <c r="A272" s="84"/>
    </row>
    <row r="273" spans="1:1" customFormat="1" x14ac:dyDescent="0.3">
      <c r="A273" s="84"/>
    </row>
    <row r="274" spans="1:1" customFormat="1" x14ac:dyDescent="0.3">
      <c r="A274" s="84"/>
    </row>
    <row r="275" spans="1:1" customFormat="1" x14ac:dyDescent="0.3">
      <c r="A275" s="84"/>
    </row>
    <row r="276" spans="1:1" customFormat="1" x14ac:dyDescent="0.3">
      <c r="A276" s="84"/>
    </row>
    <row r="277" spans="1:1" customFormat="1" x14ac:dyDescent="0.3">
      <c r="A277" s="84"/>
    </row>
    <row r="278" spans="1:1" customFormat="1" x14ac:dyDescent="0.3">
      <c r="A278" s="84"/>
    </row>
    <row r="279" spans="1:1" customFormat="1" x14ac:dyDescent="0.3">
      <c r="A279" s="84"/>
    </row>
    <row r="280" spans="1:1" customFormat="1" x14ac:dyDescent="0.3">
      <c r="A280" s="84"/>
    </row>
    <row r="281" spans="1:1" customFormat="1" x14ac:dyDescent="0.3">
      <c r="A281" s="84"/>
    </row>
    <row r="282" spans="1:1" customFormat="1" x14ac:dyDescent="0.3">
      <c r="A282" s="84"/>
    </row>
    <row r="283" spans="1:1" customFormat="1" x14ac:dyDescent="0.3">
      <c r="A283" s="84"/>
    </row>
    <row r="284" spans="1:1" customFormat="1" x14ac:dyDescent="0.3">
      <c r="A284" s="84"/>
    </row>
    <row r="285" spans="1:1" customFormat="1" x14ac:dyDescent="0.3">
      <c r="A285" s="84"/>
    </row>
    <row r="286" spans="1:1" customFormat="1" x14ac:dyDescent="0.3">
      <c r="A286" s="84"/>
    </row>
    <row r="287" spans="1:1" customFormat="1" x14ac:dyDescent="0.3">
      <c r="A287" s="84"/>
    </row>
    <row r="288" spans="1:1" customFormat="1" x14ac:dyDescent="0.3">
      <c r="A288" s="84"/>
    </row>
    <row r="289" spans="1:1" customFormat="1" x14ac:dyDescent="0.3">
      <c r="A289" s="84"/>
    </row>
    <row r="290" spans="1:1" customFormat="1" x14ac:dyDescent="0.3">
      <c r="A290" s="84"/>
    </row>
    <row r="291" spans="1:1" customFormat="1" x14ac:dyDescent="0.3">
      <c r="A291" s="84"/>
    </row>
    <row r="292" spans="1:1" customFormat="1" x14ac:dyDescent="0.3">
      <c r="A292" s="84"/>
    </row>
    <row r="293" spans="1:1" customFormat="1" x14ac:dyDescent="0.3">
      <c r="A293" s="84"/>
    </row>
    <row r="294" spans="1:1" customFormat="1" x14ac:dyDescent="0.3">
      <c r="A294" s="84"/>
    </row>
    <row r="295" spans="1:1" customFormat="1" x14ac:dyDescent="0.3">
      <c r="A295" s="84"/>
    </row>
    <row r="296" spans="1:1" customFormat="1" x14ac:dyDescent="0.3">
      <c r="A296" s="84"/>
    </row>
    <row r="297" spans="1:1" customFormat="1" x14ac:dyDescent="0.3">
      <c r="A297" s="84"/>
    </row>
    <row r="298" spans="1:1" customFormat="1" x14ac:dyDescent="0.3">
      <c r="A298" s="84"/>
    </row>
    <row r="299" spans="1:1" customFormat="1" x14ac:dyDescent="0.3">
      <c r="A299" s="84"/>
    </row>
    <row r="300" spans="1:1" customFormat="1" x14ac:dyDescent="0.3">
      <c r="A300" s="84"/>
    </row>
    <row r="301" spans="1:1" customFormat="1" x14ac:dyDescent="0.3">
      <c r="A301" s="84"/>
    </row>
    <row r="302" spans="1:1" customFormat="1" x14ac:dyDescent="0.3">
      <c r="A302" s="84"/>
    </row>
    <row r="303" spans="1:1" customFormat="1" x14ac:dyDescent="0.3">
      <c r="A303" s="84"/>
    </row>
    <row r="304" spans="1:1" customFormat="1" x14ac:dyDescent="0.3">
      <c r="A304" s="84"/>
    </row>
    <row r="305" spans="1:1" customFormat="1" x14ac:dyDescent="0.3">
      <c r="A305" s="84"/>
    </row>
    <row r="306" spans="1:1" customFormat="1" x14ac:dyDescent="0.3">
      <c r="A306" s="84"/>
    </row>
    <row r="307" spans="1:1" customFormat="1" x14ac:dyDescent="0.3">
      <c r="A307" s="84"/>
    </row>
    <row r="308" spans="1:1" customFormat="1" x14ac:dyDescent="0.3">
      <c r="A308" s="84"/>
    </row>
    <row r="309" spans="1:1" customFormat="1" x14ac:dyDescent="0.3">
      <c r="A309" s="84"/>
    </row>
    <row r="310" spans="1:1" customFormat="1" x14ac:dyDescent="0.3">
      <c r="A310" s="84"/>
    </row>
    <row r="311" spans="1:1" customFormat="1" x14ac:dyDescent="0.3">
      <c r="A311" s="84"/>
    </row>
    <row r="312" spans="1:1" customFormat="1" x14ac:dyDescent="0.3">
      <c r="A312" s="84"/>
    </row>
    <row r="313" spans="1:1" customFormat="1" x14ac:dyDescent="0.3">
      <c r="A313" s="84"/>
    </row>
    <row r="314" spans="1:1" customFormat="1" x14ac:dyDescent="0.3">
      <c r="A314" s="84"/>
    </row>
    <row r="315" spans="1:1" customFormat="1" x14ac:dyDescent="0.3">
      <c r="A315" s="84"/>
    </row>
    <row r="316" spans="1:1" customFormat="1" x14ac:dyDescent="0.3">
      <c r="A316" s="84"/>
    </row>
    <row r="317" spans="1:1" customFormat="1" x14ac:dyDescent="0.3">
      <c r="A317" s="84"/>
    </row>
    <row r="318" spans="1:1" customFormat="1" x14ac:dyDescent="0.3">
      <c r="A318" s="84"/>
    </row>
    <row r="319" spans="1:1" customFormat="1" x14ac:dyDescent="0.3">
      <c r="A319" s="84"/>
    </row>
    <row r="320" spans="1:1" customFormat="1" x14ac:dyDescent="0.3">
      <c r="A320" s="84"/>
    </row>
    <row r="321" spans="1:1" customFormat="1" x14ac:dyDescent="0.3">
      <c r="A321" s="84"/>
    </row>
    <row r="322" spans="1:1" customFormat="1" x14ac:dyDescent="0.3">
      <c r="A322" s="84"/>
    </row>
    <row r="323" spans="1:1" customFormat="1" x14ac:dyDescent="0.3">
      <c r="A323" s="84"/>
    </row>
    <row r="324" spans="1:1" customFormat="1" x14ac:dyDescent="0.3">
      <c r="A324" s="84"/>
    </row>
    <row r="325" spans="1:1" customFormat="1" x14ac:dyDescent="0.3">
      <c r="A325" s="84"/>
    </row>
    <row r="326" spans="1:1" customFormat="1" x14ac:dyDescent="0.3">
      <c r="A326" s="84"/>
    </row>
    <row r="327" spans="1:1" customFormat="1" x14ac:dyDescent="0.3">
      <c r="A327" s="84"/>
    </row>
    <row r="328" spans="1:1" customFormat="1" x14ac:dyDescent="0.3">
      <c r="A328" s="84"/>
    </row>
    <row r="329" spans="1:1" customFormat="1" x14ac:dyDescent="0.3">
      <c r="A329" s="84"/>
    </row>
    <row r="330" spans="1:1" customFormat="1" x14ac:dyDescent="0.3">
      <c r="A330" s="84"/>
    </row>
    <row r="331" spans="1:1" customFormat="1" x14ac:dyDescent="0.3">
      <c r="A331" s="84"/>
    </row>
    <row r="332" spans="1:1" customFormat="1" x14ac:dyDescent="0.3">
      <c r="A332" s="84"/>
    </row>
    <row r="333" spans="1:1" customFormat="1" x14ac:dyDescent="0.3">
      <c r="A333" s="84"/>
    </row>
    <row r="334" spans="1:1" customFormat="1" x14ac:dyDescent="0.3">
      <c r="A334" s="84"/>
    </row>
    <row r="335" spans="1:1" customFormat="1" x14ac:dyDescent="0.3">
      <c r="A335" s="84"/>
    </row>
    <row r="336" spans="1:1" customFormat="1" x14ac:dyDescent="0.3">
      <c r="A336" s="84"/>
    </row>
    <row r="337" spans="1:1" customFormat="1" x14ac:dyDescent="0.3">
      <c r="A337" s="84"/>
    </row>
    <row r="338" spans="1:1" customFormat="1" x14ac:dyDescent="0.3">
      <c r="A338" s="84"/>
    </row>
    <row r="339" spans="1:1" customFormat="1" x14ac:dyDescent="0.3">
      <c r="A339" s="84"/>
    </row>
    <row r="340" spans="1:1" customFormat="1" x14ac:dyDescent="0.3">
      <c r="A340" s="84"/>
    </row>
    <row r="341" spans="1:1" customFormat="1" x14ac:dyDescent="0.3">
      <c r="A341" s="84"/>
    </row>
    <row r="342" spans="1:1" customFormat="1" x14ac:dyDescent="0.3">
      <c r="A342" s="84"/>
    </row>
    <row r="343" spans="1:1" customFormat="1" x14ac:dyDescent="0.3">
      <c r="A343" s="84"/>
    </row>
    <row r="344" spans="1:1" customFormat="1" x14ac:dyDescent="0.3">
      <c r="A344" s="84"/>
    </row>
    <row r="345" spans="1:1" customFormat="1" x14ac:dyDescent="0.3">
      <c r="A345" s="84"/>
    </row>
    <row r="346" spans="1:1" customFormat="1" x14ac:dyDescent="0.3">
      <c r="A346" s="84"/>
    </row>
    <row r="347" spans="1:1" customFormat="1" x14ac:dyDescent="0.3">
      <c r="A347" s="84"/>
    </row>
    <row r="348" spans="1:1" customFormat="1" x14ac:dyDescent="0.3">
      <c r="A348" s="84"/>
    </row>
    <row r="349" spans="1:1" customFormat="1" x14ac:dyDescent="0.3">
      <c r="A349" s="84"/>
    </row>
    <row r="350" spans="1:1" customFormat="1" x14ac:dyDescent="0.3">
      <c r="A350" s="84"/>
    </row>
    <row r="351" spans="1:1" customFormat="1" x14ac:dyDescent="0.3">
      <c r="A351" s="84"/>
    </row>
    <row r="352" spans="1:1" customFormat="1" x14ac:dyDescent="0.3">
      <c r="A352" s="84"/>
    </row>
    <row r="353" spans="1:1" customFormat="1" x14ac:dyDescent="0.3">
      <c r="A353" s="84"/>
    </row>
    <row r="354" spans="1:1" customFormat="1" x14ac:dyDescent="0.3">
      <c r="A354" s="84"/>
    </row>
    <row r="355" spans="1:1" customFormat="1" x14ac:dyDescent="0.3">
      <c r="A355" s="84"/>
    </row>
    <row r="356" spans="1:1" customFormat="1" x14ac:dyDescent="0.3">
      <c r="A356" s="84"/>
    </row>
    <row r="357" spans="1:1" customFormat="1" x14ac:dyDescent="0.3">
      <c r="A357" s="84"/>
    </row>
    <row r="358" spans="1:1" customFormat="1" x14ac:dyDescent="0.3">
      <c r="A358" s="84"/>
    </row>
    <row r="359" spans="1:1" customFormat="1" x14ac:dyDescent="0.3">
      <c r="A359" s="84"/>
    </row>
    <row r="360" spans="1:1" customFormat="1" x14ac:dyDescent="0.3">
      <c r="A360" s="84"/>
    </row>
    <row r="361" spans="1:1" customFormat="1" x14ac:dyDescent="0.3">
      <c r="A361" s="84"/>
    </row>
    <row r="362" spans="1:1" customFormat="1" x14ac:dyDescent="0.3">
      <c r="A362" s="84"/>
    </row>
    <row r="363" spans="1:1" customFormat="1" x14ac:dyDescent="0.3">
      <c r="A363" s="84"/>
    </row>
    <row r="364" spans="1:1" customFormat="1" x14ac:dyDescent="0.3">
      <c r="A364" s="84"/>
    </row>
    <row r="365" spans="1:1" customFormat="1" x14ac:dyDescent="0.3">
      <c r="A365" s="84"/>
    </row>
    <row r="366" spans="1:1" customFormat="1" x14ac:dyDescent="0.3">
      <c r="A366" s="84"/>
    </row>
    <row r="367" spans="1:1" customFormat="1" x14ac:dyDescent="0.3">
      <c r="A367" s="84"/>
    </row>
    <row r="368" spans="1:1" customFormat="1" x14ac:dyDescent="0.3">
      <c r="A368" s="84"/>
    </row>
    <row r="369" spans="1:1" customFormat="1" x14ac:dyDescent="0.3">
      <c r="A369" s="84"/>
    </row>
    <row r="370" spans="1:1" customFormat="1" x14ac:dyDescent="0.3">
      <c r="A370" s="84"/>
    </row>
    <row r="371" spans="1:1" customFormat="1" x14ac:dyDescent="0.3">
      <c r="A371" s="84"/>
    </row>
    <row r="372" spans="1:1" customFormat="1" x14ac:dyDescent="0.3">
      <c r="A372" s="84"/>
    </row>
    <row r="373" spans="1:1" customFormat="1" x14ac:dyDescent="0.3">
      <c r="A373" s="84"/>
    </row>
    <row r="374" spans="1:1" customFormat="1" x14ac:dyDescent="0.3">
      <c r="A374" s="84"/>
    </row>
    <row r="375" spans="1:1" customFormat="1" x14ac:dyDescent="0.3">
      <c r="A375" s="84"/>
    </row>
    <row r="376" spans="1:1" customFormat="1" x14ac:dyDescent="0.3">
      <c r="A376" s="84"/>
    </row>
    <row r="377" spans="1:1" customFormat="1" x14ac:dyDescent="0.3">
      <c r="A377" s="84"/>
    </row>
    <row r="378" spans="1:1" customFormat="1" x14ac:dyDescent="0.3">
      <c r="A378" s="84"/>
    </row>
    <row r="379" spans="1:1" customFormat="1" x14ac:dyDescent="0.3">
      <c r="A379" s="84"/>
    </row>
    <row r="380" spans="1:1" customFormat="1" x14ac:dyDescent="0.3">
      <c r="A380" s="84"/>
    </row>
    <row r="381" spans="1:1" customFormat="1" x14ac:dyDescent="0.3">
      <c r="A381" s="84"/>
    </row>
    <row r="382" spans="1:1" customFormat="1" x14ac:dyDescent="0.3">
      <c r="A382" s="84"/>
    </row>
    <row r="383" spans="1:1" customFormat="1" x14ac:dyDescent="0.3">
      <c r="A383" s="84"/>
    </row>
    <row r="384" spans="1:1" customFormat="1" x14ac:dyDescent="0.3">
      <c r="A384" s="84"/>
    </row>
    <row r="385" spans="1:1" customFormat="1" x14ac:dyDescent="0.3">
      <c r="A385" s="84"/>
    </row>
    <row r="386" spans="1:1" customFormat="1" x14ac:dyDescent="0.3">
      <c r="A386" s="84"/>
    </row>
    <row r="387" spans="1:1" customFormat="1" x14ac:dyDescent="0.3">
      <c r="A387" s="84"/>
    </row>
    <row r="388" spans="1:1" customFormat="1" x14ac:dyDescent="0.3">
      <c r="A388" s="84"/>
    </row>
    <row r="389" spans="1:1" customFormat="1" x14ac:dyDescent="0.3">
      <c r="A389" s="84"/>
    </row>
    <row r="390" spans="1:1" customFormat="1" x14ac:dyDescent="0.3">
      <c r="A390" s="84"/>
    </row>
    <row r="391" spans="1:1" customFormat="1" x14ac:dyDescent="0.3">
      <c r="A391" s="84"/>
    </row>
    <row r="392" spans="1:1" customFormat="1" x14ac:dyDescent="0.3">
      <c r="A392" s="84"/>
    </row>
    <row r="393" spans="1:1" customFormat="1" x14ac:dyDescent="0.3">
      <c r="A393" s="84"/>
    </row>
    <row r="394" spans="1:1" customFormat="1" x14ac:dyDescent="0.3">
      <c r="A394" s="84"/>
    </row>
    <row r="395" spans="1:1" customFormat="1" x14ac:dyDescent="0.3">
      <c r="A395" s="84"/>
    </row>
    <row r="396" spans="1:1" customFormat="1" x14ac:dyDescent="0.3">
      <c r="A396" s="84"/>
    </row>
    <row r="397" spans="1:1" customFormat="1" x14ac:dyDescent="0.3">
      <c r="A397" s="84"/>
    </row>
    <row r="398" spans="1:1" customFormat="1" x14ac:dyDescent="0.3">
      <c r="A398" s="84"/>
    </row>
    <row r="399" spans="1:1" customFormat="1" x14ac:dyDescent="0.3">
      <c r="A399" s="84"/>
    </row>
    <row r="400" spans="1:1" customFormat="1" x14ac:dyDescent="0.3">
      <c r="A400" s="84"/>
    </row>
    <row r="401" spans="1:1" customFormat="1" x14ac:dyDescent="0.3">
      <c r="A401" s="84"/>
    </row>
    <row r="402" spans="1:1" customFormat="1" x14ac:dyDescent="0.3">
      <c r="A402" s="84"/>
    </row>
    <row r="403" spans="1:1" customFormat="1" x14ac:dyDescent="0.3">
      <c r="A403" s="84"/>
    </row>
    <row r="404" spans="1:1" customFormat="1" x14ac:dyDescent="0.3">
      <c r="A404" s="84"/>
    </row>
    <row r="405" spans="1:1" customFormat="1" x14ac:dyDescent="0.3">
      <c r="A405" s="84"/>
    </row>
    <row r="406" spans="1:1" customFormat="1" x14ac:dyDescent="0.3">
      <c r="A406" s="84"/>
    </row>
    <row r="407" spans="1:1" customFormat="1" x14ac:dyDescent="0.3">
      <c r="A407" s="84"/>
    </row>
    <row r="408" spans="1:1" customFormat="1" x14ac:dyDescent="0.3">
      <c r="A408" s="84"/>
    </row>
    <row r="409" spans="1:1" customFormat="1" x14ac:dyDescent="0.3">
      <c r="A409" s="84"/>
    </row>
    <row r="410" spans="1:1" customFormat="1" x14ac:dyDescent="0.3">
      <c r="A410" s="84"/>
    </row>
    <row r="411" spans="1:1" customFormat="1" x14ac:dyDescent="0.3">
      <c r="A411" s="84"/>
    </row>
    <row r="412" spans="1:1" customFormat="1" x14ac:dyDescent="0.3">
      <c r="A412" s="84"/>
    </row>
    <row r="413" spans="1:1" customFormat="1" x14ac:dyDescent="0.3">
      <c r="A413" s="84"/>
    </row>
    <row r="414" spans="1:1" customFormat="1" x14ac:dyDescent="0.3">
      <c r="A414" s="84"/>
    </row>
    <row r="415" spans="1:1" customFormat="1" x14ac:dyDescent="0.3">
      <c r="A415" s="84"/>
    </row>
    <row r="416" spans="1:1" customFormat="1" x14ac:dyDescent="0.3">
      <c r="A416" s="84"/>
    </row>
    <row r="417" spans="1:1" customFormat="1" x14ac:dyDescent="0.3">
      <c r="A417" s="84"/>
    </row>
    <row r="418" spans="1:1" customFormat="1" x14ac:dyDescent="0.3">
      <c r="A418" s="84"/>
    </row>
    <row r="419" spans="1:1" customFormat="1" x14ac:dyDescent="0.3">
      <c r="A419" s="84"/>
    </row>
    <row r="420" spans="1:1" customFormat="1" x14ac:dyDescent="0.3">
      <c r="A420" s="84"/>
    </row>
    <row r="421" spans="1:1" customFormat="1" x14ac:dyDescent="0.3">
      <c r="A421" s="84"/>
    </row>
    <row r="422" spans="1:1" customFormat="1" x14ac:dyDescent="0.3">
      <c r="A422" s="84"/>
    </row>
    <row r="423" spans="1:1" customFormat="1" x14ac:dyDescent="0.3">
      <c r="A423" s="84"/>
    </row>
    <row r="424" spans="1:1" customFormat="1" x14ac:dyDescent="0.3">
      <c r="A424" s="84"/>
    </row>
    <row r="425" spans="1:1" customFormat="1" x14ac:dyDescent="0.3">
      <c r="A425" s="84"/>
    </row>
    <row r="426" spans="1:1" customFormat="1" x14ac:dyDescent="0.3">
      <c r="A426" s="84"/>
    </row>
    <row r="427" spans="1:1" customFormat="1" x14ac:dyDescent="0.3">
      <c r="A427" s="84"/>
    </row>
    <row r="428" spans="1:1" customFormat="1" x14ac:dyDescent="0.3">
      <c r="A428" s="84"/>
    </row>
    <row r="429" spans="1:1" customFormat="1" x14ac:dyDescent="0.3">
      <c r="A429" s="84"/>
    </row>
    <row r="430" spans="1:1" customFormat="1" x14ac:dyDescent="0.3">
      <c r="A430" s="84"/>
    </row>
    <row r="431" spans="1:1" customFormat="1" x14ac:dyDescent="0.3">
      <c r="A431" s="84"/>
    </row>
    <row r="432" spans="1:1" customFormat="1" x14ac:dyDescent="0.3">
      <c r="A432" s="84"/>
    </row>
    <row r="433" spans="1:1" customFormat="1" x14ac:dyDescent="0.3">
      <c r="A433" s="84"/>
    </row>
    <row r="434" spans="1:1" customFormat="1" x14ac:dyDescent="0.3">
      <c r="A434" s="84"/>
    </row>
    <row r="435" spans="1:1" customFormat="1" x14ac:dyDescent="0.3">
      <c r="A435" s="84"/>
    </row>
    <row r="436" spans="1:1" customFormat="1" x14ac:dyDescent="0.3">
      <c r="A436" s="84"/>
    </row>
    <row r="437" spans="1:1" customFormat="1" x14ac:dyDescent="0.3">
      <c r="A437" s="84"/>
    </row>
    <row r="438" spans="1:1" customFormat="1" x14ac:dyDescent="0.3">
      <c r="A438" s="84"/>
    </row>
    <row r="439" spans="1:1" customFormat="1" x14ac:dyDescent="0.3">
      <c r="A439" s="84"/>
    </row>
    <row r="440" spans="1:1" customFormat="1" x14ac:dyDescent="0.3">
      <c r="A440" s="84"/>
    </row>
    <row r="441" spans="1:1" customFormat="1" x14ac:dyDescent="0.3">
      <c r="A441" s="84"/>
    </row>
    <row r="442" spans="1:1" customFormat="1" x14ac:dyDescent="0.3">
      <c r="A442" s="84"/>
    </row>
    <row r="443" spans="1:1" customFormat="1" x14ac:dyDescent="0.3">
      <c r="A443" s="84"/>
    </row>
    <row r="444" spans="1:1" customFormat="1" x14ac:dyDescent="0.3">
      <c r="A444" s="84"/>
    </row>
    <row r="445" spans="1:1" customFormat="1" x14ac:dyDescent="0.3">
      <c r="A445" s="84"/>
    </row>
    <row r="446" spans="1:1" customFormat="1" x14ac:dyDescent="0.3">
      <c r="A446" s="84"/>
    </row>
    <row r="447" spans="1:1" customFormat="1" x14ac:dyDescent="0.3">
      <c r="A447" s="84"/>
    </row>
    <row r="448" spans="1:1" customFormat="1" x14ac:dyDescent="0.3">
      <c r="A448" s="84"/>
    </row>
    <row r="449" spans="1:1" customFormat="1" x14ac:dyDescent="0.3">
      <c r="A449" s="84"/>
    </row>
    <row r="450" spans="1:1" customFormat="1" x14ac:dyDescent="0.3">
      <c r="A450" s="84"/>
    </row>
    <row r="451" spans="1:1" customFormat="1" x14ac:dyDescent="0.3">
      <c r="A451" s="84"/>
    </row>
    <row r="452" spans="1:1" customFormat="1" x14ac:dyDescent="0.3">
      <c r="A452" s="84"/>
    </row>
    <row r="453" spans="1:1" customFormat="1" x14ac:dyDescent="0.3">
      <c r="A453" s="84"/>
    </row>
    <row r="454" spans="1:1" customFormat="1" x14ac:dyDescent="0.3">
      <c r="A454" s="84"/>
    </row>
    <row r="455" spans="1:1" customFormat="1" x14ac:dyDescent="0.3">
      <c r="A455" s="84"/>
    </row>
    <row r="456" spans="1:1" customFormat="1" x14ac:dyDescent="0.3">
      <c r="A456" s="84"/>
    </row>
    <row r="457" spans="1:1" customFormat="1" x14ac:dyDescent="0.3">
      <c r="A457" s="84"/>
    </row>
    <row r="458" spans="1:1" customFormat="1" x14ac:dyDescent="0.3">
      <c r="A458" s="84"/>
    </row>
    <row r="459" spans="1:1" customFormat="1" x14ac:dyDescent="0.3">
      <c r="A459" s="84"/>
    </row>
    <row r="460" spans="1:1" customFormat="1" x14ac:dyDescent="0.3">
      <c r="A460" s="84"/>
    </row>
    <row r="461" spans="1:1" customFormat="1" x14ac:dyDescent="0.3">
      <c r="A461" s="84"/>
    </row>
    <row r="462" spans="1:1" customFormat="1" x14ac:dyDescent="0.3">
      <c r="A462" s="84"/>
    </row>
    <row r="463" spans="1:1" customFormat="1" x14ac:dyDescent="0.3">
      <c r="A463" s="84"/>
    </row>
    <row r="464" spans="1:1" customFormat="1" x14ac:dyDescent="0.3">
      <c r="A464" s="84"/>
    </row>
    <row r="465" spans="1:1" customFormat="1" x14ac:dyDescent="0.3">
      <c r="A465" s="84"/>
    </row>
    <row r="466" spans="1:1" customFormat="1" x14ac:dyDescent="0.3">
      <c r="A466" s="84"/>
    </row>
    <row r="467" spans="1:1" customFormat="1" x14ac:dyDescent="0.3">
      <c r="A467" s="84"/>
    </row>
    <row r="468" spans="1:1" customFormat="1" x14ac:dyDescent="0.3">
      <c r="A468" s="84"/>
    </row>
    <row r="469" spans="1:1" customFormat="1" x14ac:dyDescent="0.3">
      <c r="A469" s="84"/>
    </row>
    <row r="470" spans="1:1" customFormat="1" x14ac:dyDescent="0.3">
      <c r="A470" s="84"/>
    </row>
    <row r="471" spans="1:1" customFormat="1" x14ac:dyDescent="0.3">
      <c r="A471" s="84"/>
    </row>
    <row r="472" spans="1:1" customFormat="1" x14ac:dyDescent="0.3">
      <c r="A472" s="84"/>
    </row>
    <row r="473" spans="1:1" customFormat="1" x14ac:dyDescent="0.3">
      <c r="A473" s="84"/>
    </row>
    <row r="474" spans="1:1" customFormat="1" x14ac:dyDescent="0.3">
      <c r="A474" s="84"/>
    </row>
    <row r="475" spans="1:1" customFormat="1" x14ac:dyDescent="0.3">
      <c r="A475" s="84"/>
    </row>
    <row r="476" spans="1:1" customFormat="1" x14ac:dyDescent="0.3">
      <c r="A476" s="84"/>
    </row>
    <row r="477" spans="1:1" customFormat="1" x14ac:dyDescent="0.3">
      <c r="A477" s="84"/>
    </row>
    <row r="478" spans="1:1" customFormat="1" x14ac:dyDescent="0.3">
      <c r="A478" s="84"/>
    </row>
    <row r="479" spans="1:1" customFormat="1" x14ac:dyDescent="0.3">
      <c r="A479" s="84"/>
    </row>
    <row r="480" spans="1:1" customFormat="1" x14ac:dyDescent="0.3">
      <c r="A480" s="84"/>
    </row>
    <row r="481" spans="1:1" customFormat="1" x14ac:dyDescent="0.3">
      <c r="A481" s="84"/>
    </row>
    <row r="482" spans="1:1" customFormat="1" x14ac:dyDescent="0.3">
      <c r="A482" s="84"/>
    </row>
    <row r="483" spans="1:1" customFormat="1" x14ac:dyDescent="0.3">
      <c r="A483" s="84"/>
    </row>
    <row r="484" spans="1:1" customFormat="1" x14ac:dyDescent="0.3">
      <c r="A484" s="84"/>
    </row>
    <row r="485" spans="1:1" customFormat="1" x14ac:dyDescent="0.3">
      <c r="A485" s="84"/>
    </row>
    <row r="486" spans="1:1" customFormat="1" x14ac:dyDescent="0.3">
      <c r="A486" s="84"/>
    </row>
    <row r="487" spans="1:1" customFormat="1" x14ac:dyDescent="0.3">
      <c r="A487" s="84"/>
    </row>
    <row r="488" spans="1:1" customFormat="1" x14ac:dyDescent="0.3">
      <c r="A488" s="84"/>
    </row>
    <row r="489" spans="1:1" customFormat="1" x14ac:dyDescent="0.3">
      <c r="A489" s="84"/>
    </row>
    <row r="490" spans="1:1" customFormat="1" x14ac:dyDescent="0.3">
      <c r="A490" s="84"/>
    </row>
    <row r="491" spans="1:1" customFormat="1" x14ac:dyDescent="0.3">
      <c r="A491" s="84"/>
    </row>
    <row r="492" spans="1:1" customFormat="1" x14ac:dyDescent="0.3">
      <c r="A492" s="84"/>
    </row>
    <row r="493" spans="1:1" customFormat="1" x14ac:dyDescent="0.3">
      <c r="A493" s="84"/>
    </row>
    <row r="494" spans="1:1" customFormat="1" x14ac:dyDescent="0.3">
      <c r="A494" s="84"/>
    </row>
    <row r="495" spans="1:1" customFormat="1" x14ac:dyDescent="0.3">
      <c r="A495" s="84"/>
    </row>
    <row r="496" spans="1:1" customFormat="1" x14ac:dyDescent="0.3">
      <c r="A496" s="84"/>
    </row>
    <row r="497" spans="1:1" customFormat="1" x14ac:dyDescent="0.3">
      <c r="A497" s="84"/>
    </row>
    <row r="498" spans="1:1" customFormat="1" x14ac:dyDescent="0.3">
      <c r="A498" s="84"/>
    </row>
    <row r="499" spans="1:1" customFormat="1" x14ac:dyDescent="0.3">
      <c r="A499" s="84"/>
    </row>
    <row r="500" spans="1:1" customFormat="1" x14ac:dyDescent="0.3">
      <c r="A500" s="84"/>
    </row>
    <row r="501" spans="1:1" customFormat="1" x14ac:dyDescent="0.3">
      <c r="A501" s="84"/>
    </row>
    <row r="502" spans="1:1" customFormat="1" x14ac:dyDescent="0.3">
      <c r="A502" s="84"/>
    </row>
    <row r="503" spans="1:1" customFormat="1" x14ac:dyDescent="0.3">
      <c r="A503" s="84"/>
    </row>
    <row r="504" spans="1:1" customFormat="1" x14ac:dyDescent="0.3">
      <c r="A504" s="84"/>
    </row>
    <row r="505" spans="1:1" customFormat="1" x14ac:dyDescent="0.3">
      <c r="A505" s="84"/>
    </row>
    <row r="506" spans="1:1" customFormat="1" x14ac:dyDescent="0.3">
      <c r="A506" s="84"/>
    </row>
    <row r="507" spans="1:1" customFormat="1" x14ac:dyDescent="0.3">
      <c r="A507" s="84"/>
    </row>
    <row r="508" spans="1:1" customFormat="1" x14ac:dyDescent="0.3">
      <c r="A508" s="84"/>
    </row>
    <row r="509" spans="1:1" customFormat="1" x14ac:dyDescent="0.3">
      <c r="A509" s="84"/>
    </row>
    <row r="510" spans="1:1" customFormat="1" x14ac:dyDescent="0.3">
      <c r="A510" s="84"/>
    </row>
    <row r="511" spans="1:1" customFormat="1" x14ac:dyDescent="0.3">
      <c r="A511" s="84"/>
    </row>
    <row r="512" spans="1:1" customFormat="1" x14ac:dyDescent="0.3">
      <c r="A512" s="84"/>
    </row>
    <row r="513" spans="1:1" customFormat="1" x14ac:dyDescent="0.3">
      <c r="A513" s="84"/>
    </row>
    <row r="514" spans="1:1" customFormat="1" x14ac:dyDescent="0.3">
      <c r="A514" s="84"/>
    </row>
    <row r="515" spans="1:1" customFormat="1" x14ac:dyDescent="0.3">
      <c r="A515" s="84"/>
    </row>
    <row r="516" spans="1:1" customFormat="1" x14ac:dyDescent="0.3">
      <c r="A516" s="84"/>
    </row>
    <row r="517" spans="1:1" customFormat="1" x14ac:dyDescent="0.3">
      <c r="A517" s="84"/>
    </row>
    <row r="518" spans="1:1" customFormat="1" x14ac:dyDescent="0.3">
      <c r="A518" s="84"/>
    </row>
    <row r="519" spans="1:1" customFormat="1" x14ac:dyDescent="0.3">
      <c r="A519" s="84"/>
    </row>
    <row r="520" spans="1:1" customFormat="1" x14ac:dyDescent="0.3">
      <c r="A520" s="84"/>
    </row>
    <row r="521" spans="1:1" customFormat="1" x14ac:dyDescent="0.3">
      <c r="A521" s="84"/>
    </row>
    <row r="522" spans="1:1" customFormat="1" x14ac:dyDescent="0.3">
      <c r="A522" s="84"/>
    </row>
    <row r="523" spans="1:1" customFormat="1" x14ac:dyDescent="0.3">
      <c r="A523" s="84"/>
    </row>
    <row r="524" spans="1:1" customFormat="1" x14ac:dyDescent="0.3">
      <c r="A524" s="84"/>
    </row>
    <row r="525" spans="1:1" customFormat="1" x14ac:dyDescent="0.3">
      <c r="A525" s="84"/>
    </row>
    <row r="526" spans="1:1" customFormat="1" x14ac:dyDescent="0.3">
      <c r="A526" s="84"/>
    </row>
    <row r="527" spans="1:1" customFormat="1" x14ac:dyDescent="0.3">
      <c r="A527" s="84"/>
    </row>
    <row r="528" spans="1:1" customFormat="1" x14ac:dyDescent="0.3">
      <c r="A528" s="84"/>
    </row>
    <row r="529" spans="1:1" customFormat="1" x14ac:dyDescent="0.3">
      <c r="A529" s="84"/>
    </row>
    <row r="530" spans="1:1" customFormat="1" x14ac:dyDescent="0.3">
      <c r="A530" s="84"/>
    </row>
    <row r="531" spans="1:1" customFormat="1" x14ac:dyDescent="0.3">
      <c r="A531" s="84"/>
    </row>
    <row r="532" spans="1:1" customFormat="1" x14ac:dyDescent="0.3">
      <c r="A532" s="84"/>
    </row>
    <row r="533" spans="1:1" customFormat="1" x14ac:dyDescent="0.3">
      <c r="A533" s="84"/>
    </row>
    <row r="534" spans="1:1" customFormat="1" x14ac:dyDescent="0.3">
      <c r="A534" s="84"/>
    </row>
    <row r="535" spans="1:1" customFormat="1" x14ac:dyDescent="0.3">
      <c r="A535" s="84"/>
    </row>
    <row r="536" spans="1:1" customFormat="1" x14ac:dyDescent="0.3">
      <c r="A536" s="84"/>
    </row>
    <row r="537" spans="1:1" customFormat="1" x14ac:dyDescent="0.3">
      <c r="A537" s="84"/>
    </row>
    <row r="538" spans="1:1" customFormat="1" x14ac:dyDescent="0.3">
      <c r="A538" s="84"/>
    </row>
    <row r="539" spans="1:1" customFormat="1" x14ac:dyDescent="0.3">
      <c r="A539" s="84"/>
    </row>
    <row r="540" spans="1:1" customFormat="1" x14ac:dyDescent="0.3">
      <c r="A540" s="84"/>
    </row>
    <row r="541" spans="1:1" customFormat="1" x14ac:dyDescent="0.3">
      <c r="A541" s="84"/>
    </row>
    <row r="542" spans="1:1" customFormat="1" x14ac:dyDescent="0.3">
      <c r="A542" s="84"/>
    </row>
    <row r="543" spans="1:1" customFormat="1" x14ac:dyDescent="0.3">
      <c r="A543" s="84"/>
    </row>
    <row r="544" spans="1:1" customFormat="1" x14ac:dyDescent="0.3">
      <c r="A544" s="84"/>
    </row>
    <row r="545" spans="1:1" customFormat="1" x14ac:dyDescent="0.3">
      <c r="A545" s="84"/>
    </row>
    <row r="546" spans="1:1" customFormat="1" x14ac:dyDescent="0.3">
      <c r="A546" s="84"/>
    </row>
    <row r="547" spans="1:1" customFormat="1" x14ac:dyDescent="0.3">
      <c r="A547" s="84"/>
    </row>
    <row r="548" spans="1:1" customFormat="1" x14ac:dyDescent="0.3">
      <c r="A548" s="84"/>
    </row>
    <row r="549" spans="1:1" customFormat="1" x14ac:dyDescent="0.3">
      <c r="A549" s="84"/>
    </row>
    <row r="550" spans="1:1" customFormat="1" x14ac:dyDescent="0.3">
      <c r="A550" s="84"/>
    </row>
    <row r="551" spans="1:1" customFormat="1" x14ac:dyDescent="0.3">
      <c r="A551" s="84"/>
    </row>
    <row r="552" spans="1:1" customFormat="1" x14ac:dyDescent="0.3">
      <c r="A552" s="84"/>
    </row>
    <row r="553" spans="1:1" customFormat="1" x14ac:dyDescent="0.3">
      <c r="A553" s="84"/>
    </row>
    <row r="554" spans="1:1" customFormat="1" x14ac:dyDescent="0.3">
      <c r="A554" s="84"/>
    </row>
    <row r="555" spans="1:1" customFormat="1" x14ac:dyDescent="0.3">
      <c r="A555" s="84"/>
    </row>
    <row r="556" spans="1:1" customFormat="1" x14ac:dyDescent="0.3">
      <c r="A556" s="84"/>
    </row>
    <row r="557" spans="1:1" customFormat="1" x14ac:dyDescent="0.3">
      <c r="A557" s="84"/>
    </row>
    <row r="558" spans="1:1" customFormat="1" x14ac:dyDescent="0.3">
      <c r="A558" s="84"/>
    </row>
    <row r="559" spans="1:1" customFormat="1" x14ac:dyDescent="0.3">
      <c r="A559" s="84"/>
    </row>
    <row r="560" spans="1:1" customFormat="1" x14ac:dyDescent="0.3">
      <c r="A560" s="84"/>
    </row>
    <row r="561" spans="1:1" customFormat="1" x14ac:dyDescent="0.3">
      <c r="A561" s="84"/>
    </row>
    <row r="562" spans="1:1" customFormat="1" x14ac:dyDescent="0.3">
      <c r="A562" s="84"/>
    </row>
    <row r="563" spans="1:1" customFormat="1" x14ac:dyDescent="0.3">
      <c r="A563" s="84"/>
    </row>
    <row r="564" spans="1:1" customFormat="1" x14ac:dyDescent="0.3">
      <c r="A564" s="84"/>
    </row>
    <row r="565" spans="1:1" customFormat="1" x14ac:dyDescent="0.3">
      <c r="A565" s="84"/>
    </row>
    <row r="566" spans="1:1" customFormat="1" x14ac:dyDescent="0.3">
      <c r="A566" s="84"/>
    </row>
    <row r="567" spans="1:1" customFormat="1" x14ac:dyDescent="0.3">
      <c r="A567" s="84"/>
    </row>
    <row r="568" spans="1:1" customFormat="1" x14ac:dyDescent="0.3">
      <c r="A568" s="84"/>
    </row>
    <row r="569" spans="1:1" customFormat="1" x14ac:dyDescent="0.3">
      <c r="A569" s="84"/>
    </row>
    <row r="570" spans="1:1" customFormat="1" x14ac:dyDescent="0.3">
      <c r="A570" s="84"/>
    </row>
    <row r="571" spans="1:1" customFormat="1" x14ac:dyDescent="0.3">
      <c r="A571" s="84"/>
    </row>
    <row r="572" spans="1:1" customFormat="1" x14ac:dyDescent="0.3">
      <c r="A572" s="84"/>
    </row>
    <row r="573" spans="1:1" customFormat="1" x14ac:dyDescent="0.3">
      <c r="A573" s="84"/>
    </row>
    <row r="574" spans="1:1" customFormat="1" x14ac:dyDescent="0.3">
      <c r="A574" s="84"/>
    </row>
    <row r="575" spans="1:1" customFormat="1" x14ac:dyDescent="0.3">
      <c r="A575" s="84"/>
    </row>
    <row r="576" spans="1:1" customFormat="1" x14ac:dyDescent="0.3">
      <c r="A576" s="84"/>
    </row>
    <row r="577" spans="1:1" customFormat="1" x14ac:dyDescent="0.3">
      <c r="A577" s="84"/>
    </row>
    <row r="578" spans="1:1" customFormat="1" x14ac:dyDescent="0.3">
      <c r="A578" s="84"/>
    </row>
    <row r="579" spans="1:1" customFormat="1" x14ac:dyDescent="0.3">
      <c r="A579" s="84"/>
    </row>
    <row r="580" spans="1:1" customFormat="1" x14ac:dyDescent="0.3">
      <c r="A580" s="84"/>
    </row>
    <row r="581" spans="1:1" customFormat="1" x14ac:dyDescent="0.3">
      <c r="A581" s="84"/>
    </row>
    <row r="582" spans="1:1" customFormat="1" x14ac:dyDescent="0.3">
      <c r="A582" s="84"/>
    </row>
    <row r="583" spans="1:1" customFormat="1" x14ac:dyDescent="0.3">
      <c r="A583" s="84"/>
    </row>
    <row r="584" spans="1:1" customFormat="1" x14ac:dyDescent="0.3">
      <c r="A584" s="84"/>
    </row>
    <row r="585" spans="1:1" customFormat="1" x14ac:dyDescent="0.3">
      <c r="A585" s="84"/>
    </row>
    <row r="586" spans="1:1" customFormat="1" x14ac:dyDescent="0.3">
      <c r="A586" s="84"/>
    </row>
    <row r="587" spans="1:1" customFormat="1" x14ac:dyDescent="0.3">
      <c r="A587" s="84"/>
    </row>
    <row r="588" spans="1:1" customFormat="1" x14ac:dyDescent="0.3">
      <c r="A588" s="84"/>
    </row>
    <row r="589" spans="1:1" customFormat="1" x14ac:dyDescent="0.3">
      <c r="A589" s="84"/>
    </row>
    <row r="590" spans="1:1" customFormat="1" x14ac:dyDescent="0.3">
      <c r="A590" s="84"/>
    </row>
    <row r="591" spans="1:1" customFormat="1" x14ac:dyDescent="0.3">
      <c r="A591" s="84"/>
    </row>
    <row r="592" spans="1:1" customFormat="1" x14ac:dyDescent="0.3">
      <c r="A592" s="84"/>
    </row>
    <row r="593" spans="1:1" customFormat="1" x14ac:dyDescent="0.3">
      <c r="A593" s="84"/>
    </row>
    <row r="594" spans="1:1" customFormat="1" x14ac:dyDescent="0.3">
      <c r="A594" s="84"/>
    </row>
    <row r="595" spans="1:1" customFormat="1" x14ac:dyDescent="0.3">
      <c r="A595" s="84"/>
    </row>
    <row r="596" spans="1:1" customFormat="1" x14ac:dyDescent="0.3">
      <c r="A596" s="84"/>
    </row>
    <row r="597" spans="1:1" customFormat="1" x14ac:dyDescent="0.3">
      <c r="A597" s="84"/>
    </row>
    <row r="598" spans="1:1" customFormat="1" x14ac:dyDescent="0.3">
      <c r="A598" s="84"/>
    </row>
    <row r="599" spans="1:1" customFormat="1" x14ac:dyDescent="0.3">
      <c r="A599" s="84"/>
    </row>
    <row r="600" spans="1:1" customFormat="1" x14ac:dyDescent="0.3">
      <c r="A600" s="84"/>
    </row>
    <row r="601" spans="1:1" customFormat="1" x14ac:dyDescent="0.3">
      <c r="A601" s="84"/>
    </row>
    <row r="602" spans="1:1" customFormat="1" x14ac:dyDescent="0.3">
      <c r="A602" s="84"/>
    </row>
    <row r="603" spans="1:1" customFormat="1" x14ac:dyDescent="0.3">
      <c r="A603" s="84"/>
    </row>
    <row r="604" spans="1:1" customFormat="1" x14ac:dyDescent="0.3">
      <c r="A604" s="84"/>
    </row>
    <row r="605" spans="1:1" customFormat="1" x14ac:dyDescent="0.3">
      <c r="A605" s="84"/>
    </row>
    <row r="606" spans="1:1" customFormat="1" x14ac:dyDescent="0.3">
      <c r="A606" s="84"/>
    </row>
    <row r="607" spans="1:1" customFormat="1" x14ac:dyDescent="0.3">
      <c r="A607" s="84"/>
    </row>
    <row r="608" spans="1:1" customFormat="1" x14ac:dyDescent="0.3">
      <c r="A608" s="84"/>
    </row>
    <row r="609" spans="1:1" customFormat="1" x14ac:dyDescent="0.3">
      <c r="A609" s="84"/>
    </row>
    <row r="610" spans="1:1" customFormat="1" x14ac:dyDescent="0.3">
      <c r="A610" s="84"/>
    </row>
    <row r="611" spans="1:1" customFormat="1" x14ac:dyDescent="0.3">
      <c r="A611" s="84"/>
    </row>
    <row r="612" spans="1:1" customFormat="1" x14ac:dyDescent="0.3">
      <c r="A612" s="84"/>
    </row>
    <row r="613" spans="1:1" customFormat="1" x14ac:dyDescent="0.3">
      <c r="A613" s="84"/>
    </row>
    <row r="614" spans="1:1" customFormat="1" x14ac:dyDescent="0.3">
      <c r="A614" s="84"/>
    </row>
    <row r="615" spans="1:1" customFormat="1" x14ac:dyDescent="0.3">
      <c r="A615" s="84"/>
    </row>
    <row r="616" spans="1:1" customFormat="1" x14ac:dyDescent="0.3">
      <c r="A616" s="84"/>
    </row>
    <row r="617" spans="1:1" customFormat="1" x14ac:dyDescent="0.3">
      <c r="A617" s="84"/>
    </row>
    <row r="618" spans="1:1" customFormat="1" x14ac:dyDescent="0.3">
      <c r="A618" s="84"/>
    </row>
    <row r="619" spans="1:1" customFormat="1" x14ac:dyDescent="0.3">
      <c r="A619" s="84"/>
    </row>
    <row r="620" spans="1:1" customFormat="1" x14ac:dyDescent="0.3">
      <c r="A620" s="84"/>
    </row>
    <row r="621" spans="1:1" customFormat="1" x14ac:dyDescent="0.3">
      <c r="A621" s="84"/>
    </row>
    <row r="622" spans="1:1" customFormat="1" x14ac:dyDescent="0.3">
      <c r="A622" s="84"/>
    </row>
    <row r="623" spans="1:1" customFormat="1" x14ac:dyDescent="0.3">
      <c r="A623" s="84"/>
    </row>
    <row r="624" spans="1:1" customFormat="1" x14ac:dyDescent="0.3">
      <c r="A624" s="84"/>
    </row>
    <row r="625" spans="1:1" customFormat="1" x14ac:dyDescent="0.3">
      <c r="A625" s="84"/>
    </row>
    <row r="626" spans="1:1" customFormat="1" x14ac:dyDescent="0.3">
      <c r="A626" s="84"/>
    </row>
    <row r="627" spans="1:1" customFormat="1" x14ac:dyDescent="0.3">
      <c r="A627" s="84"/>
    </row>
    <row r="628" spans="1:1" customFormat="1" x14ac:dyDescent="0.3">
      <c r="A628" s="84"/>
    </row>
    <row r="629" spans="1:1" customFormat="1" x14ac:dyDescent="0.3">
      <c r="A629" s="84"/>
    </row>
    <row r="630" spans="1:1" customFormat="1" x14ac:dyDescent="0.3">
      <c r="A630" s="84"/>
    </row>
    <row r="631" spans="1:1" customFormat="1" x14ac:dyDescent="0.3">
      <c r="A631" s="84"/>
    </row>
    <row r="632" spans="1:1" customFormat="1" x14ac:dyDescent="0.3">
      <c r="A632" s="84"/>
    </row>
    <row r="633" spans="1:1" customFormat="1" x14ac:dyDescent="0.3">
      <c r="A633" s="84"/>
    </row>
    <row r="634" spans="1:1" customFormat="1" x14ac:dyDescent="0.3">
      <c r="A634" s="84"/>
    </row>
    <row r="635" spans="1:1" customFormat="1" x14ac:dyDescent="0.3">
      <c r="A635" s="84"/>
    </row>
    <row r="636" spans="1:1" customFormat="1" x14ac:dyDescent="0.3">
      <c r="A636" s="84"/>
    </row>
    <row r="637" spans="1:1" customFormat="1" x14ac:dyDescent="0.3">
      <c r="A637" s="84"/>
    </row>
    <row r="638" spans="1:1" customFormat="1" x14ac:dyDescent="0.3">
      <c r="A638" s="84"/>
    </row>
    <row r="639" spans="1:1" customFormat="1" x14ac:dyDescent="0.3">
      <c r="A639" s="84"/>
    </row>
    <row r="640" spans="1:1" customFormat="1" x14ac:dyDescent="0.3">
      <c r="A640" s="84"/>
    </row>
    <row r="641" spans="1:1" customFormat="1" x14ac:dyDescent="0.3">
      <c r="A641" s="84"/>
    </row>
    <row r="642" spans="1:1" customFormat="1" x14ac:dyDescent="0.3">
      <c r="A642" s="84"/>
    </row>
    <row r="643" spans="1:1" customFormat="1" x14ac:dyDescent="0.3">
      <c r="A643" s="84"/>
    </row>
    <row r="644" spans="1:1" customFormat="1" x14ac:dyDescent="0.3">
      <c r="A644" s="84"/>
    </row>
    <row r="645" spans="1:1" customFormat="1" x14ac:dyDescent="0.3">
      <c r="A645" s="84"/>
    </row>
    <row r="646" spans="1:1" customFormat="1" x14ac:dyDescent="0.3">
      <c r="A646" s="84"/>
    </row>
    <row r="647" spans="1:1" customFormat="1" x14ac:dyDescent="0.3">
      <c r="A647" s="84"/>
    </row>
    <row r="648" spans="1:1" customFormat="1" x14ac:dyDescent="0.3">
      <c r="A648" s="84"/>
    </row>
    <row r="649" spans="1:1" customFormat="1" x14ac:dyDescent="0.3">
      <c r="A649" s="84"/>
    </row>
    <row r="650" spans="1:1" customFormat="1" x14ac:dyDescent="0.3">
      <c r="A650" s="84"/>
    </row>
    <row r="651" spans="1:1" customFormat="1" x14ac:dyDescent="0.3">
      <c r="A651" s="84"/>
    </row>
    <row r="652" spans="1:1" customFormat="1" x14ac:dyDescent="0.3">
      <c r="A652" s="84"/>
    </row>
    <row r="653" spans="1:1" customFormat="1" x14ac:dyDescent="0.3">
      <c r="A653" s="84"/>
    </row>
    <row r="654" spans="1:1" customFormat="1" x14ac:dyDescent="0.3">
      <c r="A654" s="84"/>
    </row>
    <row r="655" spans="1:1" customFormat="1" x14ac:dyDescent="0.3">
      <c r="A655" s="84"/>
    </row>
    <row r="656" spans="1:1" customFormat="1" x14ac:dyDescent="0.3">
      <c r="A656" s="84"/>
    </row>
    <row r="657" spans="1:1" customFormat="1" x14ac:dyDescent="0.3">
      <c r="A657" s="84"/>
    </row>
    <row r="658" spans="1:1" customFormat="1" x14ac:dyDescent="0.3">
      <c r="A658" s="84"/>
    </row>
    <row r="659" spans="1:1" customFormat="1" x14ac:dyDescent="0.3">
      <c r="A659" s="84"/>
    </row>
    <row r="660" spans="1:1" customFormat="1" x14ac:dyDescent="0.3">
      <c r="A660" s="84"/>
    </row>
    <row r="661" spans="1:1" customFormat="1" x14ac:dyDescent="0.3">
      <c r="A661" s="84"/>
    </row>
    <row r="662" spans="1:1" customFormat="1" x14ac:dyDescent="0.3">
      <c r="A662" s="84"/>
    </row>
    <row r="663" spans="1:1" customFormat="1" x14ac:dyDescent="0.3">
      <c r="A663" s="84"/>
    </row>
    <row r="664" spans="1:1" customFormat="1" x14ac:dyDescent="0.3">
      <c r="A664" s="84"/>
    </row>
    <row r="665" spans="1:1" customFormat="1" x14ac:dyDescent="0.3">
      <c r="A665" s="84"/>
    </row>
    <row r="666" spans="1:1" customFormat="1" x14ac:dyDescent="0.3">
      <c r="A666" s="84"/>
    </row>
    <row r="667" spans="1:1" customFormat="1" x14ac:dyDescent="0.3">
      <c r="A667" s="84"/>
    </row>
    <row r="668" spans="1:1" customFormat="1" x14ac:dyDescent="0.3">
      <c r="A668" s="84"/>
    </row>
    <row r="669" spans="1:1" customFormat="1" x14ac:dyDescent="0.3">
      <c r="A669" s="84"/>
    </row>
    <row r="670" spans="1:1" customFormat="1" x14ac:dyDescent="0.3">
      <c r="A670" s="84"/>
    </row>
    <row r="671" spans="1:1" customFormat="1" x14ac:dyDescent="0.3">
      <c r="A671" s="84"/>
    </row>
    <row r="672" spans="1:1" customFormat="1" x14ac:dyDescent="0.3">
      <c r="A672" s="84"/>
    </row>
    <row r="673" spans="1:1" customFormat="1" x14ac:dyDescent="0.3">
      <c r="A673" s="84"/>
    </row>
    <row r="674" spans="1:1" customFormat="1" x14ac:dyDescent="0.3">
      <c r="A674" s="84"/>
    </row>
    <row r="675" spans="1:1" customFormat="1" x14ac:dyDescent="0.3">
      <c r="A675" s="84"/>
    </row>
    <row r="676" spans="1:1" customFormat="1" x14ac:dyDescent="0.3">
      <c r="A676" s="84"/>
    </row>
    <row r="677" spans="1:1" customFormat="1" x14ac:dyDescent="0.3">
      <c r="A677" s="84"/>
    </row>
    <row r="678" spans="1:1" customFormat="1" x14ac:dyDescent="0.3">
      <c r="A678" s="84"/>
    </row>
    <row r="679" spans="1:1" customFormat="1" x14ac:dyDescent="0.3">
      <c r="A679" s="84"/>
    </row>
    <row r="680" spans="1:1" customFormat="1" x14ac:dyDescent="0.3">
      <c r="A680" s="84"/>
    </row>
    <row r="681" spans="1:1" customFormat="1" x14ac:dyDescent="0.3">
      <c r="A681" s="84"/>
    </row>
    <row r="682" spans="1:1" customFormat="1" x14ac:dyDescent="0.3">
      <c r="A682" s="84"/>
    </row>
    <row r="683" spans="1:1" customFormat="1" x14ac:dyDescent="0.3">
      <c r="A683" s="84"/>
    </row>
    <row r="684" spans="1:1" customFormat="1" x14ac:dyDescent="0.3">
      <c r="A684" s="84"/>
    </row>
    <row r="685" spans="1:1" customFormat="1" x14ac:dyDescent="0.3">
      <c r="A685" s="84"/>
    </row>
    <row r="686" spans="1:1" customFormat="1" x14ac:dyDescent="0.3">
      <c r="A686" s="84"/>
    </row>
    <row r="687" spans="1:1" customFormat="1" x14ac:dyDescent="0.3">
      <c r="A687" s="84"/>
    </row>
    <row r="688" spans="1:1" customFormat="1" x14ac:dyDescent="0.3">
      <c r="A688" s="84"/>
    </row>
    <row r="689" spans="1:3" x14ac:dyDescent="0.3">
      <c r="A689" s="84"/>
      <c r="B689"/>
      <c r="C689"/>
    </row>
    <row r="690" spans="1:3" x14ac:dyDescent="0.3">
      <c r="A690" s="84"/>
      <c r="B690"/>
      <c r="C690"/>
    </row>
    <row r="691" spans="1:3" x14ac:dyDescent="0.3">
      <c r="A691" s="84"/>
      <c r="B691"/>
      <c r="C691"/>
    </row>
    <row r="692" spans="1:3" x14ac:dyDescent="0.3">
      <c r="A692" s="84"/>
      <c r="B692"/>
      <c r="C692"/>
    </row>
    <row r="693" spans="1:3" x14ac:dyDescent="0.3">
      <c r="A693" s="84"/>
      <c r="B693"/>
      <c r="C693"/>
    </row>
    <row r="694" spans="1:3" x14ac:dyDescent="0.3">
      <c r="A694" s="84"/>
      <c r="B694"/>
      <c r="C694"/>
    </row>
    <row r="695" spans="1:3" x14ac:dyDescent="0.3">
      <c r="A695" s="84"/>
      <c r="B695"/>
      <c r="C695"/>
    </row>
    <row r="696" spans="1:3" x14ac:dyDescent="0.3">
      <c r="A696" s="84"/>
      <c r="B696"/>
      <c r="C696"/>
    </row>
    <row r="697" spans="1:3" x14ac:dyDescent="0.3">
      <c r="A697" s="84"/>
      <c r="B697"/>
      <c r="C697"/>
    </row>
    <row r="698" spans="1:3" x14ac:dyDescent="0.3">
      <c r="A698" s="84"/>
      <c r="B698"/>
      <c r="C698"/>
    </row>
    <row r="699" spans="1:3" x14ac:dyDescent="0.3">
      <c r="A699" s="84"/>
      <c r="B699"/>
      <c r="C699"/>
    </row>
    <row r="700" spans="1:3" x14ac:dyDescent="0.3">
      <c r="A700" s="84"/>
      <c r="B700"/>
      <c r="C700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DAA88D2B37645A41B8879D6BBC037" ma:contentTypeVersion="4" ma:contentTypeDescription="Crée un document." ma:contentTypeScope="" ma:versionID="b55e1974301c685b24ba1b93895527e8">
  <xsd:schema xmlns:xsd="http://www.w3.org/2001/XMLSchema" xmlns:xs="http://www.w3.org/2001/XMLSchema" xmlns:p="http://schemas.microsoft.com/office/2006/metadata/properties" xmlns:ns3="e27d44ca-e327-44c2-96ce-243ebce4810b" targetNamespace="http://schemas.microsoft.com/office/2006/metadata/properties" ma:root="true" ma:fieldsID="aa4589b39f4ebc117a545df665c41e09" ns3:_="">
    <xsd:import namespace="e27d44ca-e327-44c2-96ce-243ebce4810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d44ca-e327-44c2-96ce-243ebce4810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53620B-EE80-439F-8F84-B578ADFB76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23C0C7-FA8E-40F9-A592-C98064FD9F03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e27d44ca-e327-44c2-96ce-243ebce4810b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8239423-1F01-4A3A-991D-0CE760ACED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7d44ca-e327-44c2-96ce-243ebce481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Dashboard</vt:lpstr>
      <vt:lpstr>Data</vt:lpstr>
      <vt:lpstr>Main Performance</vt:lpstr>
      <vt:lpstr>PivotStage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TSENG Yu-Ting</cp:lastModifiedBy>
  <dcterms:created xsi:type="dcterms:W3CDTF">2024-12-30T05:03:25Z</dcterms:created>
  <dcterms:modified xsi:type="dcterms:W3CDTF">2026-05-23T23:15:02Z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0x0101002E9DAA88D2B37645A41B8879D6BBC037</vt:lpwstr>
  </property>
  <property fmtid="{D5CDD505-2E9C-101B-9397-08002B2CF9AE}" pid="3" name="PowerlinkCOMAddIn.COMAddIn.WebAddinBridge.Options">
    <vt:lpwstr>{"port":50158,"version":"1.26.602"}</vt:lpwstr>
  </property>
</Properties>
</file>