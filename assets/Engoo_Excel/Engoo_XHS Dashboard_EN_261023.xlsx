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nita\Desktop\07_Portfolio\02_Social Media_XHS_Engoo\Data\"/>
    </mc:Choice>
  </mc:AlternateContent>
  <xr:revisionPtr revIDLastSave="0" documentId="13_ncr:1_{CCE0355A-1D09-4037-8B19-1946DC9EEB0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shboard" sheetId="6" r:id="rId1"/>
    <sheet name="Data" sheetId="7" r:id="rId2"/>
    <sheet name="Main Performance" sheetId="9" state="hidden" r:id="rId3"/>
    <sheet name="Pivot Area" sheetId="8" state="hidden" r:id="rId4"/>
    <sheet name="Comparison" sheetId="10" state="hidden" r:id="rId5"/>
  </sheets>
  <definedNames>
    <definedName name="Segment_Metric">#N/A</definedName>
  </definedNames>
  <calcPr calcId="191029"/>
  <pivotCaches>
    <pivotCache cacheId="1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FVbj4nBy/RST0iMSZIyMRpo/v22g833tKAd9oEkEVE="/>
    </ext>
  </extLst>
</workbook>
</file>

<file path=xl/calcChain.xml><?xml version="1.0" encoding="utf-8"?>
<calcChain xmlns="http://schemas.openxmlformats.org/spreadsheetml/2006/main">
  <c r="D3" i="10" l="1" a="1"/>
  <c r="B3" i="10" a="1"/>
  <c r="O8" i="6"/>
  <c r="O7" i="6" a="1"/>
  <c r="N7" i="6" a="1"/>
  <c r="M7" i="6"/>
  <c r="L7" i="6" a="1"/>
  <c r="E7" i="6" a="1"/>
  <c r="D7" i="6" a="1"/>
  <c r="C4" i="7" l="1"/>
  <c r="D4" i="7"/>
  <c r="E4" i="7"/>
  <c r="F4" i="7"/>
  <c r="G4" i="7"/>
  <c r="H4" i="7"/>
  <c r="I4" i="7"/>
  <c r="B4" i="7"/>
  <c r="B3" i="7"/>
  <c r="C3" i="7"/>
  <c r="D3" i="7"/>
  <c r="E3" i="7"/>
  <c r="F3" i="7"/>
  <c r="G3" i="7"/>
  <c r="H3" i="7"/>
  <c r="I3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5" i="7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5" i="7"/>
  <c r="K5" i="7" s="1"/>
  <c r="C12" i="6" l="1"/>
  <c r="D12" i="6"/>
  <c r="E12" i="6"/>
  <c r="G12" i="6"/>
  <c r="H12" i="6"/>
  <c r="C14" i="6"/>
  <c r="D14" i="6"/>
  <c r="E14" i="6"/>
  <c r="F14" i="6"/>
  <c r="G14" i="6"/>
  <c r="H14" i="6"/>
  <c r="C15" i="6"/>
  <c r="D15" i="6"/>
  <c r="E15" i="6"/>
  <c r="F15" i="6"/>
  <c r="G15" i="6"/>
  <c r="H15" i="6"/>
  <c r="F7" i="6"/>
  <c r="P7" i="6"/>
  <c r="E3" i="10" s="1" a="1"/>
  <c r="L3" i="7"/>
  <c r="L4" i="7"/>
  <c r="K137" i="7"/>
  <c r="J4" i="7"/>
  <c r="K180" i="7"/>
  <c r="J3" i="7"/>
  <c r="A3" i="10" a="1"/>
  <c r="P12" i="6"/>
  <c r="O12" i="6"/>
  <c r="L12" i="6"/>
  <c r="M12" i="6"/>
  <c r="N12" i="6"/>
  <c r="K12" i="6"/>
  <c r="A3" i="9" a="1"/>
  <c r="A3" i="8" a="1"/>
  <c r="E13" i="6" l="1"/>
  <c r="F12" i="6"/>
  <c r="D13" i="6"/>
  <c r="G13" i="6"/>
  <c r="C13" i="6"/>
  <c r="H13" i="6"/>
  <c r="K4" i="7"/>
  <c r="K3" i="7"/>
  <c r="L3" i="9" a="1"/>
  <c r="K3" i="9" a="1"/>
  <c r="E3" i="9" a="1"/>
  <c r="I3" i="9" a="1"/>
  <c r="D3" i="9" a="1"/>
  <c r="F3" i="9" a="1"/>
  <c r="C3" i="9" a="1"/>
  <c r="J3" i="9" a="1"/>
  <c r="H3" i="9" a="1"/>
  <c r="B3" i="9" a="1"/>
  <c r="G3" i="9" a="1"/>
  <c r="C3" i="10" l="1" a="1"/>
  <c r="M13" i="6"/>
  <c r="L13" i="6"/>
  <c r="L14" i="6" s="1"/>
  <c r="N13" i="6"/>
  <c r="N14" i="6" s="1"/>
  <c r="O13" i="6"/>
  <c r="O14" i="6" s="1"/>
  <c r="P13" i="6"/>
  <c r="P14" i="6" s="1"/>
  <c r="K13" i="6"/>
  <c r="K14" i="6" s="1"/>
  <c r="F3" i="10" a="1"/>
  <c r="M14" i="6" l="1"/>
  <c r="G3" i="10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Bonita</author>
  </authors>
  <commentList>
    <comment ref="E2" authorId="0" shapeId="0" xr:uid="{1E9F53F8-CB3F-4086-A523-F3BC43C8DCAA}">
      <text>
        <r>
          <rPr>
            <b/>
            <sz val="9"/>
            <color indexed="81"/>
            <rFont val="Tahoma"/>
            <family val="2"/>
          </rPr>
          <t>Bonita:
Day index 1..N used as the chart X-axis to align periods with different dates</t>
        </r>
      </text>
    </comment>
    <comment ref="F2" authorId="0" shapeId="0" xr:uid="{99493FD3-8035-4DE9-B24A-2471E25D577E}">
      <text>
        <r>
          <rPr>
            <b/>
            <sz val="9"/>
            <color indexed="81"/>
            <rFont val="Tahoma"/>
            <family val="2"/>
          </rPr>
          <t>Bonita:
Helper copy of B3# truncated to length N (matches the day index)</t>
        </r>
      </text>
    </comment>
    <comment ref="G2" authorId="0" shapeId="0" xr:uid="{21F72337-CCB7-434E-B132-EDD849189D85}">
      <text>
        <r>
          <rPr>
            <b/>
            <sz val="9"/>
            <color indexed="81"/>
            <rFont val="Tahoma"/>
            <family val="2"/>
          </rPr>
          <t>Bonita:
Helper copy of D3# truncated to length N</t>
        </r>
      </text>
    </comment>
    <comment ref="A3" authorId="0" shapeId="0" xr:uid="{49E02B32-850F-494A-9DFC-753F98AF1A83}">
      <text>
        <r>
          <rPr>
            <b/>
            <sz val="9"/>
            <color indexed="81"/>
            <rFont val="Tahoma"/>
            <family val="2"/>
          </rPr>
          <t>Bonita:
Dynamic array — expands automatically based on the Period A date range</t>
        </r>
      </text>
    </comment>
    <comment ref="B3" authorId="0" shapeId="0" xr:uid="{7E401142-E94E-4602-8167-F9215CE7E180}">
      <text>
        <r>
          <rPr>
            <b/>
            <sz val="9"/>
            <color indexed="81"/>
            <rFont val="Tahoma"/>
            <family val="2"/>
          </rPr>
          <t>Bonita:
Dynamic metric column based on the Dashboard!L17 dropdown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<sst xmlns="http://schemas.openxmlformats.org/spreadsheetml/2006/main" count="93" uniqueCount="70">
  <si>
    <t>Date</t>
  </si>
  <si>
    <t>Engagement</t>
  </si>
  <si>
    <t>A</t>
  </si>
  <si>
    <t>B</t>
  </si>
  <si>
    <t>Δ</t>
  </si>
  <si>
    <t>Total général</t>
  </si>
  <si>
    <t>MIN</t>
    <phoneticPr fontId="1" type="noConversion"/>
  </si>
  <si>
    <t>MAX</t>
  </si>
  <si>
    <t>MIN</t>
  </si>
  <si>
    <t>Date</t>
    <phoneticPr fontId="1" type="noConversion"/>
  </si>
  <si>
    <t>Views</t>
  </si>
  <si>
    <t>Views</t>
    <phoneticPr fontId="1" type="noConversion"/>
  </si>
  <si>
    <t>Total Watch Time (s)</t>
    <phoneticPr fontId="1" type="noConversion"/>
  </si>
  <si>
    <t>Likes</t>
  </si>
  <si>
    <t>Likes</t>
    <phoneticPr fontId="1" type="noConversion"/>
  </si>
  <si>
    <t>Saves</t>
  </si>
  <si>
    <t>Saves</t>
    <phoneticPr fontId="1" type="noConversion"/>
  </si>
  <si>
    <t>Comments</t>
  </si>
  <si>
    <t>Comments</t>
    <phoneticPr fontId="1" type="noConversion"/>
  </si>
  <si>
    <t>Shares</t>
    <phoneticPr fontId="1" type="noConversion"/>
  </si>
  <si>
    <t>Profile Visits</t>
  </si>
  <si>
    <t>Profile Visits</t>
    <phoneticPr fontId="1" type="noConversion"/>
  </si>
  <si>
    <t>New Followers</t>
  </si>
  <si>
    <t>New Followers</t>
    <phoneticPr fontId="1" type="noConversion"/>
  </si>
  <si>
    <t>Engagement</t>
    <phoneticPr fontId="1" type="noConversion"/>
  </si>
  <si>
    <t>Engagement Rate</t>
    <phoneticPr fontId="1" type="noConversion"/>
  </si>
  <si>
    <t>Brand Awareness</t>
    <phoneticPr fontId="1" type="noConversion"/>
  </si>
  <si>
    <t>Engoo Social Media Performance Dashboard</t>
  </si>
  <si>
    <t>Platform: Xiaohongshu</t>
  </si>
  <si>
    <t>Date Range</t>
  </si>
  <si>
    <t>Compare Two Periods</t>
  </si>
  <si>
    <t>Quick Range</t>
  </si>
  <si>
    <t>From</t>
  </si>
  <si>
    <t>To</t>
  </si>
  <si>
    <t>Number of Days</t>
  </si>
  <si>
    <t>Quick Comparison</t>
  </si>
  <si>
    <t>Period A — From</t>
  </si>
  <si>
    <t>Period A — To</t>
  </si>
  <si>
    <t>Period B — From</t>
  </si>
  <si>
    <t>Period B — To</t>
  </si>
  <si>
    <t>Last 30 Days</t>
  </si>
  <si>
    <t>Last 30 vs Previous 30</t>
  </si>
  <si>
    <t>Custom</t>
  </si>
  <si>
    <t>Key Metrics</t>
  </si>
  <si>
    <t>Total Views</t>
  </si>
  <si>
    <t>Total New Followers</t>
  </si>
  <si>
    <t>Total Engagement</t>
  </si>
  <si>
    <t>Avg. Engagement Rate</t>
  </si>
  <si>
    <t>Total Likes</t>
  </si>
  <si>
    <t>Total Profile Visits</t>
  </si>
  <si>
    <t>Eng. Rate</t>
  </si>
  <si>
    <t>AVG</t>
  </si>
  <si>
    <t>Performance Chart</t>
  </si>
  <si>
    <t>⚠️ After changing the date range: right-click the chart → Refresh</t>
  </si>
  <si>
    <t>All Metrics</t>
  </si>
  <si>
    <t>Raw Data</t>
  </si>
  <si>
    <t>Main Metric Data</t>
    <phoneticPr fontId="1" type="noConversion"/>
  </si>
  <si>
    <t>Total Watch Time (min)</t>
    <phoneticPr fontId="1" type="noConversion"/>
  </si>
  <si>
    <t>Filtered Data (Selected Date Range)</t>
  </si>
  <si>
    <t>PivotTable</t>
  </si>
  <si>
    <t>Metric</t>
  </si>
  <si>
    <t>Metric</t>
    <phoneticPr fontId="1" type="noConversion"/>
  </si>
  <si>
    <t>Value</t>
    <phoneticPr fontId="1" type="noConversion"/>
  </si>
  <si>
    <t>Period Comparison (driven by Dashboard!L17)</t>
  </si>
  <si>
    <t>Date (Period A)</t>
    <phoneticPr fontId="1" type="noConversion"/>
  </si>
  <si>
    <t>Period A</t>
    <phoneticPr fontId="1" type="noConversion"/>
  </si>
  <si>
    <t>Date (Period B)</t>
    <phoneticPr fontId="1" type="noConversion"/>
  </si>
  <si>
    <t>Period B</t>
    <phoneticPr fontId="1" type="noConversion"/>
  </si>
  <si>
    <t>Day</t>
    <phoneticPr fontId="1" type="noConversion"/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</si>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</sst>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\+#,##0;\-#,##0;0"/>
    <numFmt numFmtId="178" formatCode="\▲\ 0.0%;\▼\ 0.0%;0.0%"/>
    <numFmt numFmtId="179" formatCode="yyyy\-mm\-dd;@"/>
    <numFmt numFmtId="180" formatCode="ddd\ d\-mmm"/>
    <numFmt numFmtId="181" formatCode="[$-40C]dd/mm/yyyy;@"/>
  </numFmts>
  <fonts count="32" x14ac:knownFonts="1">
    <font>
      <sz val="11"/>
      <color rgb="FF000000"/>
      <name val="Calibri"/>
      <scheme val="minor"/>
    </font>
    <font>
      <sz val="9"/>
      <name val="Calibri"/>
      <family val="3"/>
      <charset val="136"/>
      <scheme val="minor"/>
    </font>
    <font>
      <b/>
      <sz val="11"/>
      <color rgb="FF00000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0"/>
      <color rgb="FF6B7280"/>
      <name val="Calibri"/>
      <family val="2"/>
      <scheme val="minor"/>
    </font>
    <font>
      <b/>
      <sz val="10"/>
      <color rgb="FF6B7280"/>
      <name val="Calibri"/>
      <family val="2"/>
      <scheme val="minor"/>
    </font>
    <font>
      <b/>
      <sz val="14"/>
      <color rgb="FF1A2B4C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0"/>
      <color rgb="FF9CA3AF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A3AF"/>
      <name val="Calibri"/>
      <family val="2"/>
      <scheme val="minor"/>
    </font>
    <font>
      <b/>
      <sz val="12"/>
      <color rgb="FF1A2B4C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8"/>
      <color rgb="FF1A2B4C"/>
      <name val="Calibri"/>
      <family val="2"/>
      <scheme val="minor"/>
    </font>
    <font>
      <b/>
      <sz val="9"/>
      <color rgb="FF9CA3AF"/>
      <name val="Calibri"/>
      <family val="2"/>
      <scheme val="minor"/>
    </font>
    <font>
      <sz val="11"/>
      <color rgb="FF000000"/>
      <name val="Calibri"/>
      <family val="2"/>
      <scheme val="major"/>
    </font>
    <font>
      <sz val="14"/>
      <color rgb="FF000000"/>
      <name val="Calibri"/>
      <family val="2"/>
      <scheme val="major"/>
    </font>
    <font>
      <b/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9"/>
      <color rgb="FFC659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C65911"/>
      <name val="Calibri"/>
      <family val="2"/>
      <scheme val="minor"/>
    </font>
    <font>
      <b/>
      <sz val="18"/>
      <color rgb="FF16A34A"/>
      <name val="Calibri"/>
      <family val="2"/>
      <scheme val="minor"/>
    </font>
    <font>
      <b/>
      <sz val="12"/>
      <color rgb="FF6B728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7F8FB"/>
        <bgColor indexed="64"/>
      </patternFill>
    </fill>
    <fill>
      <patternFill patternType="solid">
        <fgColor rgb="FF1A2B4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/>
      <right/>
      <top/>
      <bottom style="medium">
        <color theme="4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E5B800"/>
      </left>
      <right style="medium">
        <color rgb="FFE5B800"/>
      </right>
      <top style="medium">
        <color rgb="FFE5B800"/>
      </top>
      <bottom style="medium">
        <color rgb="FFE5B800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/>
      <top/>
      <bottom style="thin">
        <color rgb="FFE5E7EB"/>
      </bottom>
      <diagonal/>
    </border>
    <border>
      <left style="medium">
        <color rgb="FFE5B800"/>
      </left>
      <right style="thin">
        <color theme="2" tint="-0.14999847407452621"/>
      </right>
      <top style="thin">
        <color rgb="FFD1D5DB"/>
      </top>
      <bottom style="thin">
        <color rgb="FFD1D5DB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medium">
        <color rgb="FFE5B800"/>
      </top>
      <bottom style="thin">
        <color theme="8" tint="0.39994506668294322"/>
      </bottom>
      <diagonal/>
    </border>
    <border diagonalUp="1">
      <left style="thin">
        <color rgb="FFE5E7EB"/>
      </left>
      <right style="thin">
        <color rgb="FFE5E7EB"/>
      </right>
      <top style="thin">
        <color rgb="FFE5E7EB"/>
      </top>
      <bottom/>
      <diagonal style="thin">
        <color rgb="FFE5E7EB"/>
      </diagonal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0" fontId="0" fillId="0" borderId="0" xfId="0" applyNumberForma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pivotButton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3" fontId="18" fillId="5" borderId="5" xfId="0" applyNumberFormat="1" applyFont="1" applyFill="1" applyBorder="1" applyAlignment="1">
      <alignment horizontal="center" vertical="center"/>
    </xf>
    <xf numFmtId="3" fontId="18" fillId="5" borderId="6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0" fontId="20" fillId="0" borderId="0" xfId="0" applyNumberFormat="1" applyFont="1" applyAlignment="1">
      <alignment vertical="center"/>
    </xf>
    <xf numFmtId="10" fontId="20" fillId="0" borderId="0" xfId="1" applyNumberFormat="1" applyFont="1" applyAlignment="1">
      <alignment vertical="center"/>
    </xf>
    <xf numFmtId="0" fontId="21" fillId="0" borderId="7" xfId="0" applyFont="1" applyBorder="1" applyAlignment="1">
      <alignment horizontal="centerContinuous" vertical="center"/>
    </xf>
    <xf numFmtId="0" fontId="20" fillId="0" borderId="7" xfId="0" applyFont="1" applyBorder="1" applyAlignment="1">
      <alignment horizontal="centerContinuous"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176" fontId="13" fillId="2" borderId="0" xfId="0" applyNumberFormat="1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14" fontId="20" fillId="0" borderId="0" xfId="0" applyNumberFormat="1" applyFont="1" applyAlignment="1">
      <alignment vertical="center"/>
    </xf>
    <xf numFmtId="0" fontId="7" fillId="7" borderId="16" xfId="0" applyFont="1" applyFill="1" applyBorder="1" applyAlignment="1">
      <alignment horizontal="center" vertical="center"/>
    </xf>
    <xf numFmtId="10" fontId="18" fillId="5" borderId="5" xfId="1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1" fontId="27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3" fontId="18" fillId="5" borderId="2" xfId="0" applyNumberFormat="1" applyFont="1" applyFill="1" applyBorder="1" applyAlignment="1">
      <alignment horizontal="center" vertical="center"/>
    </xf>
    <xf numFmtId="177" fontId="29" fillId="5" borderId="11" xfId="0" applyNumberFormat="1" applyFont="1" applyFill="1" applyBorder="1" applyAlignment="1">
      <alignment horizontal="center" vertical="center"/>
    </xf>
    <xf numFmtId="178" fontId="25" fillId="5" borderId="2" xfId="0" applyNumberFormat="1" applyFont="1" applyFill="1" applyBorder="1" applyAlignment="1">
      <alignment horizontal="center" vertical="center"/>
    </xf>
    <xf numFmtId="178" fontId="25" fillId="5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3" fontId="25" fillId="2" borderId="2" xfId="0" applyNumberFormat="1" applyFont="1" applyFill="1" applyBorder="1" applyAlignment="1">
      <alignment horizontal="center" vertical="center"/>
    </xf>
    <xf numFmtId="3" fontId="30" fillId="2" borderId="5" xfId="0" applyNumberFormat="1" applyFont="1" applyFill="1" applyBorder="1" applyAlignment="1">
      <alignment horizontal="center" vertical="center"/>
    </xf>
    <xf numFmtId="10" fontId="25" fillId="2" borderId="2" xfId="1" applyNumberFormat="1" applyFont="1" applyFill="1" applyBorder="1" applyAlignment="1">
      <alignment horizontal="center" vertical="center"/>
    </xf>
    <xf numFmtId="3" fontId="30" fillId="2" borderId="18" xfId="0" applyNumberFormat="1" applyFont="1" applyFill="1" applyBorder="1" applyAlignment="1">
      <alignment horizontal="center" vertical="center"/>
    </xf>
    <xf numFmtId="10" fontId="18" fillId="5" borderId="2" xfId="0" applyNumberFormat="1" applyFont="1" applyFill="1" applyBorder="1" applyAlignment="1">
      <alignment horizontal="center" vertical="center"/>
    </xf>
    <xf numFmtId="3" fontId="30" fillId="2" borderId="5" xfId="1" applyNumberFormat="1" applyFont="1" applyFill="1" applyBorder="1" applyAlignment="1">
      <alignment horizontal="center" vertical="center"/>
    </xf>
    <xf numFmtId="10" fontId="30" fillId="2" borderId="5" xfId="1" applyNumberFormat="1" applyFont="1" applyFill="1" applyBorder="1" applyAlignment="1">
      <alignment horizontal="center" vertical="center"/>
    </xf>
    <xf numFmtId="3" fontId="30" fillId="2" borderId="6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" fillId="9" borderId="0" xfId="0" applyFont="1" applyFill="1" applyAlignment="1">
      <alignment horizontal="center" vertical="center"/>
    </xf>
    <xf numFmtId="180" fontId="0" fillId="0" borderId="0" xfId="0" applyNumberFormat="1" applyAlignment="1">
      <alignment vertical="center"/>
    </xf>
    <xf numFmtId="180" fontId="20" fillId="0" borderId="0" xfId="0" applyNumberFormat="1" applyFont="1" applyAlignment="1">
      <alignment vertical="center"/>
    </xf>
    <xf numFmtId="181" fontId="7" fillId="5" borderId="12" xfId="0" applyNumberFormat="1" applyFont="1" applyFill="1" applyBorder="1" applyAlignment="1">
      <alignment horizontal="center" vertical="center"/>
    </xf>
    <xf numFmtId="181" fontId="7" fillId="5" borderId="14" xfId="0" applyNumberFormat="1" applyFont="1" applyFill="1" applyBorder="1" applyAlignment="1">
      <alignment horizontal="center" vertical="center"/>
    </xf>
    <xf numFmtId="181" fontId="7" fillId="6" borderId="15" xfId="0" applyNumberFormat="1" applyFont="1" applyFill="1" applyBorder="1" applyAlignment="1">
      <alignment horizontal="center" vertical="center"/>
    </xf>
    <xf numFmtId="181" fontId="7" fillId="6" borderId="10" xfId="0" applyNumberFormat="1" applyFont="1" applyFill="1" applyBorder="1" applyAlignment="1">
      <alignment horizontal="center" vertical="center"/>
    </xf>
    <xf numFmtId="181" fontId="7" fillId="5" borderId="13" xfId="0" applyNumberFormat="1" applyFont="1" applyFill="1" applyBorder="1" applyAlignment="1">
      <alignment horizontal="center" vertical="center"/>
    </xf>
    <xf numFmtId="181" fontId="7" fillId="5" borderId="8" xfId="0" applyNumberFormat="1" applyFont="1" applyFill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180" fontId="11" fillId="0" borderId="0" xfId="0" applyNumberFormat="1" applyFont="1" applyAlignment="1">
      <alignment horizontal="right" vertical="center"/>
    </xf>
    <xf numFmtId="180" fontId="11" fillId="0" borderId="0" xfId="0" applyNumberFormat="1" applyFont="1" applyAlignment="1">
      <alignment vertical="center"/>
    </xf>
    <xf numFmtId="0" fontId="27" fillId="0" borderId="7" xfId="0" applyFont="1" applyBorder="1" applyAlignment="1">
      <alignment horizontal="centerContinuous" vertical="center"/>
    </xf>
    <xf numFmtId="176" fontId="2" fillId="8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10" fontId="2" fillId="8" borderId="0" xfId="1" applyNumberFormat="1" applyFont="1" applyFill="1" applyAlignment="1">
      <alignment vertical="center"/>
    </xf>
    <xf numFmtId="181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9" fontId="11" fillId="0" borderId="0" xfId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10" fontId="25" fillId="2" borderId="0" xfId="1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1" fontId="7" fillId="2" borderId="20" xfId="0" applyNumberFormat="1" applyFont="1" applyFill="1" applyBorder="1" applyAlignment="1">
      <alignment horizontal="center" vertical="center"/>
    </xf>
    <xf numFmtId="1" fontId="7" fillId="2" borderId="19" xfId="0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</cellXfs>
  <cellStyles count="2">
    <cellStyle name="Normal" xfId="0" builtinId="0"/>
    <cellStyle name="Pourcentage" xfId="1" builtinId="5"/>
  </cellStyles>
  <dxfs count="45"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numFmt numFmtId="181" formatCode="[$-40C]dd/mm/yyyy;@"/>
    </dxf>
    <dxf>
      <font>
        <color rgb="FFFFFFFF"/>
      </font>
    </dxf>
    <dxf>
      <numFmt numFmtId="182" formatCode=";;;"/>
    </dxf>
    <dxf>
      <numFmt numFmtId="182" formatCode=";;;"/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DC2626"/>
      </font>
    </dxf>
    <dxf>
      <font>
        <color rgb="FF16A34A"/>
      </font>
    </dxf>
    <dxf>
      <font>
        <color rgb="FFFF0000"/>
      </font>
    </dxf>
    <dxf>
      <numFmt numFmtId="182" formatCode=";;;"/>
    </dxf>
    <dxf>
      <numFmt numFmtId="182" formatCode=";;;"/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numFmt numFmtId="181" formatCode="[$-40C]dd/mm/yyyy;@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numFmt numFmtId="176" formatCode="yyyy\-mm\-d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</dxfs>
  <tableStyles count="0" defaultTableStyle="TableStyleMedium2" defaultPivotStyle="PivotStyleLight16"/>
  <colors>
    <mruColors>
      <color rgb="FFF7F8FB"/>
      <color rgb="FF1A2B4C"/>
      <color rgb="FF6B728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[Engoo_XHS Dashboard_EN_261023.xlsx]Pivot Area!MultiPivot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Performance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Area'!$F$2:$F$3</c:f>
              <c:strCache>
                <c:ptCount val="1"/>
                <c:pt idx="0">
                  <c:v>Comments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Area'!$E$4:$E$34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'Pivot Area'!$F$4:$F$34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032-4D60-A51E-E2416E417684}"/>
            </c:ext>
          </c:extLst>
        </c:ser>
        <c:ser>
          <c:idx val="1"/>
          <c:order val="1"/>
          <c:tx>
            <c:strRef>
              <c:f>'Pivot Area'!$G$2:$G$3</c:f>
              <c:strCache>
                <c:ptCount val="1"/>
                <c:pt idx="0">
                  <c:v>Likes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Area'!$E$4:$E$34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'Pivot Area'!$G$4:$G$34</c:f>
              <c:numCache>
                <c:formatCode>General</c:formatCode>
                <c:ptCount val="30"/>
                <c:pt idx="0">
                  <c:v>37</c:v>
                </c:pt>
                <c:pt idx="1">
                  <c:v>28</c:v>
                </c:pt>
                <c:pt idx="2">
                  <c:v>41</c:v>
                </c:pt>
                <c:pt idx="3">
                  <c:v>42</c:v>
                </c:pt>
                <c:pt idx="4">
                  <c:v>37</c:v>
                </c:pt>
                <c:pt idx="5">
                  <c:v>35</c:v>
                </c:pt>
                <c:pt idx="6">
                  <c:v>23</c:v>
                </c:pt>
                <c:pt idx="7">
                  <c:v>34</c:v>
                </c:pt>
                <c:pt idx="8">
                  <c:v>41</c:v>
                </c:pt>
                <c:pt idx="9">
                  <c:v>38</c:v>
                </c:pt>
                <c:pt idx="10">
                  <c:v>35</c:v>
                </c:pt>
                <c:pt idx="11">
                  <c:v>34</c:v>
                </c:pt>
                <c:pt idx="12">
                  <c:v>45</c:v>
                </c:pt>
                <c:pt idx="13">
                  <c:v>44</c:v>
                </c:pt>
                <c:pt idx="14">
                  <c:v>35</c:v>
                </c:pt>
                <c:pt idx="15">
                  <c:v>40</c:v>
                </c:pt>
                <c:pt idx="16">
                  <c:v>42</c:v>
                </c:pt>
                <c:pt idx="17">
                  <c:v>31</c:v>
                </c:pt>
                <c:pt idx="18">
                  <c:v>35</c:v>
                </c:pt>
                <c:pt idx="19">
                  <c:v>22</c:v>
                </c:pt>
                <c:pt idx="20">
                  <c:v>34</c:v>
                </c:pt>
                <c:pt idx="21">
                  <c:v>22</c:v>
                </c:pt>
                <c:pt idx="22">
                  <c:v>34</c:v>
                </c:pt>
                <c:pt idx="23">
                  <c:v>28</c:v>
                </c:pt>
                <c:pt idx="24">
                  <c:v>21</c:v>
                </c:pt>
                <c:pt idx="25">
                  <c:v>22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9D-46FC-AF98-CCD20D4B636A}"/>
            </c:ext>
          </c:extLst>
        </c:ser>
        <c:ser>
          <c:idx val="2"/>
          <c:order val="2"/>
          <c:tx>
            <c:strRef>
              <c:f>'Pivot Area'!$H$2:$H$3</c:f>
              <c:strCache>
                <c:ptCount val="1"/>
                <c:pt idx="0">
                  <c:v>New Followers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Area'!$E$4:$E$34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'Pivot Area'!$H$4:$H$34</c:f>
              <c:numCache>
                <c:formatCode>General</c:formatCode>
                <c:ptCount val="30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21</c:v>
                </c:pt>
                <c:pt idx="15">
                  <c:v>10</c:v>
                </c:pt>
                <c:pt idx="16">
                  <c:v>18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8</c:v>
                </c:pt>
                <c:pt idx="28">
                  <c:v>10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9D-46FC-AF98-CCD20D4B636A}"/>
            </c:ext>
          </c:extLst>
        </c:ser>
        <c:ser>
          <c:idx val="3"/>
          <c:order val="3"/>
          <c:tx>
            <c:strRef>
              <c:f>'Pivot Area'!$I$2:$I$3</c:f>
              <c:strCache>
                <c:ptCount val="1"/>
                <c:pt idx="0">
                  <c:v>Saves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Area'!$E$4:$E$34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'Pivot Area'!$I$4:$I$34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14</c:v>
                </c:pt>
                <c:pt idx="3">
                  <c:v>19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  <c:pt idx="7">
                  <c:v>11</c:v>
                </c:pt>
                <c:pt idx="8">
                  <c:v>18</c:v>
                </c:pt>
                <c:pt idx="9">
                  <c:v>18</c:v>
                </c:pt>
                <c:pt idx="10">
                  <c:v>11</c:v>
                </c:pt>
                <c:pt idx="11">
                  <c:v>12</c:v>
                </c:pt>
                <c:pt idx="12">
                  <c:v>19</c:v>
                </c:pt>
                <c:pt idx="13">
                  <c:v>17</c:v>
                </c:pt>
                <c:pt idx="14">
                  <c:v>24</c:v>
                </c:pt>
                <c:pt idx="15">
                  <c:v>24</c:v>
                </c:pt>
                <c:pt idx="16">
                  <c:v>21</c:v>
                </c:pt>
                <c:pt idx="17">
                  <c:v>15</c:v>
                </c:pt>
                <c:pt idx="18">
                  <c:v>18</c:v>
                </c:pt>
                <c:pt idx="19">
                  <c:v>10</c:v>
                </c:pt>
                <c:pt idx="20">
                  <c:v>12</c:v>
                </c:pt>
                <c:pt idx="21">
                  <c:v>8</c:v>
                </c:pt>
                <c:pt idx="22">
                  <c:v>13</c:v>
                </c:pt>
                <c:pt idx="23">
                  <c:v>11</c:v>
                </c:pt>
                <c:pt idx="24">
                  <c:v>17</c:v>
                </c:pt>
                <c:pt idx="25">
                  <c:v>21</c:v>
                </c:pt>
                <c:pt idx="26">
                  <c:v>20</c:v>
                </c:pt>
                <c:pt idx="27">
                  <c:v>16</c:v>
                </c:pt>
                <c:pt idx="28">
                  <c:v>15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9D-46FC-AF98-CCD20D4B6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06544"/>
        <c:axId val="253790224"/>
      </c:lineChart>
      <c:catAx>
        <c:axId val="253806544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790224"/>
        <c:crosses val="autoZero"/>
        <c:auto val="1"/>
        <c:lblAlgn val="ctr"/>
        <c:lblOffset val="100"/>
        <c:noMultiLvlLbl val="0"/>
      </c:catAx>
      <c:valAx>
        <c:axId val="2537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A2B4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'Main Performance'!$B$3:$B$301</c:f>
              <c:numCache>
                <c:formatCode>General</c:formatCode>
                <c:ptCount val="299"/>
                <c:pt idx="0">
                  <c:v>1220</c:v>
                </c:pt>
                <c:pt idx="1">
                  <c:v>969</c:v>
                </c:pt>
                <c:pt idx="2">
                  <c:v>1529</c:v>
                </c:pt>
                <c:pt idx="3">
                  <c:v>1382</c:v>
                </c:pt>
                <c:pt idx="4">
                  <c:v>1001</c:v>
                </c:pt>
                <c:pt idx="5">
                  <c:v>1019</c:v>
                </c:pt>
                <c:pt idx="6">
                  <c:v>1135</c:v>
                </c:pt>
                <c:pt idx="7">
                  <c:v>926</c:v>
                </c:pt>
                <c:pt idx="8">
                  <c:v>1192</c:v>
                </c:pt>
                <c:pt idx="9">
                  <c:v>1419</c:v>
                </c:pt>
                <c:pt idx="10">
                  <c:v>1241</c:v>
                </c:pt>
                <c:pt idx="11">
                  <c:v>1081</c:v>
                </c:pt>
                <c:pt idx="12">
                  <c:v>1119</c:v>
                </c:pt>
                <c:pt idx="13">
                  <c:v>948</c:v>
                </c:pt>
                <c:pt idx="14">
                  <c:v>1521</c:v>
                </c:pt>
                <c:pt idx="15">
                  <c:v>1151</c:v>
                </c:pt>
                <c:pt idx="16">
                  <c:v>1498</c:v>
                </c:pt>
                <c:pt idx="17">
                  <c:v>1057</c:v>
                </c:pt>
                <c:pt idx="18">
                  <c:v>1209</c:v>
                </c:pt>
                <c:pt idx="19">
                  <c:v>795</c:v>
                </c:pt>
                <c:pt idx="20">
                  <c:v>849</c:v>
                </c:pt>
                <c:pt idx="21">
                  <c:v>829</c:v>
                </c:pt>
                <c:pt idx="22">
                  <c:v>904</c:v>
                </c:pt>
                <c:pt idx="23">
                  <c:v>906</c:v>
                </c:pt>
                <c:pt idx="24">
                  <c:v>1169</c:v>
                </c:pt>
                <c:pt idx="25">
                  <c:v>1007</c:v>
                </c:pt>
                <c:pt idx="26">
                  <c:v>1106</c:v>
                </c:pt>
                <c:pt idx="27">
                  <c:v>1021</c:v>
                </c:pt>
                <c:pt idx="28">
                  <c:v>1017</c:v>
                </c:pt>
                <c:pt idx="29">
                  <c:v>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4-49F6-9C25-3668FE69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2687"/>
        <c:axId val="855635567"/>
      </c:lineChart>
      <c:dateAx>
        <c:axId val="855632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5567"/>
        <c:crosses val="autoZero"/>
        <c:auto val="1"/>
        <c:lblOffset val="100"/>
        <c:baseTimeUnit val="days"/>
      </c:dateAx>
      <c:valAx>
        <c:axId val="855635567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26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Followers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E94B6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'Main Performance'!$I$3:$I$301</c:f>
              <c:numCache>
                <c:formatCode>General</c:formatCode>
                <c:ptCount val="299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21</c:v>
                </c:pt>
                <c:pt idx="15">
                  <c:v>10</c:v>
                </c:pt>
                <c:pt idx="16">
                  <c:v>18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8</c:v>
                </c:pt>
                <c:pt idx="28">
                  <c:v>10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7-4F1F-B2A4-530E651C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0367"/>
        <c:axId val="855641807"/>
      </c:lineChart>
      <c:dateAx>
        <c:axId val="85564036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1807"/>
        <c:crosses val="autoZero"/>
        <c:auto val="1"/>
        <c:lblOffset val="100"/>
        <c:baseTimeUnit val="days"/>
      </c:dateAx>
      <c:valAx>
        <c:axId val="8556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036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6A34A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'Main Performance'!$J$3:$J$301</c:f>
              <c:numCache>
                <c:formatCode>General</c:formatCode>
                <c:ptCount val="299"/>
                <c:pt idx="0">
                  <c:v>57</c:v>
                </c:pt>
                <c:pt idx="1">
                  <c:v>55</c:v>
                </c:pt>
                <c:pt idx="2">
                  <c:v>69</c:v>
                </c:pt>
                <c:pt idx="3">
                  <c:v>72</c:v>
                </c:pt>
                <c:pt idx="4">
                  <c:v>57</c:v>
                </c:pt>
                <c:pt idx="5">
                  <c:v>60</c:v>
                </c:pt>
                <c:pt idx="6">
                  <c:v>44</c:v>
                </c:pt>
                <c:pt idx="7">
                  <c:v>55</c:v>
                </c:pt>
                <c:pt idx="8">
                  <c:v>67</c:v>
                </c:pt>
                <c:pt idx="9">
                  <c:v>68</c:v>
                </c:pt>
                <c:pt idx="10">
                  <c:v>54</c:v>
                </c:pt>
                <c:pt idx="11">
                  <c:v>55</c:v>
                </c:pt>
                <c:pt idx="12">
                  <c:v>74</c:v>
                </c:pt>
                <c:pt idx="13">
                  <c:v>68</c:v>
                </c:pt>
                <c:pt idx="14">
                  <c:v>71</c:v>
                </c:pt>
                <c:pt idx="15">
                  <c:v>76</c:v>
                </c:pt>
                <c:pt idx="16">
                  <c:v>76</c:v>
                </c:pt>
                <c:pt idx="17">
                  <c:v>54</c:v>
                </c:pt>
                <c:pt idx="18">
                  <c:v>60</c:v>
                </c:pt>
                <c:pt idx="19">
                  <c:v>39</c:v>
                </c:pt>
                <c:pt idx="20">
                  <c:v>52</c:v>
                </c:pt>
                <c:pt idx="21">
                  <c:v>38</c:v>
                </c:pt>
                <c:pt idx="22">
                  <c:v>55</c:v>
                </c:pt>
                <c:pt idx="23">
                  <c:v>46</c:v>
                </c:pt>
                <c:pt idx="24">
                  <c:v>47</c:v>
                </c:pt>
                <c:pt idx="25">
                  <c:v>51</c:v>
                </c:pt>
                <c:pt idx="26">
                  <c:v>75</c:v>
                </c:pt>
                <c:pt idx="27">
                  <c:v>69</c:v>
                </c:pt>
                <c:pt idx="28">
                  <c:v>67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9-460F-A1AF-8B5F5847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7007"/>
        <c:axId val="855646607"/>
      </c:lineChart>
      <c:dateAx>
        <c:axId val="8556370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607"/>
        <c:crosses val="autoZero"/>
        <c:auto val="1"/>
        <c:lblOffset val="100"/>
        <c:baseTimeUnit val="days"/>
      </c:dateAx>
      <c:valAx>
        <c:axId val="8556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70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Engagement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Performance'!$K$2</c:f>
              <c:strCache>
                <c:ptCount val="1"/>
                <c:pt idx="0">
                  <c:v>Engagement Rate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'Main Performance'!$K$3:$K$301</c:f>
              <c:numCache>
                <c:formatCode>0.00%</c:formatCode>
                <c:ptCount val="299"/>
                <c:pt idx="0">
                  <c:v>4.6721311475409838E-2</c:v>
                </c:pt>
                <c:pt idx="1">
                  <c:v>5.6759545923632609E-2</c:v>
                </c:pt>
                <c:pt idx="2">
                  <c:v>4.5127534336167431E-2</c:v>
                </c:pt>
                <c:pt idx="3">
                  <c:v>5.2098408104196817E-2</c:v>
                </c:pt>
                <c:pt idx="4">
                  <c:v>5.6943056943056944E-2</c:v>
                </c:pt>
                <c:pt idx="5">
                  <c:v>5.8881256133464184E-2</c:v>
                </c:pt>
                <c:pt idx="6">
                  <c:v>3.8766519823788544E-2</c:v>
                </c:pt>
                <c:pt idx="7">
                  <c:v>5.9395248380129592E-2</c:v>
                </c:pt>
                <c:pt idx="8">
                  <c:v>5.620805369127517E-2</c:v>
                </c:pt>
                <c:pt idx="9">
                  <c:v>4.7921071176885127E-2</c:v>
                </c:pt>
                <c:pt idx="10">
                  <c:v>4.3513295729250605E-2</c:v>
                </c:pt>
                <c:pt idx="11">
                  <c:v>5.0878815911193337E-2</c:v>
                </c:pt>
                <c:pt idx="12">
                  <c:v>6.6130473637176043E-2</c:v>
                </c:pt>
                <c:pt idx="13">
                  <c:v>7.1729957805907171E-2</c:v>
                </c:pt>
                <c:pt idx="14">
                  <c:v>4.6679815910585142E-2</c:v>
                </c:pt>
                <c:pt idx="15">
                  <c:v>6.6029539530842743E-2</c:v>
                </c:pt>
                <c:pt idx="16">
                  <c:v>5.0734312416555405E-2</c:v>
                </c:pt>
                <c:pt idx="17">
                  <c:v>5.1087984862819298E-2</c:v>
                </c:pt>
                <c:pt idx="18">
                  <c:v>4.9627791563275438E-2</c:v>
                </c:pt>
                <c:pt idx="19">
                  <c:v>4.9056603773584909E-2</c:v>
                </c:pt>
                <c:pt idx="20">
                  <c:v>6.1248527679623084E-2</c:v>
                </c:pt>
                <c:pt idx="21">
                  <c:v>4.5838359469240045E-2</c:v>
                </c:pt>
                <c:pt idx="22">
                  <c:v>6.0840707964601767E-2</c:v>
                </c:pt>
                <c:pt idx="23">
                  <c:v>5.0772626931567331E-2</c:v>
                </c:pt>
                <c:pt idx="24">
                  <c:v>4.0205303678357569E-2</c:v>
                </c:pt>
                <c:pt idx="25">
                  <c:v>5.0645481628599803E-2</c:v>
                </c:pt>
                <c:pt idx="26">
                  <c:v>6.7811934900542492E-2</c:v>
                </c:pt>
                <c:pt idx="27">
                  <c:v>6.7580803134182174E-2</c:v>
                </c:pt>
                <c:pt idx="28">
                  <c:v>6.5880039331366769E-2</c:v>
                </c:pt>
                <c:pt idx="29">
                  <c:v>5.518763796909492E-2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A-4BAC-BA4C-E306E2C4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1247"/>
        <c:axId val="855636047"/>
      </c:lineChart>
      <c:dateAx>
        <c:axId val="855631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6047"/>
        <c:crosses val="autoZero"/>
        <c:auto val="1"/>
        <c:lblOffset val="100"/>
        <c:baseTimeUnit val="days"/>
      </c:dateAx>
      <c:valAx>
        <c:axId val="855636047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124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1" i="0" u="none" strike="noStrike" kern="1200" spc="0" baseline="0">
                <a:solidFill>
                  <a:srgbClr val="1A2B4C"/>
                </a:solidFill>
              </a:rPr>
              <a:t>Brand Awareness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Performance'!$L$2</c:f>
              <c:strCache>
                <c:ptCount val="1"/>
                <c:pt idx="0">
                  <c:v>Brand Awareness</c:v>
                </c:pt>
              </c:strCache>
            </c:strRef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'Main Performance'!$L$3:$L$310</c:f>
              <c:numCache>
                <c:formatCode>General</c:formatCode>
                <c:ptCount val="308"/>
                <c:pt idx="0">
                  <c:v>119</c:v>
                </c:pt>
                <c:pt idx="1">
                  <c:v>84</c:v>
                </c:pt>
                <c:pt idx="2">
                  <c:v>109</c:v>
                </c:pt>
                <c:pt idx="3">
                  <c:v>93</c:v>
                </c:pt>
                <c:pt idx="4">
                  <c:v>76</c:v>
                </c:pt>
                <c:pt idx="5">
                  <c:v>62</c:v>
                </c:pt>
                <c:pt idx="6">
                  <c:v>91</c:v>
                </c:pt>
                <c:pt idx="7">
                  <c:v>69</c:v>
                </c:pt>
                <c:pt idx="8">
                  <c:v>88</c:v>
                </c:pt>
                <c:pt idx="9">
                  <c:v>87</c:v>
                </c:pt>
                <c:pt idx="10">
                  <c:v>104</c:v>
                </c:pt>
                <c:pt idx="11">
                  <c:v>80</c:v>
                </c:pt>
                <c:pt idx="12">
                  <c:v>85</c:v>
                </c:pt>
                <c:pt idx="13">
                  <c:v>54</c:v>
                </c:pt>
                <c:pt idx="14">
                  <c:v>132</c:v>
                </c:pt>
                <c:pt idx="15">
                  <c:v>93</c:v>
                </c:pt>
                <c:pt idx="16">
                  <c:v>112</c:v>
                </c:pt>
                <c:pt idx="17">
                  <c:v>96</c:v>
                </c:pt>
                <c:pt idx="18">
                  <c:v>65</c:v>
                </c:pt>
                <c:pt idx="19">
                  <c:v>51</c:v>
                </c:pt>
                <c:pt idx="20">
                  <c:v>46</c:v>
                </c:pt>
                <c:pt idx="21">
                  <c:v>56</c:v>
                </c:pt>
                <c:pt idx="22">
                  <c:v>71</c:v>
                </c:pt>
                <c:pt idx="23">
                  <c:v>68</c:v>
                </c:pt>
                <c:pt idx="24">
                  <c:v>86</c:v>
                </c:pt>
                <c:pt idx="25">
                  <c:v>72</c:v>
                </c:pt>
                <c:pt idx="26">
                  <c:v>78</c:v>
                </c:pt>
                <c:pt idx="27">
                  <c:v>89</c:v>
                </c:pt>
                <c:pt idx="28">
                  <c:v>80</c:v>
                </c:pt>
                <c:pt idx="2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7-46E4-A92C-C70524BE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6127"/>
        <c:axId val="855649967"/>
      </c:lineChart>
      <c:dateAx>
        <c:axId val="8556461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9967"/>
        <c:crosses val="autoZero"/>
        <c:auto val="1"/>
        <c:lblOffset val="100"/>
        <c:baseTimeUnit val="days"/>
      </c:dateAx>
      <c:valAx>
        <c:axId val="8556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12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2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A vs Period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2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2"/>
          <c:order val="0"/>
          <c:tx>
            <c:strRef>
              <c:f>Comparison!$F$2</c:f>
              <c:strCache>
                <c:ptCount val="1"/>
                <c:pt idx="0">
                  <c:v>Period A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Comparison!$E$3:$E$600</c:f>
              <c:numCache>
                <c:formatCode>General</c:formatCode>
                <c:ptCount val="5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Comparison!$F$3:$F$600</c:f>
              <c:numCache>
                <c:formatCode>General</c:formatCode>
                <c:ptCount val="598"/>
                <c:pt idx="0">
                  <c:v>37</c:v>
                </c:pt>
                <c:pt idx="1">
                  <c:v>28</c:v>
                </c:pt>
                <c:pt idx="2">
                  <c:v>41</c:v>
                </c:pt>
                <c:pt idx="3">
                  <c:v>42</c:v>
                </c:pt>
                <c:pt idx="4">
                  <c:v>37</c:v>
                </c:pt>
                <c:pt idx="5">
                  <c:v>35</c:v>
                </c:pt>
                <c:pt idx="6">
                  <c:v>23</c:v>
                </c:pt>
                <c:pt idx="7">
                  <c:v>34</c:v>
                </c:pt>
                <c:pt idx="8">
                  <c:v>41</c:v>
                </c:pt>
                <c:pt idx="9">
                  <c:v>38</c:v>
                </c:pt>
                <c:pt idx="10">
                  <c:v>35</c:v>
                </c:pt>
                <c:pt idx="11">
                  <c:v>34</c:v>
                </c:pt>
                <c:pt idx="12">
                  <c:v>45</c:v>
                </c:pt>
                <c:pt idx="13">
                  <c:v>44</c:v>
                </c:pt>
                <c:pt idx="14">
                  <c:v>35</c:v>
                </c:pt>
                <c:pt idx="15">
                  <c:v>40</c:v>
                </c:pt>
                <c:pt idx="16">
                  <c:v>42</c:v>
                </c:pt>
                <c:pt idx="17">
                  <c:v>31</c:v>
                </c:pt>
                <c:pt idx="18">
                  <c:v>35</c:v>
                </c:pt>
                <c:pt idx="19">
                  <c:v>22</c:v>
                </c:pt>
                <c:pt idx="20">
                  <c:v>34</c:v>
                </c:pt>
                <c:pt idx="21">
                  <c:v>22</c:v>
                </c:pt>
                <c:pt idx="22">
                  <c:v>34</c:v>
                </c:pt>
                <c:pt idx="23">
                  <c:v>28</c:v>
                </c:pt>
                <c:pt idx="24">
                  <c:v>21</c:v>
                </c:pt>
                <c:pt idx="25">
                  <c:v>22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76-4B71-852A-E8522283C5B6}"/>
            </c:ext>
          </c:extLst>
        </c:ser>
        <c:ser>
          <c:idx val="0"/>
          <c:order val="1"/>
          <c:tx>
            <c:strRef>
              <c:f>Comparison!$G$2</c:f>
              <c:strCache>
                <c:ptCount val="1"/>
                <c:pt idx="0">
                  <c:v>Period B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Comparison!$E$3:$E$600</c:f>
              <c:numCache>
                <c:formatCode>General</c:formatCode>
                <c:ptCount val="5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Comparison!$G$3:$G$600</c:f>
              <c:numCache>
                <c:formatCode>General</c:formatCode>
                <c:ptCount val="598"/>
                <c:pt idx="0">
                  <c:v>51</c:v>
                </c:pt>
                <c:pt idx="1">
                  <c:v>18</c:v>
                </c:pt>
                <c:pt idx="2">
                  <c:v>26</c:v>
                </c:pt>
                <c:pt idx="3">
                  <c:v>25</c:v>
                </c:pt>
                <c:pt idx="4">
                  <c:v>28</c:v>
                </c:pt>
                <c:pt idx="5">
                  <c:v>29</c:v>
                </c:pt>
                <c:pt idx="6">
                  <c:v>28</c:v>
                </c:pt>
                <c:pt idx="7">
                  <c:v>44</c:v>
                </c:pt>
                <c:pt idx="8">
                  <c:v>34</c:v>
                </c:pt>
                <c:pt idx="9">
                  <c:v>29</c:v>
                </c:pt>
                <c:pt idx="10">
                  <c:v>27</c:v>
                </c:pt>
                <c:pt idx="11">
                  <c:v>33</c:v>
                </c:pt>
                <c:pt idx="12">
                  <c:v>29</c:v>
                </c:pt>
                <c:pt idx="13">
                  <c:v>36</c:v>
                </c:pt>
                <c:pt idx="14">
                  <c:v>33</c:v>
                </c:pt>
                <c:pt idx="15">
                  <c:v>79</c:v>
                </c:pt>
                <c:pt idx="16">
                  <c:v>44</c:v>
                </c:pt>
                <c:pt idx="17">
                  <c:v>26</c:v>
                </c:pt>
                <c:pt idx="18">
                  <c:v>33</c:v>
                </c:pt>
                <c:pt idx="19">
                  <c:v>36</c:v>
                </c:pt>
                <c:pt idx="20">
                  <c:v>39</c:v>
                </c:pt>
                <c:pt idx="21">
                  <c:v>37</c:v>
                </c:pt>
                <c:pt idx="22">
                  <c:v>34</c:v>
                </c:pt>
                <c:pt idx="23">
                  <c:v>50</c:v>
                </c:pt>
                <c:pt idx="24">
                  <c:v>29</c:v>
                </c:pt>
                <c:pt idx="25">
                  <c:v>69</c:v>
                </c:pt>
                <c:pt idx="26">
                  <c:v>31</c:v>
                </c:pt>
                <c:pt idx="27">
                  <c:v>36</c:v>
                </c:pt>
                <c:pt idx="28">
                  <c:v>23</c:v>
                </c:pt>
                <c:pt idx="2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76-4B71-852A-E8522283C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57568"/>
        <c:axId val="240758048"/>
      </c:lineChart>
      <c:dateAx>
        <c:axId val="24075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Date (Period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8048"/>
        <c:crosses val="autoZero"/>
        <c:auto val="0"/>
        <c:lblOffset val="100"/>
        <c:baseTimeUnit val="days"/>
        <c:majorUnit val="2"/>
        <c:majorTimeUnit val="days"/>
      </c:dateAx>
      <c:valAx>
        <c:axId val="2407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7568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17</xdr:row>
      <xdr:rowOff>38582</xdr:rowOff>
    </xdr:from>
    <xdr:to>
      <xdr:col>8</xdr:col>
      <xdr:colOff>0</xdr:colOff>
      <xdr:row>42</xdr:row>
      <xdr:rowOff>0</xdr:rowOff>
    </xdr:to>
    <xdr:graphicFrame macro="">
      <xdr:nvGraphicFramePr>
        <xdr:cNvPr id="7" name="Performance Trends">
          <a:extLst>
            <a:ext uri="{FF2B5EF4-FFF2-40B4-BE49-F238E27FC236}">
              <a16:creationId xmlns:a16="http://schemas.microsoft.com/office/drawing/2014/main" id="{F5851FA9-AD8B-BB13-8017-DB1A35938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44</xdr:row>
      <xdr:rowOff>89277</xdr:rowOff>
    </xdr:from>
    <xdr:to>
      <xdr:col>3</xdr:col>
      <xdr:colOff>389949</xdr:colOff>
      <xdr:row>58</xdr:row>
      <xdr:rowOff>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CF65B82-AE55-DCE9-542E-1DD96E80C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368439</xdr:colOff>
      <xdr:row>44</xdr:row>
      <xdr:rowOff>89277</xdr:rowOff>
    </xdr:from>
    <xdr:to>
      <xdr:col>4</xdr:col>
      <xdr:colOff>733163</xdr:colOff>
      <xdr:row>58</xdr:row>
      <xdr:rowOff>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19266E7-EDD9-3B7E-CD36-B856DEB6B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736877</xdr:colOff>
      <xdr:row>44</xdr:row>
      <xdr:rowOff>89277</xdr:rowOff>
    </xdr:from>
    <xdr:to>
      <xdr:col>5</xdr:col>
      <xdr:colOff>1101601</xdr:colOff>
      <xdr:row>58</xdr:row>
      <xdr:rowOff>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9CF1D211-32E1-5EF4-690B-AB6373698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1105315</xdr:colOff>
      <xdr:row>44</xdr:row>
      <xdr:rowOff>89277</xdr:rowOff>
    </xdr:from>
    <xdr:to>
      <xdr:col>6</xdr:col>
      <xdr:colOff>1470039</xdr:colOff>
      <xdr:row>58</xdr:row>
      <xdr:rowOff>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A305613-A374-CC02-078B-6F3409D9C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1473753</xdr:colOff>
      <xdr:row>44</xdr:row>
      <xdr:rowOff>89277</xdr:rowOff>
    </xdr:from>
    <xdr:to>
      <xdr:col>8</xdr:col>
      <xdr:colOff>0</xdr:colOff>
      <xdr:row>58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50DEA3D-CA40-9678-8DF9-73D2662B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ompareOverlay">
          <a:extLst>
            <a:ext uri="{FF2B5EF4-FFF2-40B4-BE49-F238E27FC236}">
              <a16:creationId xmlns:a16="http://schemas.microsoft.com/office/drawing/2014/main" id="{0DBC4B00-E001-4EE8-B0B6-99934B059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1706</xdr:colOff>
      <xdr:row>17</xdr:row>
      <xdr:rowOff>56069</xdr:rowOff>
    </xdr:from>
    <xdr:to>
      <xdr:col>7</xdr:col>
      <xdr:colOff>1705970</xdr:colOff>
      <xdr:row>21</xdr:row>
      <xdr:rowOff>11370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etric">
              <a:extLst>
                <a:ext uri="{FF2B5EF4-FFF2-40B4-BE49-F238E27FC236}">
                  <a16:creationId xmlns:a16="http://schemas.microsoft.com/office/drawing/2014/main" id="{F8F8485E-F28F-CA22-37CF-E37A09DE8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ri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124" y="4559830"/>
              <a:ext cx="10290980" cy="683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ta" refreshedDate="46318.81611388889" createdVersion="8" refreshedVersion="8" minRefreshableVersion="3" recordCount="991" xr:uid="{68836216-65DA-4C1E-BC00-5D272F747357}">
  <cacheSource type="worksheet">
    <worksheetSource ref="A2:C2000" sheet="Pivot Area"/>
  </cacheSource>
  <cacheFields count="3">
    <cacheField name="Date" numFmtId="0">
      <sharedItems containsNonDate="0" containsDate="1" containsString="0" containsBlank="1" minDate="2026-09-24T00:00:00" maxDate="2026-10-24T00:00:00" count="31"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m/>
      </sharedItems>
    </cacheField>
    <cacheField name="Metric" numFmtId="0">
      <sharedItems containsBlank="1" count="12">
        <s v="Views"/>
        <s v="Total Watch Time (s)"/>
        <s v="Likes"/>
        <s v="Saves"/>
        <s v="Comments"/>
        <s v="Shares"/>
        <s v="Profile Visits"/>
        <s v="New Followers"/>
        <s v="Engagement"/>
        <s v="Engagement Rate"/>
        <s v="Brand Awareness"/>
        <m/>
      </sharedItems>
    </cacheField>
    <cacheField name="Value" numFmtId="0">
      <sharedItems containsString="0" containsBlank="1" containsNumber="1" minValue="3.8766519823788544E-2" maxValue="51346"/>
    </cacheField>
  </cacheFields>
  <extLst>
    <ext xmlns:x14="http://schemas.microsoft.com/office/spreadsheetml/2009/9/main" uri="{725AE2AE-9491-48be-B2B4-4EB974FC3084}">
      <x14:pivotCacheDefinition pivotCacheId="59437039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  <x v="0"/>
    <n v="1220"/>
  </r>
  <r>
    <x v="0"/>
    <x v="1"/>
    <n v="23421"/>
  </r>
  <r>
    <x v="0"/>
    <x v="2"/>
    <n v="37"/>
  </r>
  <r>
    <x v="0"/>
    <x v="3"/>
    <n v="13"/>
  </r>
  <r>
    <x v="0"/>
    <x v="4"/>
    <n v="3"/>
  </r>
  <r>
    <x v="0"/>
    <x v="5"/>
    <n v="4"/>
  </r>
  <r>
    <x v="0"/>
    <x v="6"/>
    <n v="106"/>
  </r>
  <r>
    <x v="0"/>
    <x v="7"/>
    <n v="13"/>
  </r>
  <r>
    <x v="0"/>
    <x v="8"/>
    <n v="57"/>
  </r>
  <r>
    <x v="0"/>
    <x v="9"/>
    <n v="4.6721311475409838E-2"/>
  </r>
  <r>
    <x v="0"/>
    <x v="10"/>
    <n v="119"/>
  </r>
  <r>
    <x v="1"/>
    <x v="0"/>
    <n v="969"/>
  </r>
  <r>
    <x v="1"/>
    <x v="1"/>
    <n v="17997"/>
  </r>
  <r>
    <x v="1"/>
    <x v="2"/>
    <n v="28"/>
  </r>
  <r>
    <x v="1"/>
    <x v="3"/>
    <n v="20"/>
  </r>
  <r>
    <x v="1"/>
    <x v="4"/>
    <n v="4"/>
  </r>
  <r>
    <x v="1"/>
    <x v="5"/>
    <n v="3"/>
  </r>
  <r>
    <x v="1"/>
    <x v="6"/>
    <n v="72"/>
  </r>
  <r>
    <x v="1"/>
    <x v="7"/>
    <n v="12"/>
  </r>
  <r>
    <x v="1"/>
    <x v="8"/>
    <n v="55"/>
  </r>
  <r>
    <x v="1"/>
    <x v="9"/>
    <n v="5.6759545923632609E-2"/>
  </r>
  <r>
    <x v="1"/>
    <x v="10"/>
    <n v="84"/>
  </r>
  <r>
    <x v="2"/>
    <x v="0"/>
    <n v="1529"/>
  </r>
  <r>
    <x v="2"/>
    <x v="1"/>
    <n v="49535"/>
  </r>
  <r>
    <x v="2"/>
    <x v="2"/>
    <n v="41"/>
  </r>
  <r>
    <x v="2"/>
    <x v="3"/>
    <n v="14"/>
  </r>
  <r>
    <x v="2"/>
    <x v="4"/>
    <n v="7"/>
  </r>
  <r>
    <x v="2"/>
    <x v="5"/>
    <n v="7"/>
  </r>
  <r>
    <x v="2"/>
    <x v="6"/>
    <n v="97"/>
  </r>
  <r>
    <x v="2"/>
    <x v="7"/>
    <n v="12"/>
  </r>
  <r>
    <x v="2"/>
    <x v="8"/>
    <n v="69"/>
  </r>
  <r>
    <x v="2"/>
    <x v="9"/>
    <n v="4.5127534336167431E-2"/>
  </r>
  <r>
    <x v="2"/>
    <x v="10"/>
    <n v="109"/>
  </r>
  <r>
    <x v="3"/>
    <x v="0"/>
    <n v="1382"/>
  </r>
  <r>
    <x v="3"/>
    <x v="1"/>
    <n v="42400"/>
  </r>
  <r>
    <x v="3"/>
    <x v="2"/>
    <n v="42"/>
  </r>
  <r>
    <x v="3"/>
    <x v="3"/>
    <n v="19"/>
  </r>
  <r>
    <x v="3"/>
    <x v="4"/>
    <n v="6"/>
  </r>
  <r>
    <x v="3"/>
    <x v="5"/>
    <n v="5"/>
  </r>
  <r>
    <x v="3"/>
    <x v="6"/>
    <n v="78"/>
  </r>
  <r>
    <x v="3"/>
    <x v="7"/>
    <n v="15"/>
  </r>
  <r>
    <x v="3"/>
    <x v="8"/>
    <n v="72"/>
  </r>
  <r>
    <x v="3"/>
    <x v="9"/>
    <n v="5.2098408104196817E-2"/>
  </r>
  <r>
    <x v="3"/>
    <x v="10"/>
    <n v="93"/>
  </r>
  <r>
    <x v="4"/>
    <x v="0"/>
    <n v="1001"/>
  </r>
  <r>
    <x v="4"/>
    <x v="1"/>
    <n v="19211"/>
  </r>
  <r>
    <x v="4"/>
    <x v="2"/>
    <n v="37"/>
  </r>
  <r>
    <x v="4"/>
    <x v="3"/>
    <n v="13"/>
  </r>
  <r>
    <x v="4"/>
    <x v="4"/>
    <n v="4"/>
  </r>
  <r>
    <x v="4"/>
    <x v="5"/>
    <n v="3"/>
  </r>
  <r>
    <x v="4"/>
    <x v="6"/>
    <n v="64"/>
  </r>
  <r>
    <x v="4"/>
    <x v="7"/>
    <n v="12"/>
  </r>
  <r>
    <x v="4"/>
    <x v="8"/>
    <n v="57"/>
  </r>
  <r>
    <x v="4"/>
    <x v="9"/>
    <n v="5.6943056943056944E-2"/>
  </r>
  <r>
    <x v="4"/>
    <x v="10"/>
    <n v="76"/>
  </r>
  <r>
    <x v="5"/>
    <x v="0"/>
    <n v="1019"/>
  </r>
  <r>
    <x v="5"/>
    <x v="1"/>
    <n v="28439"/>
  </r>
  <r>
    <x v="5"/>
    <x v="2"/>
    <n v="35"/>
  </r>
  <r>
    <x v="5"/>
    <x v="3"/>
    <n v="14"/>
  </r>
  <r>
    <x v="5"/>
    <x v="4"/>
    <n v="6"/>
  </r>
  <r>
    <x v="5"/>
    <x v="5"/>
    <n v="5"/>
  </r>
  <r>
    <x v="5"/>
    <x v="6"/>
    <n v="54"/>
  </r>
  <r>
    <x v="5"/>
    <x v="7"/>
    <n v="8"/>
  </r>
  <r>
    <x v="5"/>
    <x v="8"/>
    <n v="60"/>
  </r>
  <r>
    <x v="5"/>
    <x v="9"/>
    <n v="5.8881256133464184E-2"/>
  </r>
  <r>
    <x v="5"/>
    <x v="10"/>
    <n v="62"/>
  </r>
  <r>
    <x v="6"/>
    <x v="0"/>
    <n v="1135"/>
  </r>
  <r>
    <x v="6"/>
    <x v="1"/>
    <n v="34043"/>
  </r>
  <r>
    <x v="6"/>
    <x v="2"/>
    <n v="23"/>
  </r>
  <r>
    <x v="6"/>
    <x v="3"/>
    <n v="13"/>
  </r>
  <r>
    <x v="6"/>
    <x v="4"/>
    <n v="4"/>
  </r>
  <r>
    <x v="6"/>
    <x v="5"/>
    <n v="4"/>
  </r>
  <r>
    <x v="6"/>
    <x v="6"/>
    <n v="79"/>
  </r>
  <r>
    <x v="6"/>
    <x v="7"/>
    <n v="12"/>
  </r>
  <r>
    <x v="6"/>
    <x v="8"/>
    <n v="44"/>
  </r>
  <r>
    <x v="6"/>
    <x v="9"/>
    <n v="3.8766519823788544E-2"/>
  </r>
  <r>
    <x v="6"/>
    <x v="10"/>
    <n v="91"/>
  </r>
  <r>
    <x v="7"/>
    <x v="0"/>
    <n v="926"/>
  </r>
  <r>
    <x v="7"/>
    <x v="1"/>
    <n v="21875"/>
  </r>
  <r>
    <x v="7"/>
    <x v="2"/>
    <n v="34"/>
  </r>
  <r>
    <x v="7"/>
    <x v="3"/>
    <n v="11"/>
  </r>
  <r>
    <x v="7"/>
    <x v="4"/>
    <n v="4"/>
  </r>
  <r>
    <x v="7"/>
    <x v="5"/>
    <n v="6"/>
  </r>
  <r>
    <x v="7"/>
    <x v="6"/>
    <n v="60"/>
  </r>
  <r>
    <x v="7"/>
    <x v="7"/>
    <n v="9"/>
  </r>
  <r>
    <x v="7"/>
    <x v="8"/>
    <n v="55"/>
  </r>
  <r>
    <x v="7"/>
    <x v="9"/>
    <n v="5.9395248380129592E-2"/>
  </r>
  <r>
    <x v="7"/>
    <x v="10"/>
    <n v="69"/>
  </r>
  <r>
    <x v="8"/>
    <x v="0"/>
    <n v="1192"/>
  </r>
  <r>
    <x v="8"/>
    <x v="1"/>
    <n v="24450"/>
  </r>
  <r>
    <x v="8"/>
    <x v="2"/>
    <n v="41"/>
  </r>
  <r>
    <x v="8"/>
    <x v="3"/>
    <n v="18"/>
  </r>
  <r>
    <x v="8"/>
    <x v="4"/>
    <n v="4"/>
  </r>
  <r>
    <x v="8"/>
    <x v="5"/>
    <n v="4"/>
  </r>
  <r>
    <x v="8"/>
    <x v="6"/>
    <n v="77"/>
  </r>
  <r>
    <x v="8"/>
    <x v="7"/>
    <n v="11"/>
  </r>
  <r>
    <x v="8"/>
    <x v="8"/>
    <n v="67"/>
  </r>
  <r>
    <x v="8"/>
    <x v="9"/>
    <n v="5.620805369127517E-2"/>
  </r>
  <r>
    <x v="8"/>
    <x v="10"/>
    <n v="88"/>
  </r>
  <r>
    <x v="9"/>
    <x v="0"/>
    <n v="1419"/>
  </r>
  <r>
    <x v="9"/>
    <x v="1"/>
    <n v="51346"/>
  </r>
  <r>
    <x v="9"/>
    <x v="2"/>
    <n v="38"/>
  </r>
  <r>
    <x v="9"/>
    <x v="3"/>
    <n v="18"/>
  </r>
  <r>
    <x v="9"/>
    <x v="4"/>
    <n v="6"/>
  </r>
  <r>
    <x v="9"/>
    <x v="5"/>
    <n v="6"/>
  </r>
  <r>
    <x v="9"/>
    <x v="6"/>
    <n v="75"/>
  </r>
  <r>
    <x v="9"/>
    <x v="7"/>
    <n v="12"/>
  </r>
  <r>
    <x v="9"/>
    <x v="8"/>
    <n v="68"/>
  </r>
  <r>
    <x v="9"/>
    <x v="9"/>
    <n v="4.7921071176885127E-2"/>
  </r>
  <r>
    <x v="9"/>
    <x v="10"/>
    <n v="87"/>
  </r>
  <r>
    <x v="10"/>
    <x v="0"/>
    <n v="1241"/>
  </r>
  <r>
    <x v="10"/>
    <x v="1"/>
    <n v="40208"/>
  </r>
  <r>
    <x v="10"/>
    <x v="2"/>
    <n v="35"/>
  </r>
  <r>
    <x v="10"/>
    <x v="3"/>
    <n v="11"/>
  </r>
  <r>
    <x v="10"/>
    <x v="4"/>
    <n v="3"/>
  </r>
  <r>
    <x v="10"/>
    <x v="5"/>
    <n v="5"/>
  </r>
  <r>
    <x v="10"/>
    <x v="6"/>
    <n v="89"/>
  </r>
  <r>
    <x v="10"/>
    <x v="7"/>
    <n v="15"/>
  </r>
  <r>
    <x v="10"/>
    <x v="8"/>
    <n v="54"/>
  </r>
  <r>
    <x v="10"/>
    <x v="9"/>
    <n v="4.3513295729250605E-2"/>
  </r>
  <r>
    <x v="10"/>
    <x v="10"/>
    <n v="104"/>
  </r>
  <r>
    <x v="11"/>
    <x v="0"/>
    <n v="1081"/>
  </r>
  <r>
    <x v="11"/>
    <x v="1"/>
    <n v="37775"/>
  </r>
  <r>
    <x v="11"/>
    <x v="2"/>
    <n v="34"/>
  </r>
  <r>
    <x v="11"/>
    <x v="3"/>
    <n v="12"/>
  </r>
  <r>
    <x v="11"/>
    <x v="4"/>
    <n v="4"/>
  </r>
  <r>
    <x v="11"/>
    <x v="5"/>
    <n v="5"/>
  </r>
  <r>
    <x v="11"/>
    <x v="6"/>
    <n v="71"/>
  </r>
  <r>
    <x v="11"/>
    <x v="7"/>
    <n v="9"/>
  </r>
  <r>
    <x v="11"/>
    <x v="8"/>
    <n v="55"/>
  </r>
  <r>
    <x v="11"/>
    <x v="9"/>
    <n v="5.0878815911193337E-2"/>
  </r>
  <r>
    <x v="11"/>
    <x v="10"/>
    <n v="80"/>
  </r>
  <r>
    <x v="12"/>
    <x v="0"/>
    <n v="1119"/>
  </r>
  <r>
    <x v="12"/>
    <x v="1"/>
    <n v="25880"/>
  </r>
  <r>
    <x v="12"/>
    <x v="2"/>
    <n v="45"/>
  </r>
  <r>
    <x v="12"/>
    <x v="3"/>
    <n v="19"/>
  </r>
  <r>
    <x v="12"/>
    <x v="4"/>
    <n v="5"/>
  </r>
  <r>
    <x v="12"/>
    <x v="5"/>
    <n v="5"/>
  </r>
  <r>
    <x v="12"/>
    <x v="6"/>
    <n v="77"/>
  </r>
  <r>
    <x v="12"/>
    <x v="7"/>
    <n v="8"/>
  </r>
  <r>
    <x v="12"/>
    <x v="8"/>
    <n v="74"/>
  </r>
  <r>
    <x v="12"/>
    <x v="9"/>
    <n v="6.6130473637176043E-2"/>
  </r>
  <r>
    <x v="12"/>
    <x v="10"/>
    <n v="85"/>
  </r>
  <r>
    <x v="13"/>
    <x v="0"/>
    <n v="948"/>
  </r>
  <r>
    <x v="13"/>
    <x v="1"/>
    <n v="32039"/>
  </r>
  <r>
    <x v="13"/>
    <x v="2"/>
    <n v="44"/>
  </r>
  <r>
    <x v="13"/>
    <x v="3"/>
    <n v="17"/>
  </r>
  <r>
    <x v="13"/>
    <x v="4"/>
    <n v="4"/>
  </r>
  <r>
    <x v="13"/>
    <x v="5"/>
    <n v="3"/>
  </r>
  <r>
    <x v="13"/>
    <x v="6"/>
    <n v="45"/>
  </r>
  <r>
    <x v="13"/>
    <x v="7"/>
    <n v="9"/>
  </r>
  <r>
    <x v="13"/>
    <x v="8"/>
    <n v="68"/>
  </r>
  <r>
    <x v="13"/>
    <x v="9"/>
    <n v="7.1729957805907171E-2"/>
  </r>
  <r>
    <x v="13"/>
    <x v="10"/>
    <n v="54"/>
  </r>
  <r>
    <x v="14"/>
    <x v="0"/>
    <n v="1521"/>
  </r>
  <r>
    <x v="14"/>
    <x v="1"/>
    <n v="43731"/>
  </r>
  <r>
    <x v="14"/>
    <x v="2"/>
    <n v="35"/>
  </r>
  <r>
    <x v="14"/>
    <x v="3"/>
    <n v="24"/>
  </r>
  <r>
    <x v="14"/>
    <x v="4"/>
    <n v="5"/>
  </r>
  <r>
    <x v="14"/>
    <x v="5"/>
    <n v="7"/>
  </r>
  <r>
    <x v="14"/>
    <x v="6"/>
    <n v="111"/>
  </r>
  <r>
    <x v="14"/>
    <x v="7"/>
    <n v="21"/>
  </r>
  <r>
    <x v="14"/>
    <x v="8"/>
    <n v="71"/>
  </r>
  <r>
    <x v="14"/>
    <x v="9"/>
    <n v="4.6679815910585142E-2"/>
  </r>
  <r>
    <x v="14"/>
    <x v="10"/>
    <n v="132"/>
  </r>
  <r>
    <x v="15"/>
    <x v="0"/>
    <n v="1151"/>
  </r>
  <r>
    <x v="15"/>
    <x v="1"/>
    <n v="21771"/>
  </r>
  <r>
    <x v="15"/>
    <x v="2"/>
    <n v="40"/>
  </r>
  <r>
    <x v="15"/>
    <x v="3"/>
    <n v="24"/>
  </r>
  <r>
    <x v="15"/>
    <x v="4"/>
    <n v="5"/>
  </r>
  <r>
    <x v="15"/>
    <x v="5"/>
    <n v="7"/>
  </r>
  <r>
    <x v="15"/>
    <x v="6"/>
    <n v="83"/>
  </r>
  <r>
    <x v="15"/>
    <x v="7"/>
    <n v="10"/>
  </r>
  <r>
    <x v="15"/>
    <x v="8"/>
    <n v="76"/>
  </r>
  <r>
    <x v="15"/>
    <x v="9"/>
    <n v="6.6029539530842743E-2"/>
  </r>
  <r>
    <x v="15"/>
    <x v="10"/>
    <n v="93"/>
  </r>
  <r>
    <x v="16"/>
    <x v="0"/>
    <n v="1498"/>
  </r>
  <r>
    <x v="16"/>
    <x v="1"/>
    <n v="49489"/>
  </r>
  <r>
    <x v="16"/>
    <x v="2"/>
    <n v="42"/>
  </r>
  <r>
    <x v="16"/>
    <x v="3"/>
    <n v="21"/>
  </r>
  <r>
    <x v="16"/>
    <x v="4"/>
    <n v="6"/>
  </r>
  <r>
    <x v="16"/>
    <x v="5"/>
    <n v="7"/>
  </r>
  <r>
    <x v="16"/>
    <x v="6"/>
    <n v="94"/>
  </r>
  <r>
    <x v="16"/>
    <x v="7"/>
    <n v="18"/>
  </r>
  <r>
    <x v="16"/>
    <x v="8"/>
    <n v="76"/>
  </r>
  <r>
    <x v="16"/>
    <x v="9"/>
    <n v="5.0734312416555405E-2"/>
  </r>
  <r>
    <x v="16"/>
    <x v="10"/>
    <n v="112"/>
  </r>
  <r>
    <x v="17"/>
    <x v="0"/>
    <n v="1057"/>
  </r>
  <r>
    <x v="17"/>
    <x v="1"/>
    <n v="33254"/>
  </r>
  <r>
    <x v="17"/>
    <x v="2"/>
    <n v="31"/>
  </r>
  <r>
    <x v="17"/>
    <x v="3"/>
    <n v="15"/>
  </r>
  <r>
    <x v="17"/>
    <x v="4"/>
    <n v="4"/>
  </r>
  <r>
    <x v="17"/>
    <x v="5"/>
    <n v="4"/>
  </r>
  <r>
    <x v="17"/>
    <x v="6"/>
    <n v="89"/>
  </r>
  <r>
    <x v="17"/>
    <x v="7"/>
    <n v="7"/>
  </r>
  <r>
    <x v="17"/>
    <x v="8"/>
    <n v="54"/>
  </r>
  <r>
    <x v="17"/>
    <x v="9"/>
    <n v="5.1087984862819298E-2"/>
  </r>
  <r>
    <x v="17"/>
    <x v="10"/>
    <n v="96"/>
  </r>
  <r>
    <x v="18"/>
    <x v="0"/>
    <n v="1209"/>
  </r>
  <r>
    <x v="18"/>
    <x v="1"/>
    <n v="35549"/>
  </r>
  <r>
    <x v="18"/>
    <x v="2"/>
    <n v="35"/>
  </r>
  <r>
    <x v="18"/>
    <x v="3"/>
    <n v="18"/>
  </r>
  <r>
    <x v="18"/>
    <x v="4"/>
    <n v="3"/>
  </r>
  <r>
    <x v="18"/>
    <x v="5"/>
    <n v="4"/>
  </r>
  <r>
    <x v="18"/>
    <x v="6"/>
    <n v="56"/>
  </r>
  <r>
    <x v="18"/>
    <x v="7"/>
    <n v="9"/>
  </r>
  <r>
    <x v="18"/>
    <x v="8"/>
    <n v="60"/>
  </r>
  <r>
    <x v="18"/>
    <x v="9"/>
    <n v="4.9627791563275438E-2"/>
  </r>
  <r>
    <x v="18"/>
    <x v="10"/>
    <n v="65"/>
  </r>
  <r>
    <x v="19"/>
    <x v="0"/>
    <n v="795"/>
  </r>
  <r>
    <x v="19"/>
    <x v="1"/>
    <n v="27632"/>
  </r>
  <r>
    <x v="19"/>
    <x v="2"/>
    <n v="22"/>
  </r>
  <r>
    <x v="19"/>
    <x v="3"/>
    <n v="10"/>
  </r>
  <r>
    <x v="19"/>
    <x v="4"/>
    <n v="3"/>
  </r>
  <r>
    <x v="19"/>
    <x v="5"/>
    <n v="4"/>
  </r>
  <r>
    <x v="19"/>
    <x v="6"/>
    <n v="44"/>
  </r>
  <r>
    <x v="19"/>
    <x v="7"/>
    <n v="7"/>
  </r>
  <r>
    <x v="19"/>
    <x v="8"/>
    <n v="39"/>
  </r>
  <r>
    <x v="19"/>
    <x v="9"/>
    <n v="4.9056603773584909E-2"/>
  </r>
  <r>
    <x v="19"/>
    <x v="10"/>
    <n v="51"/>
  </r>
  <r>
    <x v="20"/>
    <x v="0"/>
    <n v="849"/>
  </r>
  <r>
    <x v="20"/>
    <x v="1"/>
    <n v="21680"/>
  </r>
  <r>
    <x v="20"/>
    <x v="2"/>
    <n v="34"/>
  </r>
  <r>
    <x v="20"/>
    <x v="3"/>
    <n v="12"/>
  </r>
  <r>
    <x v="20"/>
    <x v="4"/>
    <n v="3"/>
  </r>
  <r>
    <x v="20"/>
    <x v="5"/>
    <n v="3"/>
  </r>
  <r>
    <x v="20"/>
    <x v="6"/>
    <n v="37"/>
  </r>
  <r>
    <x v="20"/>
    <x v="7"/>
    <n v="9"/>
  </r>
  <r>
    <x v="20"/>
    <x v="8"/>
    <n v="52"/>
  </r>
  <r>
    <x v="20"/>
    <x v="9"/>
    <n v="6.1248527679623084E-2"/>
  </r>
  <r>
    <x v="20"/>
    <x v="10"/>
    <n v="46"/>
  </r>
  <r>
    <x v="21"/>
    <x v="0"/>
    <n v="829"/>
  </r>
  <r>
    <x v="21"/>
    <x v="1"/>
    <n v="20207"/>
  </r>
  <r>
    <x v="21"/>
    <x v="2"/>
    <n v="22"/>
  </r>
  <r>
    <x v="21"/>
    <x v="3"/>
    <n v="8"/>
  </r>
  <r>
    <x v="21"/>
    <x v="4"/>
    <n v="4"/>
  </r>
  <r>
    <x v="21"/>
    <x v="5"/>
    <n v="4"/>
  </r>
  <r>
    <x v="21"/>
    <x v="6"/>
    <n v="47"/>
  </r>
  <r>
    <x v="21"/>
    <x v="7"/>
    <n v="9"/>
  </r>
  <r>
    <x v="21"/>
    <x v="8"/>
    <n v="38"/>
  </r>
  <r>
    <x v="21"/>
    <x v="9"/>
    <n v="4.5838359469240045E-2"/>
  </r>
  <r>
    <x v="21"/>
    <x v="10"/>
    <n v="56"/>
  </r>
  <r>
    <x v="22"/>
    <x v="0"/>
    <n v="904"/>
  </r>
  <r>
    <x v="22"/>
    <x v="1"/>
    <n v="27867"/>
  </r>
  <r>
    <x v="22"/>
    <x v="2"/>
    <n v="34"/>
  </r>
  <r>
    <x v="22"/>
    <x v="3"/>
    <n v="13"/>
  </r>
  <r>
    <x v="22"/>
    <x v="4"/>
    <n v="5"/>
  </r>
  <r>
    <x v="22"/>
    <x v="5"/>
    <n v="3"/>
  </r>
  <r>
    <x v="22"/>
    <x v="6"/>
    <n v="60"/>
  </r>
  <r>
    <x v="22"/>
    <x v="7"/>
    <n v="11"/>
  </r>
  <r>
    <x v="22"/>
    <x v="8"/>
    <n v="55"/>
  </r>
  <r>
    <x v="22"/>
    <x v="9"/>
    <n v="6.0840707964601767E-2"/>
  </r>
  <r>
    <x v="22"/>
    <x v="10"/>
    <n v="71"/>
  </r>
  <r>
    <x v="23"/>
    <x v="0"/>
    <n v="906"/>
  </r>
  <r>
    <x v="23"/>
    <x v="1"/>
    <n v="17414"/>
  </r>
  <r>
    <x v="23"/>
    <x v="2"/>
    <n v="28"/>
  </r>
  <r>
    <x v="23"/>
    <x v="3"/>
    <n v="11"/>
  </r>
  <r>
    <x v="23"/>
    <x v="4"/>
    <n v="4"/>
  </r>
  <r>
    <x v="23"/>
    <x v="5"/>
    <n v="3"/>
  </r>
  <r>
    <x v="23"/>
    <x v="6"/>
    <n v="58"/>
  </r>
  <r>
    <x v="23"/>
    <x v="7"/>
    <n v="10"/>
  </r>
  <r>
    <x v="23"/>
    <x v="8"/>
    <n v="46"/>
  </r>
  <r>
    <x v="23"/>
    <x v="9"/>
    <n v="5.0772626931567331E-2"/>
  </r>
  <r>
    <x v="23"/>
    <x v="10"/>
    <n v="68"/>
  </r>
  <r>
    <x v="24"/>
    <x v="0"/>
    <n v="1169"/>
  </r>
  <r>
    <x v="24"/>
    <x v="1"/>
    <n v="37892"/>
  </r>
  <r>
    <x v="24"/>
    <x v="2"/>
    <n v="21"/>
  </r>
  <r>
    <x v="24"/>
    <x v="3"/>
    <n v="17"/>
  </r>
  <r>
    <x v="24"/>
    <x v="4"/>
    <n v="4"/>
  </r>
  <r>
    <x v="24"/>
    <x v="5"/>
    <n v="5"/>
  </r>
  <r>
    <x v="24"/>
    <x v="6"/>
    <n v="78"/>
  </r>
  <r>
    <x v="24"/>
    <x v="7"/>
    <n v="8"/>
  </r>
  <r>
    <x v="24"/>
    <x v="8"/>
    <n v="47"/>
  </r>
  <r>
    <x v="24"/>
    <x v="9"/>
    <n v="4.0205303678357569E-2"/>
  </r>
  <r>
    <x v="24"/>
    <x v="10"/>
    <n v="86"/>
  </r>
  <r>
    <x v="25"/>
    <x v="0"/>
    <n v="1007"/>
  </r>
  <r>
    <x v="25"/>
    <x v="1"/>
    <n v="19251"/>
  </r>
  <r>
    <x v="25"/>
    <x v="2"/>
    <n v="22"/>
  </r>
  <r>
    <x v="25"/>
    <x v="3"/>
    <n v="21"/>
  </r>
  <r>
    <x v="25"/>
    <x v="4"/>
    <n v="4"/>
  </r>
  <r>
    <x v="25"/>
    <x v="5"/>
    <n v="4"/>
  </r>
  <r>
    <x v="25"/>
    <x v="6"/>
    <n v="62"/>
  </r>
  <r>
    <x v="25"/>
    <x v="7"/>
    <n v="10"/>
  </r>
  <r>
    <x v="25"/>
    <x v="8"/>
    <n v="51"/>
  </r>
  <r>
    <x v="25"/>
    <x v="9"/>
    <n v="5.0645481628599803E-2"/>
  </r>
  <r>
    <x v="25"/>
    <x v="10"/>
    <n v="72"/>
  </r>
  <r>
    <x v="26"/>
    <x v="0"/>
    <n v="1106"/>
  </r>
  <r>
    <x v="26"/>
    <x v="1"/>
    <n v="26064"/>
  </r>
  <r>
    <x v="26"/>
    <x v="2"/>
    <n v="46"/>
  </r>
  <r>
    <x v="26"/>
    <x v="3"/>
    <n v="20"/>
  </r>
  <r>
    <x v="26"/>
    <x v="4"/>
    <n v="4"/>
  </r>
  <r>
    <x v="26"/>
    <x v="5"/>
    <n v="5"/>
  </r>
  <r>
    <x v="26"/>
    <x v="6"/>
    <n v="66"/>
  </r>
  <r>
    <x v="26"/>
    <x v="7"/>
    <n v="12"/>
  </r>
  <r>
    <x v="26"/>
    <x v="8"/>
    <n v="75"/>
  </r>
  <r>
    <x v="26"/>
    <x v="9"/>
    <n v="6.7811934900542492E-2"/>
  </r>
  <r>
    <x v="26"/>
    <x v="10"/>
    <n v="78"/>
  </r>
  <r>
    <x v="27"/>
    <x v="0"/>
    <n v="1021"/>
  </r>
  <r>
    <x v="27"/>
    <x v="1"/>
    <n v="28490"/>
  </r>
  <r>
    <x v="27"/>
    <x v="2"/>
    <n v="46"/>
  </r>
  <r>
    <x v="27"/>
    <x v="3"/>
    <n v="16"/>
  </r>
  <r>
    <x v="27"/>
    <x v="4"/>
    <n v="3"/>
  </r>
  <r>
    <x v="27"/>
    <x v="5"/>
    <n v="4"/>
  </r>
  <r>
    <x v="27"/>
    <x v="6"/>
    <n v="81"/>
  </r>
  <r>
    <x v="27"/>
    <x v="7"/>
    <n v="8"/>
  </r>
  <r>
    <x v="27"/>
    <x v="8"/>
    <n v="69"/>
  </r>
  <r>
    <x v="27"/>
    <x v="9"/>
    <n v="6.7580803134182174E-2"/>
  </r>
  <r>
    <x v="27"/>
    <x v="10"/>
    <n v="89"/>
  </r>
  <r>
    <x v="28"/>
    <x v="0"/>
    <n v="1017"/>
  </r>
  <r>
    <x v="28"/>
    <x v="1"/>
    <n v="30690"/>
  </r>
  <r>
    <x v="28"/>
    <x v="2"/>
    <n v="45"/>
  </r>
  <r>
    <x v="28"/>
    <x v="3"/>
    <n v="15"/>
  </r>
  <r>
    <x v="28"/>
    <x v="4"/>
    <n v="3"/>
  </r>
  <r>
    <x v="28"/>
    <x v="5"/>
    <n v="4"/>
  </r>
  <r>
    <x v="28"/>
    <x v="6"/>
    <n v="70"/>
  </r>
  <r>
    <x v="28"/>
    <x v="7"/>
    <n v="10"/>
  </r>
  <r>
    <x v="28"/>
    <x v="8"/>
    <n v="67"/>
  </r>
  <r>
    <x v="28"/>
    <x v="9"/>
    <n v="6.5880039331366769E-2"/>
  </r>
  <r>
    <x v="28"/>
    <x v="10"/>
    <n v="80"/>
  </r>
  <r>
    <x v="29"/>
    <x v="0"/>
    <n v="906"/>
  </r>
  <r>
    <x v="29"/>
    <x v="1"/>
    <n v="15541"/>
  </r>
  <r>
    <x v="29"/>
    <x v="2"/>
    <n v="31"/>
  </r>
  <r>
    <x v="29"/>
    <x v="3"/>
    <n v="11"/>
  </r>
  <r>
    <x v="29"/>
    <x v="4"/>
    <n v="4"/>
  </r>
  <r>
    <x v="29"/>
    <x v="5"/>
    <n v="4"/>
  </r>
  <r>
    <x v="29"/>
    <x v="6"/>
    <n v="59"/>
  </r>
  <r>
    <x v="29"/>
    <x v="7"/>
    <n v="8"/>
  </r>
  <r>
    <x v="29"/>
    <x v="8"/>
    <n v="50"/>
  </r>
  <r>
    <x v="29"/>
    <x v="9"/>
    <n v="5.518763796909492E-2"/>
  </r>
  <r>
    <x v="29"/>
    <x v="10"/>
    <n v="67"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A6151-DD8A-46E1-8899-72D52344B477}" name="MultiPivot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4">
  <location ref="E2:J34" firstHeaderRow="1" firstDataRow="2" firstDataCol="1"/>
  <pivotFields count="3">
    <pivotField axis="axisRow" compact="0" outline="0" showAll="0">
      <items count="32">
        <item h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compact="0" outline="0" showAll="0">
      <items count="13">
        <item h="1" x="10"/>
        <item x="4"/>
        <item h="1" x="8"/>
        <item h="1" x="9"/>
        <item x="2"/>
        <item x="7"/>
        <item h="1" x="6"/>
        <item x="3"/>
        <item h="1" x="5"/>
        <item h="1" x="1"/>
        <item h="1" x="0"/>
        <item h="1" x="11"/>
        <item t="default"/>
      </items>
    </pivotField>
    <pivotField dataField="1" compact="0" outline="0" showAll="0"/>
  </pivotFields>
  <rowFields count="1">
    <field x="0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5">
    <i>
      <x v="1"/>
    </i>
    <i>
      <x v="4"/>
    </i>
    <i>
      <x v="5"/>
    </i>
    <i>
      <x v="7"/>
    </i>
    <i t="grand">
      <x/>
    </i>
  </colItems>
  <dataFields count="1">
    <dataField name="Sum of Value" fld="2" baseField="0" baseItem="0"/>
  </dataFields>
  <formats count="1">
    <format dxfId="30">
      <pivotArea dataOnly="0" labelOnly="1" grandRow="1" outline="0" fieldPosition="0"/>
    </format>
  </formats>
  <chartFormats count="20">
    <chartFormat chart="0" format="4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4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4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4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4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4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5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5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5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5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etric" xr10:uid="{9B907597-C0C4-44AE-9D1D-5CBB5400D056}" sourceName="Metric">
  <pivotTables>
    <pivotTable tabId="8" name="MultiPivot"/>
  </pivotTables>
  <data>
    <tabular pivotCacheId="594370395" showMissing="0">
      <items count="12">
        <i x="10"/>
        <i x="4" s="1"/>
        <i x="8"/>
        <i x="9"/>
        <i x="2" s="1"/>
        <i x="7" s="1"/>
        <i x="6"/>
        <i x="3" s="1"/>
        <i x="5"/>
        <i x="1"/>
        <i x="0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tric" xr10:uid="{46F4B5EF-92CE-4BCF-B8AE-D2B363BE0F0E}" cache="Segment_Metric" caption="Metric" columnCount="1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CD62A-427D-4791-B6AA-3CBD88EAFAAE}" name="DataTbl" displayName="DataTbl" ref="A2:L757" totalsRowShown="0" headerRowDxfId="44" dataDxfId="43">
  <autoFilter ref="A2:L757" xr:uid="{0B7CD62A-427D-4791-B6AA-3CBD88EAFAAE}"/>
  <tableColumns count="12">
    <tableColumn id="1" xr3:uid="{37ABF570-10C1-4188-85D5-CCBD4242CD7F}" name="Date" dataDxfId="42"/>
    <tableColumn id="2" xr3:uid="{4BFA5245-ECBE-49D6-BDAD-F12D13DDE42F}" name="Views" dataDxfId="41"/>
    <tableColumn id="3" xr3:uid="{DC8D18C5-0FDF-4B3E-A16B-6EB9E94A78C1}" name="Total Watch Time (s)" dataDxfId="40"/>
    <tableColumn id="4" xr3:uid="{812D4728-F731-4760-878E-15F54B66AA4D}" name="Likes" dataDxfId="39"/>
    <tableColumn id="5" xr3:uid="{98261116-BB3D-437A-A9FB-6B2CB85D9E2E}" name="Saves" dataDxfId="38"/>
    <tableColumn id="6" xr3:uid="{A3189A57-B0AF-48A6-9EE9-37F2BE7A715E}" name="Comments" dataDxfId="37"/>
    <tableColumn id="7" xr3:uid="{861C9197-4FFA-40F5-945C-B3F14A16ADF5}" name="Shares" dataDxfId="36"/>
    <tableColumn id="8" xr3:uid="{49123F6A-2121-4AB4-A962-E2D0BADE0F4B}" name="Profile Visits" dataDxfId="35"/>
    <tableColumn id="9" xr3:uid="{B23227C1-4EB2-43D8-AC74-5217ECE5D2B5}" name="New Followers" dataDxfId="34"/>
    <tableColumn id="10" xr3:uid="{51D6F536-756F-4513-A4A7-B66BDF8AED01}" name="Engagement" dataDxfId="33">
      <calculatedColumnFormula>SUM(DataTbl[[#This Row],[Likes]:[Shares]])</calculatedColumnFormula>
    </tableColumn>
    <tableColumn id="12" xr3:uid="{905D5602-DF09-4F2A-8EE9-A185A6EDCA67}" name="Engagement Rate" dataDxfId="32">
      <calculatedColumnFormula>DataTbl[[#This Row],[Engagement]]/DataTbl[[#This Row],[Views]]</calculatedColumnFormula>
    </tableColumn>
    <tableColumn id="11" xr3:uid="{BCDB4F10-63B4-4839-A95F-3A254E4B2D85}" name="Brand Awareness" dataDxfId="31">
      <calculatedColumnFormula>SUM(DataTbl[[#This Row],[Profile Visits]:[New Followers]])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8210EE9-E90B-49C5-AE72-ED64719D602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ce349d9-5b4b-4b47-ab98-a24adadc476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BCF107-EB35-40A4-97EA-D1959EF84FA0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6FF3423-63AE-4462-AA5B-6D37C9F9F1F9}">
  <we:reference id="7c3929fd-ffc8-4fa9-a64b-25dff355e46d" version="1.0.0.8" store="EXCatalog" storeType="EXCatalog"/>
  <we:alternateReferences>
    <we:reference id="WA200006575" version="1.0.0.8" store="fr-F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7528-684F-4BCA-ADFC-F75C993B990D}">
  <sheetPr>
    <tabColor rgb="FF2E86AB"/>
  </sheetPr>
  <dimension ref="A1:AJ297"/>
  <sheetViews>
    <sheetView tabSelected="1" zoomScale="67" zoomScaleNormal="70" workbookViewId="0">
      <selection activeCell="G17" sqref="G17"/>
    </sheetView>
  </sheetViews>
  <sheetFormatPr baseColWidth="10" defaultRowHeight="14.4" x14ac:dyDescent="0.3"/>
  <cols>
    <col min="1" max="1" width="2.88671875" style="1" customWidth="1"/>
    <col min="2" max="2" width="4.5546875" customWidth="1"/>
    <col min="3" max="8" width="25.109375" customWidth="1"/>
    <col min="9" max="9" width="0.77734375" customWidth="1"/>
    <col min="10" max="10" width="3.33203125" customWidth="1"/>
    <col min="11" max="11" width="34.77734375" customWidth="1"/>
    <col min="12" max="15" width="22.77734375" customWidth="1"/>
    <col min="16" max="16" width="25.109375" customWidth="1"/>
    <col min="29" max="48" width="11.5546875" customWidth="1"/>
  </cols>
  <sheetData>
    <row r="1" spans="2:28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42" customHeight="1" x14ac:dyDescent="0.3">
      <c r="B2" s="1"/>
      <c r="C2" s="86" t="s">
        <v>27</v>
      </c>
      <c r="D2" s="86"/>
      <c r="E2" s="86"/>
      <c r="F2" s="86"/>
      <c r="G2" s="86"/>
      <c r="H2" s="86"/>
      <c r="I2" s="41"/>
      <c r="J2" s="41"/>
      <c r="K2" s="41"/>
      <c r="L2" s="41"/>
      <c r="M2" s="41"/>
      <c r="N2" s="41"/>
      <c r="O2" s="41"/>
      <c r="P2" s="4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2" customHeight="1" x14ac:dyDescent="0.3">
      <c r="B3" s="1"/>
      <c r="C3" s="87" t="s">
        <v>28</v>
      </c>
      <c r="D3" s="87"/>
      <c r="E3" s="87"/>
      <c r="F3" s="87"/>
      <c r="G3" s="87"/>
      <c r="H3" s="87"/>
      <c r="I3" s="40"/>
      <c r="J3" s="40"/>
      <c r="K3" s="40"/>
      <c r="L3" s="40"/>
      <c r="M3" s="40"/>
      <c r="N3" s="40"/>
      <c r="O3" s="40"/>
      <c r="P3" s="4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3.95" customHeight="1" x14ac:dyDescent="0.3">
      <c r="B4" s="1"/>
      <c r="C4" s="3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 x14ac:dyDescent="0.3">
      <c r="B5" s="1"/>
      <c r="C5" s="12" t="s">
        <v>29</v>
      </c>
      <c r="D5" s="1"/>
      <c r="E5" s="1"/>
      <c r="F5" s="1"/>
      <c r="G5" s="1"/>
      <c r="H5" s="1"/>
      <c r="I5" s="1"/>
      <c r="J5" s="1"/>
      <c r="K5" s="12" t="s">
        <v>30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2:28" ht="15" thickBot="1" x14ac:dyDescent="0.35">
      <c r="B6" s="1"/>
      <c r="C6" s="2" t="s">
        <v>31</v>
      </c>
      <c r="D6" s="85" t="s">
        <v>32</v>
      </c>
      <c r="E6" s="85" t="s">
        <v>33</v>
      </c>
      <c r="F6" s="85" t="s">
        <v>34</v>
      </c>
      <c r="G6" s="9"/>
      <c r="H6" s="9"/>
      <c r="I6" s="1"/>
      <c r="J6" s="1"/>
      <c r="K6" s="2" t="s">
        <v>35</v>
      </c>
      <c r="L6" s="85" t="s">
        <v>36</v>
      </c>
      <c r="M6" s="85" t="s">
        <v>37</v>
      </c>
      <c r="N6" s="85" t="s">
        <v>38</v>
      </c>
      <c r="O6" s="85" t="s">
        <v>39</v>
      </c>
      <c r="P6" s="85" t="s">
        <v>34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2:28" ht="26.4" customHeight="1" thickBot="1" x14ac:dyDescent="0.35">
      <c r="B7" s="1"/>
      <c r="C7" s="31" t="s">
        <v>40</v>
      </c>
      <c r="D7" s="60" cm="1">
        <f t="array" ref="D7">_xlfn.IFS($C$7="All Dates",MIN(DataTbl[Date]),$C$7="Last 7 Days",MAX(DataTbl[Date])-6,$C$7="Last 30 Days",MAX(DataTbl[Date])-29,$C$7="Last 90 Days",MAX(DataTbl[Date])-89,$C$7="Custom",$D$8,TRUE,MAX(DataTbl[Date])-29)</f>
        <v>46289</v>
      </c>
      <c r="E7" s="63" cm="1">
        <f t="array" ref="E7">_xlfn.IFS($C$7="All Dates",MAX(DataTbl[Date]),$C$7="Custom",$E$8,TRUE,MAX(DataTbl[Date]))</f>
        <v>46318</v>
      </c>
      <c r="F7" s="88">
        <f>IF(OR($D$7=0,$E$7=0),"",$E$7-$D$7+1)</f>
        <v>30</v>
      </c>
      <c r="G7" s="1"/>
      <c r="H7" s="1"/>
      <c r="I7" s="1"/>
      <c r="J7" s="1"/>
      <c r="K7" s="31" t="s">
        <v>41</v>
      </c>
      <c r="L7" s="60" cm="1">
        <f t="array" ref="L7">_xlfn.IFS($K$7="Last 7 vs Previous 7",MAX(DataTbl[Date])-6,$K$7="Last 30 vs Previous 30",MAX(DataTbl[Date])-29,$K$7="Last 90 vs Previous 90",MAX(DataTbl[Date])-89,$K$7="Custom A vs B",$L$8,TRUE,MAX(DataTbl[Date])-6)</f>
        <v>46289</v>
      </c>
      <c r="M7" s="61">
        <f>IF($K$7="Custom A vs B",$M$8,MAX(DataTbl[Date]))</f>
        <v>46318</v>
      </c>
      <c r="N7" s="64" cm="1">
        <f t="array" ref="N7">_xlfn.IFS($K$7="Last 7 vs Previous 7",MAX(DataTbl[Date])-13,$K$7="Last 30 vs Previous 30",MAX(DataTbl[Date])-59,$K$7="Last 90 vs Previous 90",MAX(DataTbl[Date])-179,$K$7="Custom A vs B",$N$8,TRUE,MAX(DataTbl[Date])-13)</f>
        <v>46259</v>
      </c>
      <c r="O7" s="65" cm="1">
        <f t="array" ref="O7">_xlfn.IFS($K$7="Last 7 vs Previous 7",MAX(DataTbl[Date])-7,$K$7="Last 30 vs Previous 30",MAX(DataTbl[Date])-30,$K$7="Last 90 vs Previous 90",MAX(DataTbl[Date])-90,$K$7="Custom A vs B",$O$8,TRUE,MAX(DataTbl[Date])-7)</f>
        <v>46288</v>
      </c>
      <c r="P7" s="90">
        <f>IF(OR($L$7=0,$M$7=0),"",$M$7-$L$7+1)</f>
        <v>30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2:28" ht="26.4" customHeight="1" x14ac:dyDescent="0.3">
      <c r="B8" s="1"/>
      <c r="C8" s="35" t="s">
        <v>42</v>
      </c>
      <c r="D8" s="62">
        <v>46266</v>
      </c>
      <c r="E8" s="63">
        <v>46295</v>
      </c>
      <c r="F8" s="89"/>
      <c r="G8" s="1"/>
      <c r="H8" s="1"/>
      <c r="I8" s="1"/>
      <c r="J8" s="1"/>
      <c r="K8" s="37" t="s">
        <v>42</v>
      </c>
      <c r="L8" s="62">
        <v>46266</v>
      </c>
      <c r="M8" s="63">
        <v>46295</v>
      </c>
      <c r="N8" s="62">
        <v>46235</v>
      </c>
      <c r="O8" s="62" t="str">
        <f>IF(AND($K$7="Custom A vs B",ISNUMBER($N$8),ISNUMBER($P$7)),$N$8+$P$7-1,"")</f>
        <v/>
      </c>
      <c r="P8" s="9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2:28" s="1" customFormat="1" ht="9" customHeight="1" x14ac:dyDescent="0.3">
      <c r="C9" s="78"/>
      <c r="D9" s="79"/>
      <c r="E9" s="79"/>
      <c r="K9" s="78"/>
      <c r="L9" s="79"/>
      <c r="M9" s="79"/>
      <c r="N9" s="79"/>
      <c r="O9" s="79"/>
      <c r="P9" s="39"/>
    </row>
    <row r="10" spans="2:28" ht="18" customHeight="1" x14ac:dyDescent="0.3">
      <c r="B10" s="1"/>
      <c r="C10" s="12" t="s">
        <v>43</v>
      </c>
      <c r="D10" s="30"/>
      <c r="E10" s="30"/>
      <c r="F10" s="1"/>
      <c r="G10" s="1"/>
      <c r="H10" s="1"/>
      <c r="I10" s="1"/>
      <c r="J10" s="1"/>
      <c r="K10" s="12" t="s">
        <v>43</v>
      </c>
      <c r="L10" s="38"/>
      <c r="M10" s="38"/>
      <c r="N10" s="38"/>
      <c r="O10" s="38"/>
      <c r="P10" s="39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2:28" ht="22.05" customHeight="1" x14ac:dyDescent="0.3">
      <c r="B11" s="1"/>
      <c r="C11" s="7" t="s">
        <v>44</v>
      </c>
      <c r="D11" s="10" t="s">
        <v>45</v>
      </c>
      <c r="E11" s="4" t="s">
        <v>46</v>
      </c>
      <c r="F11" s="4" t="s">
        <v>47</v>
      </c>
      <c r="G11" s="4" t="s">
        <v>48</v>
      </c>
      <c r="H11" s="4" t="s">
        <v>49</v>
      </c>
      <c r="I11" s="1"/>
      <c r="J11" s="1"/>
      <c r="K11" s="13" t="s">
        <v>10</v>
      </c>
      <c r="L11" s="16" t="s">
        <v>22</v>
      </c>
      <c r="M11" s="16" t="s">
        <v>1</v>
      </c>
      <c r="N11" s="16" t="s">
        <v>50</v>
      </c>
      <c r="O11" s="16" t="s">
        <v>13</v>
      </c>
      <c r="P11" s="17" t="s">
        <v>20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2:28" ht="49.8" customHeight="1" x14ac:dyDescent="0.3">
      <c r="B12" s="1"/>
      <c r="C12" s="42">
        <f>SUMIFS(DataTbl[Views],DataTbl[Date],"&gt;="&amp;$D$7,DataTbl[Date],"&lt;="&amp;$E$7)</f>
        <v>33126</v>
      </c>
      <c r="D12" s="43">
        <f>SUMIFS(DataTbl[New Followers],DataTbl[Date],"&gt;="&amp;$D$7,DataTbl[Date],"&lt;="&amp;$E$7)</f>
        <v>324</v>
      </c>
      <c r="E12" s="42">
        <f>SUMIFS(DataTbl[Engagement],DataTbl[Date],"&gt;="&amp;$D$7,DataTbl[Date],"&lt;="&amp;$E$7)</f>
        <v>1781</v>
      </c>
      <c r="F12" s="51">
        <f>IFERROR(E12/C12,0)</f>
        <v>5.3764414659180103E-2</v>
      </c>
      <c r="G12" s="42">
        <f>SUMIFS(DataTbl[Likes],DataTbl[Date],"&gt;="&amp;$D$7,DataTbl[Date],"&lt;="&amp;$E$7)</f>
        <v>1048</v>
      </c>
      <c r="H12" s="42">
        <f>SUMIFS(DataTbl[Profile Visits],DataTbl[Date],"&gt;="&amp;$D$7,DataTbl[Date],"&lt;="&amp;$E$7)</f>
        <v>2139</v>
      </c>
      <c r="I12" s="46"/>
      <c r="J12" s="18" t="s">
        <v>2</v>
      </c>
      <c r="K12" s="14">
        <f>SUMIFS(DataTbl[Views],DataTbl[Date],"&gt;="&amp;$L$7,DataTbl[Date],"&lt;="&amp;$M$7)</f>
        <v>33126</v>
      </c>
      <c r="L12" s="14">
        <f>SUMIFS(DataTbl[New Followers],DataTbl[Date],"&gt;="&amp;$L$7,DataTbl[Date],"&lt;="&amp;$M$7)</f>
        <v>324</v>
      </c>
      <c r="M12" s="14">
        <f>SUMIFS(DataTbl[Engagement],DataTbl[Date],"&gt;="&amp;$L$7,DataTbl[Date],"&lt;="&amp;$M$7)</f>
        <v>1781</v>
      </c>
      <c r="N12" s="36">
        <f>AVERAGEIFS(DataTbl[Engagement Rate],DataTbl[Date],"&gt;="&amp;$L$7,DataTbl[Date],"&lt;="&amp;$M$7)</f>
        <v>5.4343400660545743E-2</v>
      </c>
      <c r="O12" s="14">
        <f>SUMIFS(DataTbl[Likes],DataTbl[Date],"&gt;="&amp;$L$7,DataTbl[Date],"&lt;="&amp;$M$7)</f>
        <v>1048</v>
      </c>
      <c r="P12" s="15">
        <f>SUMIFS(DataTbl[Profile Visits],DataTbl[Date],"&gt;="&amp;$L$7,DataTbl[Date],"&lt;="&amp;$M$7)</f>
        <v>2139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2:28" ht="19.2" customHeight="1" x14ac:dyDescent="0.3">
      <c r="B13" s="18" t="s">
        <v>51</v>
      </c>
      <c r="C13" s="48">
        <f>IFERROR(C12/$F$7,0)</f>
        <v>1104.2</v>
      </c>
      <c r="D13" s="48">
        <f>IFERROR(D12/$F$7,0)</f>
        <v>10.8</v>
      </c>
      <c r="E13" s="48">
        <f>IFERROR(E12/$F$7,0)</f>
        <v>59.366666666666667</v>
      </c>
      <c r="F13" s="50"/>
      <c r="G13" s="48">
        <f>IFERROR(G12/$F$7,0)</f>
        <v>34.93333333333333</v>
      </c>
      <c r="H13" s="80">
        <f>IFERROR(H12/$F$7,0)</f>
        <v>71.3</v>
      </c>
      <c r="I13" s="18"/>
      <c r="J13" s="18" t="s">
        <v>3</v>
      </c>
      <c r="K13" s="48">
        <f>SUMIFS(DataTbl[Views],DataTbl[Date],"&gt;="&amp;$N$7,DataTbl[Date],"&lt;="&amp;$O$7)</f>
        <v>33917</v>
      </c>
      <c r="L13" s="48">
        <f>SUMIFS(DataTbl[New Followers],DataTbl[Date],"&gt;="&amp;$N$7,DataTbl[Date],"&lt;="&amp;$O$7)</f>
        <v>340</v>
      </c>
      <c r="M13" s="48">
        <f>SUMIFS(DataTbl[Engagement],DataTbl[Date],"&gt;="&amp;$N$7,DataTbl[Date],"&lt;="&amp;$O$7)</f>
        <v>1786</v>
      </c>
      <c r="N13" s="53">
        <f>AVERAGEIFS(DataTbl[Engagement Rate],DataTbl[Date],"&gt;="&amp;$N$7,DataTbl[Date],"&lt;="&amp;$O$7)</f>
        <v>5.2356534238163409E-2</v>
      </c>
      <c r="O13" s="48">
        <f>SUMIFS(DataTbl[Likes],DataTbl[Date],"&gt;="&amp;$N$7,DataTbl[Date],"&lt;="&amp;$O$7)</f>
        <v>1068</v>
      </c>
      <c r="P13" s="54">
        <f>SUMIFS(DataTbl[Profile Visits],DataTbl[Date],"&gt;="&amp;$N$7,DataTbl[Date],"&lt;="&amp;$O$7)</f>
        <v>2041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28" ht="16.05" customHeight="1" x14ac:dyDescent="0.3">
      <c r="B14" s="18" t="s">
        <v>7</v>
      </c>
      <c r="C14" s="48">
        <f>_xlfn.MAXIFS(DataTbl[Views],DataTbl[Date],"&gt;="&amp;$D$7,DataTbl[Date],"&lt;="&amp;$E$7)</f>
        <v>1529</v>
      </c>
      <c r="D14" s="48">
        <f>_xlfn.MAXIFS(DataTbl[New Followers],DataTbl[Date],"&gt;="&amp;$D$7,DataTbl[Date],"&lt;="&amp;$E$7)</f>
        <v>21</v>
      </c>
      <c r="E14" s="52">
        <f>_xlfn.MAXIFS(DataTbl[Engagement],DataTbl[Date],"&gt;="&amp;$D$7,DataTbl[Date],"&lt;="&amp;$E$7)</f>
        <v>76</v>
      </c>
      <c r="F14" s="53">
        <f>_xlfn.MAXIFS(DataTbl[Engagement Rate],DataTbl[Date],"&gt;="&amp;$D$7,DataTbl[Date],"&lt;="&amp;$E$7)</f>
        <v>7.1729957805907171E-2</v>
      </c>
      <c r="G14" s="48">
        <f>_xlfn.MAXIFS(DataTbl[Likes],DataTbl[Date],"&gt;="&amp;$D$7,DataTbl[Date],"&lt;="&amp;$E$7)</f>
        <v>46</v>
      </c>
      <c r="H14" s="80">
        <f>_xlfn.MAXIFS(DataTbl[Profile Visits],DataTbl[Date],"&gt;="&amp;$D$7,DataTbl[Date],"&lt;="&amp;$E$7)</f>
        <v>111</v>
      </c>
      <c r="I14" s="18"/>
      <c r="J14" s="18" t="s">
        <v>4</v>
      </c>
      <c r="K14" s="44">
        <f t="shared" ref="K14:P14" si="0">IFERROR((K12-K13)/K13,0)</f>
        <v>-2.3321638116578707E-2</v>
      </c>
      <c r="L14" s="44">
        <f t="shared" si="0"/>
        <v>-4.7058823529411764E-2</v>
      </c>
      <c r="M14" s="44">
        <f t="shared" si="0"/>
        <v>-2.7995520716685329E-3</v>
      </c>
      <c r="N14" s="44">
        <f t="shared" si="0"/>
        <v>3.7948776619634986E-2</v>
      </c>
      <c r="O14" s="44">
        <f t="shared" si="0"/>
        <v>-1.8726591760299626E-2</v>
      </c>
      <c r="P14" s="45">
        <f t="shared" si="0"/>
        <v>4.8015678588926997E-2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2:28" ht="15.6" x14ac:dyDescent="0.3">
      <c r="B15" s="18" t="s">
        <v>8</v>
      </c>
      <c r="C15" s="47">
        <f>_xlfn.MINIFS(DataTbl[Views],DataTbl[Date],"&gt;="&amp;$D$7,DataTbl[Date],"&lt;="&amp;$E$7)</f>
        <v>795</v>
      </c>
      <c r="D15" s="47">
        <f>_xlfn.MINIFS(DataTbl[New Followers],DataTbl[Date],"&gt;="&amp;$D$7,DataTbl[Date],"&lt;="&amp;$E$7)</f>
        <v>7</v>
      </c>
      <c r="E15" s="47">
        <f>_xlfn.MINIFS(DataTbl[Engagement],DataTbl[Date],"&gt;="&amp;$D$7,DataTbl[Date],"&lt;="&amp;$E$7)</f>
        <v>38</v>
      </c>
      <c r="F15" s="49">
        <f>_xlfn.MINIFS(DataTbl[Engagement Rate],DataTbl[Date],"&gt;="&amp;$D$7,DataTbl[Date],"&lt;="&amp;$E$7)</f>
        <v>3.8766519823788544E-2</v>
      </c>
      <c r="G15" s="47">
        <f>_xlfn.MINIFS(DataTbl[Likes],DataTbl[Date],"&gt;="&amp;$D$7,DataTbl[Date],"&lt;="&amp;$E$7)</f>
        <v>21</v>
      </c>
      <c r="H15" s="81">
        <f>_xlfn.MINIFS(DataTbl[Profile Visits],DataTbl[Date],"&gt;="&amp;$D$7,DataTbl[Date],"&lt;="&amp;$E$7)</f>
        <v>37</v>
      </c>
      <c r="I15" s="18"/>
      <c r="J15" s="1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2:28" ht="16.2" thickBot="1" x14ac:dyDescent="0.35">
      <c r="B16" s="18"/>
      <c r="C16" s="82"/>
      <c r="D16" s="82"/>
      <c r="E16" s="82"/>
      <c r="F16" s="83"/>
      <c r="G16" s="82"/>
      <c r="H16" s="84"/>
      <c r="I16" s="18"/>
      <c r="J16" s="1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2:28" ht="23.4" customHeight="1" thickBot="1" x14ac:dyDescent="0.35">
      <c r="B17" s="1"/>
      <c r="C17" s="55" t="s">
        <v>52</v>
      </c>
      <c r="D17" s="56" t="s">
        <v>53</v>
      </c>
      <c r="E17" s="1"/>
      <c r="F17" s="29"/>
      <c r="G17" s="1"/>
      <c r="H17" s="5"/>
      <c r="I17" s="1"/>
      <c r="J17" s="1"/>
      <c r="K17" s="12" t="s">
        <v>52</v>
      </c>
      <c r="L17" s="31" t="s">
        <v>13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2:28" x14ac:dyDescent="0.3">
      <c r="B18" s="1"/>
      <c r="C18" s="3"/>
      <c r="D18" s="1"/>
      <c r="E18" s="1"/>
      <c r="F18" s="2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2:28" x14ac:dyDescent="0.3">
      <c r="B19" s="1"/>
      <c r="C19" s="11"/>
      <c r="D19" s="1"/>
      <c r="E19" s="1"/>
      <c r="F19" s="25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28" x14ac:dyDescent="0.3">
      <c r="B20" s="1"/>
      <c r="C20" s="1"/>
      <c r="D20" s="1"/>
      <c r="E20" s="1"/>
      <c r="F20" s="25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x14ac:dyDescent="0.3">
      <c r="B21" s="1"/>
      <c r="C21" s="1"/>
      <c r="D21" s="1"/>
      <c r="E21" s="1"/>
      <c r="F21" s="25"/>
      <c r="G21" s="2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28" x14ac:dyDescent="0.3">
      <c r="B22" s="1"/>
      <c r="C22" s="1"/>
      <c r="D22" s="1"/>
      <c r="E22" s="1"/>
      <c r="F22" s="25"/>
      <c r="G22" s="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2:28" x14ac:dyDescent="0.3">
      <c r="B23" s="1"/>
      <c r="C23" s="1"/>
      <c r="D23" s="1"/>
      <c r="E23" s="1"/>
      <c r="F23" s="25"/>
      <c r="G23" s="2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2:28" x14ac:dyDescent="0.3">
      <c r="B24" s="1"/>
      <c r="C24" s="1"/>
      <c r="D24" s="1"/>
      <c r="E24" s="1"/>
      <c r="F24" s="25"/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2:28" x14ac:dyDescent="0.3">
      <c r="B25" s="1"/>
      <c r="C25" s="1"/>
      <c r="D25" s="1"/>
      <c r="E25" s="1"/>
      <c r="F25" s="25"/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2:28" ht="16.05" customHeight="1" x14ac:dyDescent="0.3">
      <c r="B26" s="1"/>
      <c r="C26" s="1"/>
      <c r="D26" s="1"/>
      <c r="E26" s="1"/>
      <c r="F26" s="25"/>
      <c r="G26" s="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2:28" ht="16.05" customHeight="1" x14ac:dyDescent="0.3">
      <c r="B27" s="1"/>
      <c r="C27" s="1"/>
      <c r="D27" s="1"/>
      <c r="E27" s="1"/>
      <c r="F27" s="25"/>
      <c r="G27" s="2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28" ht="16.05" customHeight="1" x14ac:dyDescent="0.3">
      <c r="B28" s="1"/>
      <c r="C28" s="1"/>
      <c r="D28" s="1"/>
      <c r="E28" s="1"/>
      <c r="F28" s="25"/>
      <c r="G28" s="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2:28" x14ac:dyDescent="0.3">
      <c r="B29" s="1"/>
      <c r="C29" s="1"/>
      <c r="D29" s="1"/>
      <c r="E29" s="1"/>
      <c r="F29" s="25"/>
      <c r="G29" s="2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2:2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2:2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2:2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x14ac:dyDescent="0.3"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7.2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3.95" customHeight="1" x14ac:dyDescent="0.3">
      <c r="B44" s="1"/>
      <c r="C44" s="12" t="s">
        <v>54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3.95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3.95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3.95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3.95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36" ht="13.95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36" ht="13.95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36" ht="13.95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36" ht="13.95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36" ht="13.95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36" ht="13.95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36" ht="13.95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36" ht="13.95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36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36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J58" s="6"/>
    </row>
    <row r="59" spans="2:36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J59" s="6"/>
    </row>
    <row r="60" spans="2:36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J60" s="6"/>
    </row>
    <row r="61" spans="2:36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J61" s="6"/>
    </row>
    <row r="62" spans="2:36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J62" s="6"/>
    </row>
    <row r="63" spans="2:36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J63" s="6"/>
    </row>
    <row r="64" spans="2:36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J64" s="6"/>
    </row>
    <row r="65" spans="2:36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J65" s="6"/>
    </row>
    <row r="66" spans="2:36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J66" s="6"/>
    </row>
    <row r="67" spans="2:36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J67" s="6"/>
    </row>
    <row r="68" spans="2:36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J68" s="6"/>
    </row>
    <row r="69" spans="2:36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J69" s="6"/>
    </row>
    <row r="70" spans="2:36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J70" s="6"/>
    </row>
    <row r="71" spans="2:36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J71" s="6"/>
    </row>
    <row r="72" spans="2:36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J72" s="6"/>
    </row>
    <row r="73" spans="2:36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J73" s="6"/>
    </row>
    <row r="74" spans="2:36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J74" s="6"/>
    </row>
    <row r="75" spans="2:36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J75" s="6"/>
    </row>
    <row r="76" spans="2:36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J76" s="6"/>
    </row>
    <row r="77" spans="2:36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J77" s="6"/>
    </row>
    <row r="78" spans="2:36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J78" s="6"/>
    </row>
    <row r="79" spans="2:36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J79" s="6"/>
    </row>
    <row r="80" spans="2:36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J80" s="6"/>
    </row>
    <row r="81" spans="2:36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J81" s="6"/>
    </row>
    <row r="82" spans="2:36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J82" s="6"/>
    </row>
    <row r="83" spans="2:36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J83" s="6"/>
    </row>
    <row r="84" spans="2:36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J84" s="6"/>
    </row>
    <row r="85" spans="2:36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J85" s="6"/>
    </row>
    <row r="86" spans="2:36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J86" s="6"/>
    </row>
    <row r="87" spans="2:36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J87" s="6"/>
    </row>
    <row r="88" spans="2:36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J88" s="6"/>
    </row>
    <row r="89" spans="2:36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J89" s="6"/>
    </row>
    <row r="90" spans="2:36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J90" s="6"/>
    </row>
    <row r="91" spans="2:36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J91" s="6"/>
    </row>
    <row r="92" spans="2:36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J92" s="6"/>
    </row>
    <row r="93" spans="2:36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J93" s="6"/>
    </row>
    <row r="94" spans="2:36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J94" s="6"/>
    </row>
    <row r="95" spans="2:36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J95" s="6"/>
    </row>
    <row r="96" spans="2:36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J96" s="6"/>
    </row>
    <row r="97" spans="2:36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J97" s="6"/>
    </row>
    <row r="98" spans="2:36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J98" s="6"/>
    </row>
    <row r="99" spans="2:36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J99" s="6"/>
    </row>
    <row r="100" spans="2:36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J100" s="6"/>
    </row>
    <row r="101" spans="2:36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J101" s="6"/>
    </row>
    <row r="102" spans="2:36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J102" s="6"/>
    </row>
    <row r="103" spans="2:36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J103" s="6"/>
    </row>
    <row r="104" spans="2:36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J104" s="6"/>
    </row>
    <row r="105" spans="2:36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J105" s="6"/>
    </row>
    <row r="106" spans="2:36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J106" s="6"/>
    </row>
    <row r="107" spans="2:36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J107" s="6"/>
    </row>
    <row r="108" spans="2:36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J108" s="6"/>
    </row>
    <row r="109" spans="2:36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J109" s="6"/>
    </row>
    <row r="110" spans="2:36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J110" s="6"/>
    </row>
    <row r="111" spans="2:36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J111" s="6"/>
    </row>
    <row r="112" spans="2:36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J112" s="6"/>
    </row>
    <row r="113" spans="2:36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J113" s="6"/>
    </row>
    <row r="114" spans="2:36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J114" s="6"/>
    </row>
    <row r="115" spans="2:36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J115" s="6"/>
    </row>
    <row r="116" spans="2:36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J116" s="6"/>
    </row>
    <row r="117" spans="2:36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J117" s="6"/>
    </row>
    <row r="118" spans="2:36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J118" s="6"/>
    </row>
    <row r="119" spans="2:36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J119" s="6"/>
    </row>
    <row r="120" spans="2:36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J120" s="6"/>
    </row>
    <row r="121" spans="2:36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J121" s="6"/>
    </row>
    <row r="122" spans="2:36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J122" s="6"/>
    </row>
    <row r="123" spans="2:36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J123" s="6"/>
    </row>
    <row r="124" spans="2:36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J124" s="6"/>
    </row>
    <row r="125" spans="2:36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J125" s="6"/>
    </row>
    <row r="126" spans="2:36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J126" s="6"/>
    </row>
    <row r="127" spans="2:36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J127" s="6"/>
    </row>
    <row r="128" spans="2:36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J128" s="6"/>
    </row>
    <row r="129" spans="2:36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J129" s="6"/>
    </row>
    <row r="130" spans="2:36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J130" s="6"/>
    </row>
    <row r="131" spans="2:36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J131" s="6"/>
    </row>
    <row r="132" spans="2:36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J132" s="6"/>
    </row>
    <row r="133" spans="2:36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J133" s="6"/>
    </row>
    <row r="134" spans="2:36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J134" s="6"/>
    </row>
    <row r="135" spans="2:36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J135" s="6"/>
    </row>
    <row r="136" spans="2:36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J136" s="6"/>
    </row>
    <row r="137" spans="2:36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J137" s="6"/>
    </row>
    <row r="138" spans="2:36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J138" s="6"/>
    </row>
    <row r="139" spans="2:36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J139" s="6"/>
    </row>
    <row r="140" spans="2:36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J140" s="6"/>
    </row>
    <row r="141" spans="2:36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J141" s="6"/>
    </row>
    <row r="142" spans="2:36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J142" s="6"/>
    </row>
    <row r="143" spans="2:36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J143" s="6"/>
    </row>
    <row r="144" spans="2:36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J144" s="6"/>
    </row>
    <row r="145" spans="2:36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J145" s="6"/>
    </row>
    <row r="146" spans="2:36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J146" s="6"/>
    </row>
    <row r="147" spans="2:36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J147" s="6"/>
    </row>
    <row r="148" spans="2:36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J148" s="6"/>
    </row>
    <row r="149" spans="2:36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J149" s="6"/>
    </row>
    <row r="150" spans="2:36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J150" s="6"/>
    </row>
    <row r="151" spans="2:36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J151" s="6"/>
    </row>
    <row r="152" spans="2:36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J152" s="6"/>
    </row>
    <row r="153" spans="2:36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J153" s="6"/>
    </row>
    <row r="154" spans="2:36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J154" s="6"/>
    </row>
    <row r="155" spans="2:36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J155" s="6"/>
    </row>
    <row r="156" spans="2:36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J156" s="6"/>
    </row>
    <row r="157" spans="2:36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J157" s="6"/>
    </row>
    <row r="158" spans="2:36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J158" s="6"/>
    </row>
    <row r="159" spans="2:36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J159" s="6"/>
    </row>
    <row r="160" spans="2:36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J160" s="6"/>
    </row>
    <row r="161" spans="2:36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J161" s="6"/>
    </row>
    <row r="162" spans="2:36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J162" s="6"/>
    </row>
    <row r="163" spans="2:36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J163" s="6"/>
    </row>
    <row r="164" spans="2:36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J164" s="6"/>
    </row>
    <row r="165" spans="2:36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J165" s="6"/>
    </row>
    <row r="166" spans="2:36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J166" s="6"/>
    </row>
    <row r="167" spans="2:36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J167" s="6"/>
    </row>
    <row r="168" spans="2:36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J168" s="6"/>
    </row>
    <row r="169" spans="2:36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J169" s="6"/>
    </row>
    <row r="170" spans="2:36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J170" s="6"/>
    </row>
    <row r="171" spans="2:36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J171" s="6"/>
    </row>
    <row r="172" spans="2:36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J172" s="6"/>
    </row>
    <row r="173" spans="2:36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J173" s="6"/>
    </row>
    <row r="174" spans="2:36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J174" s="6"/>
    </row>
    <row r="175" spans="2:36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J175" s="6"/>
    </row>
    <row r="176" spans="2:36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J176" s="6"/>
    </row>
    <row r="177" spans="2:36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J177" s="6"/>
    </row>
    <row r="178" spans="2:36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J178" s="6"/>
    </row>
    <row r="179" spans="2:36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J179" s="6"/>
    </row>
    <row r="180" spans="2:36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J180" s="6"/>
    </row>
    <row r="181" spans="2:36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J181" s="6"/>
    </row>
    <row r="182" spans="2:36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J182" s="6"/>
    </row>
    <row r="183" spans="2:36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J183" s="6"/>
    </row>
    <row r="184" spans="2:36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J184" s="6"/>
    </row>
    <row r="185" spans="2:36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J185" s="6"/>
    </row>
    <row r="186" spans="2:36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J186" s="6"/>
    </row>
    <row r="187" spans="2:36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J187" s="6"/>
    </row>
    <row r="188" spans="2:36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J188" s="6"/>
    </row>
    <row r="189" spans="2:36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J189" s="6"/>
    </row>
    <row r="190" spans="2:36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J190" s="6"/>
    </row>
    <row r="191" spans="2:36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J191" s="6"/>
    </row>
    <row r="192" spans="2:36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J192" s="6"/>
    </row>
    <row r="193" spans="2:36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J193" s="6"/>
    </row>
    <row r="194" spans="2:36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J194" s="6"/>
    </row>
    <row r="195" spans="2:36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J195" s="6"/>
    </row>
    <row r="196" spans="2:36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J196" s="6"/>
    </row>
    <row r="197" spans="2:36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J197" s="6"/>
    </row>
    <row r="198" spans="2:36" x14ac:dyDescent="0.3">
      <c r="C198" s="1"/>
      <c r="D198" s="1"/>
      <c r="E198" s="1"/>
      <c r="F198" s="1"/>
      <c r="G198" s="1"/>
      <c r="H198" s="1"/>
      <c r="AJ198" s="6"/>
    </row>
    <row r="199" spans="2:36" x14ac:dyDescent="0.3">
      <c r="C199" s="1"/>
      <c r="D199" s="1"/>
      <c r="E199" s="1"/>
      <c r="F199" s="1"/>
      <c r="G199" s="1"/>
      <c r="H199" s="1"/>
      <c r="AJ199" s="6"/>
    </row>
    <row r="200" spans="2:36" x14ac:dyDescent="0.3">
      <c r="AJ200" s="6"/>
    </row>
    <row r="201" spans="2:36" x14ac:dyDescent="0.3">
      <c r="AJ201" s="6"/>
    </row>
    <row r="202" spans="2:36" x14ac:dyDescent="0.3">
      <c r="AJ202" s="6"/>
    </row>
    <row r="203" spans="2:36" x14ac:dyDescent="0.3">
      <c r="AJ203" s="6"/>
    </row>
    <row r="204" spans="2:36" x14ac:dyDescent="0.3">
      <c r="AJ204" s="6"/>
    </row>
    <row r="205" spans="2:36" x14ac:dyDescent="0.3">
      <c r="AJ205" s="6"/>
    </row>
    <row r="206" spans="2:36" x14ac:dyDescent="0.3">
      <c r="AJ206" s="6"/>
    </row>
    <row r="207" spans="2:36" x14ac:dyDescent="0.3">
      <c r="AJ207" s="6"/>
    </row>
    <row r="208" spans="2:36" x14ac:dyDescent="0.3">
      <c r="AJ208" s="6"/>
    </row>
    <row r="209" spans="36:36" x14ac:dyDescent="0.3">
      <c r="AJ209" s="6"/>
    </row>
    <row r="210" spans="36:36" x14ac:dyDescent="0.3">
      <c r="AJ210" s="6"/>
    </row>
    <row r="211" spans="36:36" x14ac:dyDescent="0.3">
      <c r="AJ211" s="6"/>
    </row>
    <row r="212" spans="36:36" x14ac:dyDescent="0.3">
      <c r="AJ212" s="6"/>
    </row>
    <row r="213" spans="36:36" x14ac:dyDescent="0.3">
      <c r="AJ213" s="6"/>
    </row>
    <row r="214" spans="36:36" x14ac:dyDescent="0.3">
      <c r="AJ214" s="6"/>
    </row>
    <row r="215" spans="36:36" x14ac:dyDescent="0.3">
      <c r="AJ215" s="6"/>
    </row>
    <row r="216" spans="36:36" x14ac:dyDescent="0.3">
      <c r="AJ216" s="6"/>
    </row>
    <row r="217" spans="36:36" x14ac:dyDescent="0.3">
      <c r="AJ217" s="6"/>
    </row>
    <row r="218" spans="36:36" x14ac:dyDescent="0.3">
      <c r="AJ218" s="6"/>
    </row>
    <row r="219" spans="36:36" x14ac:dyDescent="0.3">
      <c r="AJ219" s="6"/>
    </row>
    <row r="220" spans="36:36" x14ac:dyDescent="0.3">
      <c r="AJ220" s="6"/>
    </row>
    <row r="221" spans="36:36" x14ac:dyDescent="0.3">
      <c r="AJ221" s="6"/>
    </row>
    <row r="222" spans="36:36" x14ac:dyDescent="0.3">
      <c r="AJ222" s="6"/>
    </row>
    <row r="223" spans="36:36" x14ac:dyDescent="0.3">
      <c r="AJ223" s="6"/>
    </row>
    <row r="224" spans="36:36" x14ac:dyDescent="0.3">
      <c r="AJ224" s="6"/>
    </row>
    <row r="225" spans="36:36" x14ac:dyDescent="0.3">
      <c r="AJ225" s="6"/>
    </row>
    <row r="226" spans="36:36" x14ac:dyDescent="0.3">
      <c r="AJ226" s="6"/>
    </row>
    <row r="227" spans="36:36" x14ac:dyDescent="0.3">
      <c r="AJ227" s="6"/>
    </row>
    <row r="228" spans="36:36" x14ac:dyDescent="0.3">
      <c r="AJ228" s="6"/>
    </row>
    <row r="229" spans="36:36" x14ac:dyDescent="0.3">
      <c r="AJ229" s="6"/>
    </row>
    <row r="230" spans="36:36" x14ac:dyDescent="0.3">
      <c r="AJ230" s="6"/>
    </row>
    <row r="231" spans="36:36" x14ac:dyDescent="0.3">
      <c r="AJ231" s="6"/>
    </row>
    <row r="232" spans="36:36" x14ac:dyDescent="0.3">
      <c r="AJ232" s="6"/>
    </row>
    <row r="233" spans="36:36" x14ac:dyDescent="0.3">
      <c r="AJ233" s="6"/>
    </row>
    <row r="234" spans="36:36" x14ac:dyDescent="0.3">
      <c r="AJ234" s="6"/>
    </row>
    <row r="235" spans="36:36" x14ac:dyDescent="0.3">
      <c r="AJ235" s="6"/>
    </row>
    <row r="236" spans="36:36" x14ac:dyDescent="0.3">
      <c r="AJ236" s="6"/>
    </row>
    <row r="237" spans="36:36" x14ac:dyDescent="0.3">
      <c r="AJ237" s="6"/>
    </row>
    <row r="238" spans="36:36" x14ac:dyDescent="0.3">
      <c r="AJ238" s="6"/>
    </row>
    <row r="239" spans="36:36" x14ac:dyDescent="0.3">
      <c r="AJ239" s="6"/>
    </row>
    <row r="240" spans="36:36" x14ac:dyDescent="0.3">
      <c r="AJ240" s="6"/>
    </row>
    <row r="241" spans="36:36" x14ac:dyDescent="0.3">
      <c r="AJ241" s="6"/>
    </row>
    <row r="242" spans="36:36" x14ac:dyDescent="0.3">
      <c r="AJ242" s="6"/>
    </row>
    <row r="243" spans="36:36" x14ac:dyDescent="0.3">
      <c r="AJ243" s="6"/>
    </row>
    <row r="244" spans="36:36" x14ac:dyDescent="0.3">
      <c r="AJ244" s="6"/>
    </row>
    <row r="245" spans="36:36" x14ac:dyDescent="0.3">
      <c r="AJ245" s="6"/>
    </row>
    <row r="246" spans="36:36" x14ac:dyDescent="0.3">
      <c r="AJ246" s="6"/>
    </row>
    <row r="247" spans="36:36" x14ac:dyDescent="0.3">
      <c r="AJ247" s="6"/>
    </row>
    <row r="248" spans="36:36" x14ac:dyDescent="0.3">
      <c r="AJ248" s="6"/>
    </row>
    <row r="249" spans="36:36" x14ac:dyDescent="0.3">
      <c r="AJ249" s="6"/>
    </row>
    <row r="250" spans="36:36" x14ac:dyDescent="0.3">
      <c r="AJ250" s="6"/>
    </row>
    <row r="251" spans="36:36" x14ac:dyDescent="0.3">
      <c r="AJ251" s="6"/>
    </row>
    <row r="252" spans="36:36" x14ac:dyDescent="0.3">
      <c r="AJ252" s="6"/>
    </row>
    <row r="253" spans="36:36" x14ac:dyDescent="0.3">
      <c r="AJ253" s="6"/>
    </row>
    <row r="254" spans="36:36" x14ac:dyDescent="0.3">
      <c r="AJ254" s="6"/>
    </row>
    <row r="255" spans="36:36" x14ac:dyDescent="0.3">
      <c r="AJ255" s="6"/>
    </row>
    <row r="256" spans="36:36" x14ac:dyDescent="0.3">
      <c r="AJ256" s="6"/>
    </row>
    <row r="257" spans="36:36" x14ac:dyDescent="0.3">
      <c r="AJ257" s="6"/>
    </row>
    <row r="258" spans="36:36" x14ac:dyDescent="0.3">
      <c r="AJ258" s="6"/>
    </row>
    <row r="259" spans="36:36" x14ac:dyDescent="0.3">
      <c r="AJ259" s="6"/>
    </row>
    <row r="260" spans="36:36" x14ac:dyDescent="0.3">
      <c r="AJ260" s="6"/>
    </row>
    <row r="261" spans="36:36" x14ac:dyDescent="0.3">
      <c r="AJ261" s="6"/>
    </row>
    <row r="262" spans="36:36" x14ac:dyDescent="0.3">
      <c r="AJ262" s="6"/>
    </row>
    <row r="263" spans="36:36" x14ac:dyDescent="0.3">
      <c r="AJ263" s="6"/>
    </row>
    <row r="264" spans="36:36" x14ac:dyDescent="0.3">
      <c r="AJ264" s="6"/>
    </row>
    <row r="265" spans="36:36" x14ac:dyDescent="0.3">
      <c r="AJ265" s="6"/>
    </row>
    <row r="266" spans="36:36" x14ac:dyDescent="0.3">
      <c r="AJ266" s="6"/>
    </row>
    <row r="267" spans="36:36" x14ac:dyDescent="0.3">
      <c r="AJ267" s="6"/>
    </row>
    <row r="268" spans="36:36" x14ac:dyDescent="0.3">
      <c r="AJ268" s="6"/>
    </row>
    <row r="269" spans="36:36" x14ac:dyDescent="0.3">
      <c r="AJ269" s="6"/>
    </row>
    <row r="270" spans="36:36" x14ac:dyDescent="0.3">
      <c r="AJ270" s="6"/>
    </row>
    <row r="271" spans="36:36" x14ac:dyDescent="0.3">
      <c r="AJ271" s="6"/>
    </row>
    <row r="272" spans="36:36" x14ac:dyDescent="0.3">
      <c r="AJ272" s="6"/>
    </row>
    <row r="273" spans="36:36" x14ac:dyDescent="0.3">
      <c r="AJ273" s="6"/>
    </row>
    <row r="274" spans="36:36" x14ac:dyDescent="0.3">
      <c r="AJ274" s="6"/>
    </row>
    <row r="275" spans="36:36" x14ac:dyDescent="0.3">
      <c r="AJ275" s="6"/>
    </row>
    <row r="276" spans="36:36" x14ac:dyDescent="0.3">
      <c r="AJ276" s="6"/>
    </row>
    <row r="277" spans="36:36" x14ac:dyDescent="0.3">
      <c r="AJ277" s="6"/>
    </row>
    <row r="278" spans="36:36" x14ac:dyDescent="0.3">
      <c r="AJ278" s="6"/>
    </row>
    <row r="279" spans="36:36" x14ac:dyDescent="0.3">
      <c r="AJ279" s="6"/>
    </row>
    <row r="280" spans="36:36" x14ac:dyDescent="0.3">
      <c r="AJ280" s="6"/>
    </row>
    <row r="281" spans="36:36" x14ac:dyDescent="0.3">
      <c r="AJ281" s="6"/>
    </row>
    <row r="282" spans="36:36" x14ac:dyDescent="0.3">
      <c r="AJ282" s="6"/>
    </row>
    <row r="283" spans="36:36" x14ac:dyDescent="0.3">
      <c r="AJ283" s="6"/>
    </row>
    <row r="284" spans="36:36" x14ac:dyDescent="0.3">
      <c r="AJ284" s="6"/>
    </row>
    <row r="285" spans="36:36" x14ac:dyDescent="0.3">
      <c r="AJ285" s="6"/>
    </row>
    <row r="286" spans="36:36" x14ac:dyDescent="0.3">
      <c r="AJ286" s="6"/>
    </row>
    <row r="287" spans="36:36" x14ac:dyDescent="0.3">
      <c r="AJ287" s="6"/>
    </row>
    <row r="288" spans="36:36" x14ac:dyDescent="0.3">
      <c r="AJ288" s="6"/>
    </row>
    <row r="289" spans="36:36" x14ac:dyDescent="0.3">
      <c r="AJ289" s="6"/>
    </row>
    <row r="290" spans="36:36" x14ac:dyDescent="0.3">
      <c r="AJ290" s="6"/>
    </row>
    <row r="291" spans="36:36" x14ac:dyDescent="0.3">
      <c r="AJ291" s="6"/>
    </row>
    <row r="292" spans="36:36" x14ac:dyDescent="0.3">
      <c r="AJ292" s="6"/>
    </row>
    <row r="293" spans="36:36" x14ac:dyDescent="0.3">
      <c r="AJ293" s="6"/>
    </row>
    <row r="294" spans="36:36" x14ac:dyDescent="0.3">
      <c r="AJ294" s="6"/>
    </row>
    <row r="295" spans="36:36" x14ac:dyDescent="0.3">
      <c r="AJ295" s="6"/>
    </row>
    <row r="296" spans="36:36" x14ac:dyDescent="0.3">
      <c r="AJ296" s="6"/>
    </row>
    <row r="297" spans="36:36" x14ac:dyDescent="0.3">
      <c r="AJ297" s="6"/>
    </row>
  </sheetData>
  <mergeCells count="4">
    <mergeCell ref="C2:H2"/>
    <mergeCell ref="C3:H3"/>
    <mergeCell ref="F7:F8"/>
    <mergeCell ref="P7:P8"/>
  </mergeCells>
  <phoneticPr fontId="1" type="noConversion"/>
  <conditionalFormatting sqref="C13:C16">
    <cfRule type="cellIs" dxfId="29" priority="24" operator="lessThan">
      <formula>1000</formula>
    </cfRule>
    <cfRule type="cellIs" dxfId="28" priority="25" operator="greaterThanOrEqual">
      <formula>1000</formula>
    </cfRule>
  </conditionalFormatting>
  <conditionalFormatting sqref="D13:D16">
    <cfRule type="cellIs" dxfId="27" priority="26" operator="lessThan">
      <formula>10</formula>
    </cfRule>
    <cfRule type="cellIs" dxfId="26" priority="27" operator="greaterThanOrEqual">
      <formula>10</formula>
    </cfRule>
  </conditionalFormatting>
  <conditionalFormatting sqref="D7:E7">
    <cfRule type="expression" dxfId="25" priority="19">
      <formula>$C$7="Custom"</formula>
    </cfRule>
  </conditionalFormatting>
  <conditionalFormatting sqref="D8:E8">
    <cfRule type="expression" dxfId="24" priority="35">
      <formula>$C$7&lt;&gt;"Custom"</formula>
    </cfRule>
  </conditionalFormatting>
  <conditionalFormatting sqref="E13:E16">
    <cfRule type="cellIs" dxfId="23" priority="28" operator="lessThan">
      <formula>60</formula>
    </cfRule>
    <cfRule type="cellIs" dxfId="22" priority="29" operator="greaterThanOrEqual">
      <formula>60</formula>
    </cfRule>
  </conditionalFormatting>
  <conditionalFormatting sqref="F14:F16">
    <cfRule type="cellIs" dxfId="21" priority="30" operator="lessThan">
      <formula>6%</formula>
    </cfRule>
    <cfRule type="cellIs" dxfId="20" priority="31" operator="greaterThanOrEqual">
      <formula>6%</formula>
    </cfRule>
  </conditionalFormatting>
  <conditionalFormatting sqref="G13:G16">
    <cfRule type="cellIs" dxfId="19" priority="32" operator="lessThan">
      <formula>50</formula>
    </cfRule>
    <cfRule type="cellIs" dxfId="18" priority="33" operator="greaterThanOrEqual">
      <formula>50</formula>
    </cfRule>
  </conditionalFormatting>
  <conditionalFormatting sqref="K14:P14">
    <cfRule type="cellIs" dxfId="17" priority="5" operator="greaterThanOrEqual">
      <formula>0%</formula>
    </cfRule>
    <cfRule type="cellIs" dxfId="16" priority="6" operator="lessThan">
      <formula>0%</formula>
    </cfRule>
  </conditionalFormatting>
  <conditionalFormatting sqref="L7:O7">
    <cfRule type="expression" dxfId="15" priority="20">
      <formula>$K$7="Custom A vs B"</formula>
    </cfRule>
  </conditionalFormatting>
  <conditionalFormatting sqref="L8:O8">
    <cfRule type="expression" dxfId="14" priority="36">
      <formula>$K$7&lt;&gt;"Custom A vs B"</formula>
    </cfRule>
  </conditionalFormatting>
  <dataValidations xWindow="531" yWindow="415" count="7">
    <dataValidation type="list" allowBlank="1" showInputMessage="1" showErrorMessage="1" errorTitle="Invalid Selection" error="Please choose one of the presets from the list." promptTitle="Date Range" prompt="Choose a preset, or 'Custom' to enter your own dates in D8/E8." sqref="C7" xr:uid="{8ED93F50-AD75-4C83-B2ED-7615E0009BA9}">
      <formula1>"Last 7 Days,Last 30 Days,Last 90 Days,All Dates,Custom"</formula1>
    </dataValidation>
    <dataValidation type="list" allowBlank="1" showInputMessage="1" showErrorMessage="1" errorTitle="Choose a Preset" error="Please choose one of the presets from the list." promptTitle="Comparison Period" prompt="Choose a comparison preset, or 'Custom A vs B' to enter your own dates in L8:N8." sqref="K7" xr:uid="{6464B914-F584-4272-AAC8-BC8C86EC3940}">
      <formula1>"Last 7 vs Previous 7,Last 30 vs Previous 30,Last 90 vs Previous 90,Custom A vs B"</formula1>
    </dataValidation>
    <dataValidation type="list" allowBlank="1" showInputMessage="1" showErrorMessage="1" errorTitle="Invalid Metric" error="Please choose a metric from the list." promptTitle="Metric" prompt="Choose the metric to compare across the two periods." sqref="L17" xr:uid="{EDA0CB4D-1C8F-4DB0-A40F-6124C8899314}">
      <formula1>"Views,Total Watch Time (s),Likes,Saves,Comments,Shares,Profile Visits,New Followers,Engagement,Engagement Rate,Brand Awareness"</formula1>
    </dataValidation>
    <dataValidation allowBlank="1" showInputMessage="1" showErrorMessage="1" promptTitle="Custom Range" prompt="When you choose 'Custom' in C7, enter your own dates in D8 (From) and E8 (To)." sqref="C8" xr:uid="{7E9DE3D2-62F6-4C71-98CB-4349AFFD8100}"/>
    <dataValidation allowBlank="1" showInputMessage="1" showErrorMessage="1" promptTitle="Custom Range" prompt="When you choose 'Custom A vs B' in K7, enter Period A in L8/M8 and the start of Period B in N8 (the end is calculated automatically)." sqref="K8" xr:uid="{A78B0EFE-684C-41BC-A4B5-5DD734874E31}"/>
    <dataValidation allowBlank="1" showInputMessage="1" showErrorMessage="1" promptTitle="Custom Range" prompt="When you choose 'Custom' for the Quick Range cell, enter your own dates in D8/E8." sqref="C9" xr:uid="{3E18D0DF-7FB0-4D51-B970-7C97B3EBCD52}"/>
    <dataValidation allowBlank="1" showInputMessage="1" showErrorMessage="1" promptTitle="Quick Range" prompt="When you choose 'Custom A vs B' for the Quick Comparison cell, enter your own dates in L8:N8." sqref="K9" xr:uid="{1B302293-0601-4BF7-91A0-150BB473649C}"/>
  </dataValidation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CFF1-AB9C-4DB8-A9D2-0492D4D2642E}">
  <dimension ref="A1:L757"/>
  <sheetViews>
    <sheetView zoomScaleNormal="100" workbookViewId="0">
      <selection activeCell="C22" sqref="C22"/>
    </sheetView>
  </sheetViews>
  <sheetFormatPr baseColWidth="10" defaultColWidth="16.5546875" defaultRowHeight="14.4" x14ac:dyDescent="0.3"/>
  <cols>
    <col min="1" max="1" width="11.109375" style="67" bestFit="1" customWidth="1"/>
    <col min="2" max="2" width="7.88671875" style="67" bestFit="1" customWidth="1"/>
    <col min="3" max="3" width="29.88671875" style="67" bestFit="1" customWidth="1"/>
    <col min="4" max="4" width="9" style="67" bestFit="1" customWidth="1"/>
    <col min="5" max="5" width="17.5546875" style="67" bestFit="1" customWidth="1"/>
    <col min="6" max="6" width="16.109375" style="67" bestFit="1" customWidth="1"/>
    <col min="7" max="7" width="11" style="67" bestFit="1" customWidth="1"/>
    <col min="8" max="8" width="16.88671875" style="67" bestFit="1" customWidth="1"/>
    <col min="9" max="9" width="20.6640625" style="67" bestFit="1" customWidth="1"/>
    <col min="10" max="10" width="14.33203125" style="67" bestFit="1" customWidth="1"/>
    <col min="11" max="11" width="20.77734375" style="67" bestFit="1" customWidth="1"/>
    <col min="12" max="12" width="24" style="67" bestFit="1" customWidth="1"/>
    <col min="13" max="16384" width="16.5546875" style="67"/>
  </cols>
  <sheetData>
    <row r="1" spans="1:12" ht="18.600000000000001" thickBot="1" x14ac:dyDescent="0.35">
      <c r="A1" s="70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x14ac:dyDescent="0.3">
      <c r="A2" s="28" t="s">
        <v>9</v>
      </c>
      <c r="B2" s="28" t="s">
        <v>11</v>
      </c>
      <c r="C2" s="28" t="s">
        <v>12</v>
      </c>
      <c r="D2" s="28" t="s">
        <v>14</v>
      </c>
      <c r="E2" s="28" t="s">
        <v>16</v>
      </c>
      <c r="F2" s="28" t="s">
        <v>18</v>
      </c>
      <c r="G2" s="28" t="s">
        <v>19</v>
      </c>
      <c r="H2" s="28" t="s">
        <v>21</v>
      </c>
      <c r="I2" s="28" t="s">
        <v>23</v>
      </c>
      <c r="J2" s="28" t="s">
        <v>24</v>
      </c>
      <c r="K2" s="28" t="s">
        <v>25</v>
      </c>
      <c r="L2" s="28" t="s">
        <v>26</v>
      </c>
    </row>
    <row r="3" spans="1:12" x14ac:dyDescent="0.3">
      <c r="A3" s="71" t="s">
        <v>7</v>
      </c>
      <c r="B3" s="72">
        <f t="shared" ref="B3:L3" si="0">MAX(B5:B1048576)</f>
        <v>3571</v>
      </c>
      <c r="C3" s="72">
        <f t="shared" si="0"/>
        <v>92846</v>
      </c>
      <c r="D3" s="72">
        <f t="shared" si="0"/>
        <v>111</v>
      </c>
      <c r="E3" s="72">
        <f t="shared" si="0"/>
        <v>58</v>
      </c>
      <c r="F3" s="72">
        <f t="shared" si="0"/>
        <v>13</v>
      </c>
      <c r="G3" s="72">
        <f t="shared" si="0"/>
        <v>13</v>
      </c>
      <c r="H3" s="72">
        <f t="shared" si="0"/>
        <v>199</v>
      </c>
      <c r="I3" s="72">
        <f t="shared" si="0"/>
        <v>34</v>
      </c>
      <c r="J3" s="72">
        <f t="shared" si="0"/>
        <v>194</v>
      </c>
      <c r="K3" s="73">
        <f t="shared" si="0"/>
        <v>8.8888888888888892E-2</v>
      </c>
      <c r="L3" s="72">
        <f t="shared" si="0"/>
        <v>228</v>
      </c>
    </row>
    <row r="4" spans="1:12" x14ac:dyDescent="0.3">
      <c r="A4" s="71" t="s">
        <v>6</v>
      </c>
      <c r="B4" s="72">
        <f t="shared" ref="B4:L4" si="1">MIN(B5:B1048576)</f>
        <v>84</v>
      </c>
      <c r="C4" s="72">
        <f t="shared" si="1"/>
        <v>1512</v>
      </c>
      <c r="D4" s="72">
        <f t="shared" si="1"/>
        <v>2</v>
      </c>
      <c r="E4" s="72">
        <f t="shared" si="1"/>
        <v>1</v>
      </c>
      <c r="F4" s="72">
        <f t="shared" si="1"/>
        <v>0</v>
      </c>
      <c r="G4" s="72">
        <f t="shared" si="1"/>
        <v>0</v>
      </c>
      <c r="H4" s="72">
        <f t="shared" si="1"/>
        <v>4</v>
      </c>
      <c r="I4" s="72">
        <f t="shared" si="1"/>
        <v>0</v>
      </c>
      <c r="J4" s="72">
        <f t="shared" si="1"/>
        <v>3</v>
      </c>
      <c r="K4" s="73">
        <f t="shared" si="1"/>
        <v>2.6845637583892617E-2</v>
      </c>
      <c r="L4" s="72">
        <f t="shared" si="1"/>
        <v>4</v>
      </c>
    </row>
    <row r="5" spans="1:12" x14ac:dyDescent="0.3">
      <c r="A5" s="74">
        <v>45566</v>
      </c>
      <c r="B5" s="67">
        <v>167</v>
      </c>
      <c r="C5" s="67">
        <v>3173</v>
      </c>
      <c r="D5" s="67">
        <v>8</v>
      </c>
      <c r="E5" s="67">
        <v>3</v>
      </c>
      <c r="F5" s="67">
        <v>1</v>
      </c>
      <c r="G5" s="67">
        <v>1</v>
      </c>
      <c r="H5" s="67">
        <v>8</v>
      </c>
      <c r="I5" s="67">
        <v>7</v>
      </c>
      <c r="J5" s="67">
        <f>SUM(DataTbl[[#This Row],[Likes]:[Shares]])</f>
        <v>13</v>
      </c>
      <c r="K5" s="75">
        <f>DataTbl[[#This Row],[Engagement]]/DataTbl[[#This Row],[Views]]</f>
        <v>7.7844311377245512E-2</v>
      </c>
      <c r="L5" s="67">
        <f>SUM(DataTbl[[#This Row],[Profile Visits]:[New Followers]])</f>
        <v>15</v>
      </c>
    </row>
    <row r="6" spans="1:12" x14ac:dyDescent="0.3">
      <c r="A6" s="74">
        <v>45567</v>
      </c>
      <c r="B6" s="67">
        <v>176</v>
      </c>
      <c r="C6" s="67">
        <v>3696</v>
      </c>
      <c r="D6" s="67">
        <v>7</v>
      </c>
      <c r="E6" s="67">
        <v>3</v>
      </c>
      <c r="F6" s="67">
        <v>1</v>
      </c>
      <c r="G6" s="67">
        <v>1</v>
      </c>
      <c r="H6" s="67">
        <v>11</v>
      </c>
      <c r="I6" s="67">
        <v>9</v>
      </c>
      <c r="J6" s="67">
        <f>SUM(DataTbl[[#This Row],[Likes]:[Shares]])</f>
        <v>12</v>
      </c>
      <c r="K6" s="75">
        <f>DataTbl[[#This Row],[Engagement]]/DataTbl[[#This Row],[Views]]</f>
        <v>6.8181818181818177E-2</v>
      </c>
      <c r="L6" s="67">
        <f>SUM(DataTbl[[#This Row],[Profile Visits]:[New Followers]])</f>
        <v>20</v>
      </c>
    </row>
    <row r="7" spans="1:12" x14ac:dyDescent="0.3">
      <c r="A7" s="74">
        <v>45568</v>
      </c>
      <c r="B7" s="67">
        <v>168</v>
      </c>
      <c r="C7" s="67">
        <v>5544</v>
      </c>
      <c r="D7" s="67">
        <v>4</v>
      </c>
      <c r="E7" s="67">
        <v>2</v>
      </c>
      <c r="F7" s="67">
        <v>0</v>
      </c>
      <c r="G7" s="67">
        <v>1</v>
      </c>
      <c r="H7" s="67">
        <v>12</v>
      </c>
      <c r="I7" s="67">
        <v>8</v>
      </c>
      <c r="J7" s="67">
        <f>SUM(DataTbl[[#This Row],[Likes]:[Shares]])</f>
        <v>7</v>
      </c>
      <c r="K7" s="75">
        <f>DataTbl[[#This Row],[Engagement]]/DataTbl[[#This Row],[Views]]</f>
        <v>4.1666666666666664E-2</v>
      </c>
      <c r="L7" s="67">
        <f>SUM(DataTbl[[#This Row],[Profile Visits]:[New Followers]])</f>
        <v>20</v>
      </c>
    </row>
    <row r="8" spans="1:12" x14ac:dyDescent="0.3">
      <c r="A8" s="74">
        <v>45569</v>
      </c>
      <c r="B8" s="67">
        <v>179</v>
      </c>
      <c r="C8" s="67">
        <v>5191</v>
      </c>
      <c r="D8" s="67">
        <v>7</v>
      </c>
      <c r="E8" s="67">
        <v>3</v>
      </c>
      <c r="F8" s="67">
        <v>1</v>
      </c>
      <c r="G8" s="67">
        <v>1</v>
      </c>
      <c r="H8" s="67">
        <v>7</v>
      </c>
      <c r="I8" s="67">
        <v>4</v>
      </c>
      <c r="J8" s="67">
        <f>SUM(DataTbl[[#This Row],[Likes]:[Shares]])</f>
        <v>12</v>
      </c>
      <c r="K8" s="75">
        <f>DataTbl[[#This Row],[Engagement]]/DataTbl[[#This Row],[Views]]</f>
        <v>6.7039106145251395E-2</v>
      </c>
      <c r="L8" s="67">
        <f>SUM(DataTbl[[#This Row],[Profile Visits]:[New Followers]])</f>
        <v>11</v>
      </c>
    </row>
    <row r="9" spans="1:12" x14ac:dyDescent="0.3">
      <c r="A9" s="74">
        <v>45570</v>
      </c>
      <c r="B9" s="67">
        <v>89</v>
      </c>
      <c r="C9" s="67">
        <v>1691</v>
      </c>
      <c r="D9" s="67">
        <v>3</v>
      </c>
      <c r="E9" s="67">
        <v>1</v>
      </c>
      <c r="F9" s="67">
        <v>0</v>
      </c>
      <c r="G9" s="67">
        <v>1</v>
      </c>
      <c r="H9" s="67">
        <v>6</v>
      </c>
      <c r="I9" s="67">
        <v>1</v>
      </c>
      <c r="J9" s="67">
        <f>SUM(DataTbl[[#This Row],[Likes]:[Shares]])</f>
        <v>5</v>
      </c>
      <c r="K9" s="75">
        <f>DataTbl[[#This Row],[Engagement]]/DataTbl[[#This Row],[Views]]</f>
        <v>5.6179775280898875E-2</v>
      </c>
      <c r="L9" s="67">
        <f>SUM(DataTbl[[#This Row],[Profile Visits]:[New Followers]])</f>
        <v>7</v>
      </c>
    </row>
    <row r="10" spans="1:12" x14ac:dyDescent="0.3">
      <c r="A10" s="74">
        <v>45571</v>
      </c>
      <c r="B10" s="67">
        <v>103</v>
      </c>
      <c r="C10" s="67">
        <v>2060</v>
      </c>
      <c r="D10" s="67">
        <v>3</v>
      </c>
      <c r="E10" s="67">
        <v>1</v>
      </c>
      <c r="F10" s="67">
        <v>0</v>
      </c>
      <c r="G10" s="67">
        <v>0</v>
      </c>
      <c r="H10" s="67">
        <v>6</v>
      </c>
      <c r="I10" s="67">
        <v>1</v>
      </c>
      <c r="J10" s="67">
        <f>SUM(DataTbl[[#This Row],[Likes]:[Shares]])</f>
        <v>4</v>
      </c>
      <c r="K10" s="75">
        <f>DataTbl[[#This Row],[Engagement]]/DataTbl[[#This Row],[Views]]</f>
        <v>3.8834951456310676E-2</v>
      </c>
      <c r="L10" s="67">
        <f>SUM(DataTbl[[#This Row],[Profile Visits]:[New Followers]])</f>
        <v>7</v>
      </c>
    </row>
    <row r="11" spans="1:12" x14ac:dyDescent="0.3">
      <c r="A11" s="74">
        <v>45572</v>
      </c>
      <c r="B11" s="67">
        <v>105</v>
      </c>
      <c r="C11" s="67">
        <v>2835</v>
      </c>
      <c r="D11" s="67">
        <v>4</v>
      </c>
      <c r="E11" s="67">
        <v>2</v>
      </c>
      <c r="F11" s="67">
        <v>0</v>
      </c>
      <c r="G11" s="67">
        <v>1</v>
      </c>
      <c r="H11" s="67">
        <v>7</v>
      </c>
      <c r="I11" s="67">
        <v>1</v>
      </c>
      <c r="J11" s="67">
        <f>SUM(DataTbl[[#This Row],[Likes]:[Shares]])</f>
        <v>7</v>
      </c>
      <c r="K11" s="75">
        <f>DataTbl[[#This Row],[Engagement]]/DataTbl[[#This Row],[Views]]</f>
        <v>6.6666666666666666E-2</v>
      </c>
      <c r="L11" s="67">
        <f>SUM(DataTbl[[#This Row],[Profile Visits]:[New Followers]])</f>
        <v>8</v>
      </c>
    </row>
    <row r="12" spans="1:12" x14ac:dyDescent="0.3">
      <c r="A12" s="74">
        <v>45573</v>
      </c>
      <c r="B12" s="67">
        <v>102</v>
      </c>
      <c r="C12" s="67">
        <v>2856</v>
      </c>
      <c r="D12" s="67">
        <v>5</v>
      </c>
      <c r="E12" s="67">
        <v>2</v>
      </c>
      <c r="F12" s="67">
        <v>1</v>
      </c>
      <c r="G12" s="67">
        <v>0</v>
      </c>
      <c r="H12" s="67">
        <v>6</v>
      </c>
      <c r="I12" s="67">
        <v>1</v>
      </c>
      <c r="J12" s="67">
        <f>SUM(DataTbl[[#This Row],[Likes]:[Shares]])</f>
        <v>8</v>
      </c>
      <c r="K12" s="75">
        <f>DataTbl[[#This Row],[Engagement]]/DataTbl[[#This Row],[Views]]</f>
        <v>7.8431372549019607E-2</v>
      </c>
      <c r="L12" s="67">
        <f>SUM(DataTbl[[#This Row],[Profile Visits]:[New Followers]])</f>
        <v>7</v>
      </c>
    </row>
    <row r="13" spans="1:12" x14ac:dyDescent="0.3">
      <c r="A13" s="74">
        <v>45574</v>
      </c>
      <c r="B13" s="67">
        <v>93</v>
      </c>
      <c r="C13" s="67">
        <v>2883</v>
      </c>
      <c r="D13" s="67">
        <v>4</v>
      </c>
      <c r="E13" s="67">
        <v>2</v>
      </c>
      <c r="F13" s="67">
        <v>0</v>
      </c>
      <c r="G13" s="67">
        <v>1</v>
      </c>
      <c r="H13" s="67">
        <v>6</v>
      </c>
      <c r="I13" s="67">
        <v>1</v>
      </c>
      <c r="J13" s="67">
        <f>SUM(DataTbl[[#This Row],[Likes]:[Shares]])</f>
        <v>7</v>
      </c>
      <c r="K13" s="75">
        <f>DataTbl[[#This Row],[Engagement]]/DataTbl[[#This Row],[Views]]</f>
        <v>7.5268817204301078E-2</v>
      </c>
      <c r="L13" s="67">
        <f>SUM(DataTbl[[#This Row],[Profile Visits]:[New Followers]])</f>
        <v>7</v>
      </c>
    </row>
    <row r="14" spans="1:12" x14ac:dyDescent="0.3">
      <c r="A14" s="74">
        <v>45575</v>
      </c>
      <c r="B14" s="67">
        <v>84</v>
      </c>
      <c r="C14" s="67">
        <v>1512</v>
      </c>
      <c r="D14" s="67">
        <v>2</v>
      </c>
      <c r="E14" s="67">
        <v>1</v>
      </c>
      <c r="F14" s="67">
        <v>0</v>
      </c>
      <c r="G14" s="67">
        <v>0</v>
      </c>
      <c r="H14" s="67">
        <v>5</v>
      </c>
      <c r="I14" s="67">
        <v>1</v>
      </c>
      <c r="J14" s="67">
        <f>SUM(DataTbl[[#This Row],[Likes]:[Shares]])</f>
        <v>3</v>
      </c>
      <c r="K14" s="75">
        <f>DataTbl[[#This Row],[Engagement]]/DataTbl[[#This Row],[Views]]</f>
        <v>3.5714285714285712E-2</v>
      </c>
      <c r="L14" s="67">
        <f>SUM(DataTbl[[#This Row],[Profile Visits]:[New Followers]])</f>
        <v>6</v>
      </c>
    </row>
    <row r="15" spans="1:12" x14ac:dyDescent="0.3">
      <c r="A15" s="74">
        <v>45576</v>
      </c>
      <c r="B15" s="67">
        <v>109</v>
      </c>
      <c r="C15" s="67">
        <v>2507</v>
      </c>
      <c r="D15" s="67">
        <v>5</v>
      </c>
      <c r="E15" s="67">
        <v>2</v>
      </c>
      <c r="F15" s="67">
        <v>1</v>
      </c>
      <c r="G15" s="67">
        <v>1</v>
      </c>
      <c r="H15" s="67">
        <v>5</v>
      </c>
      <c r="I15" s="67">
        <v>1</v>
      </c>
      <c r="J15" s="67">
        <f>SUM(DataTbl[[#This Row],[Likes]:[Shares]])</f>
        <v>9</v>
      </c>
      <c r="K15" s="75">
        <f>DataTbl[[#This Row],[Engagement]]/DataTbl[[#This Row],[Views]]</f>
        <v>8.2568807339449546E-2</v>
      </c>
      <c r="L15" s="67">
        <f>SUM(DataTbl[[#This Row],[Profile Visits]:[New Followers]])</f>
        <v>6</v>
      </c>
    </row>
    <row r="16" spans="1:12" x14ac:dyDescent="0.3">
      <c r="A16" s="74">
        <v>45577</v>
      </c>
      <c r="B16" s="67">
        <v>115</v>
      </c>
      <c r="C16" s="67">
        <v>2415</v>
      </c>
      <c r="D16" s="67">
        <v>3</v>
      </c>
      <c r="E16" s="67">
        <v>2</v>
      </c>
      <c r="F16" s="67">
        <v>1</v>
      </c>
      <c r="G16" s="67">
        <v>1</v>
      </c>
      <c r="H16" s="67">
        <v>8</v>
      </c>
      <c r="I16" s="67">
        <v>2</v>
      </c>
      <c r="J16" s="67">
        <f>SUM(DataTbl[[#This Row],[Likes]:[Shares]])</f>
        <v>7</v>
      </c>
      <c r="K16" s="75">
        <f>DataTbl[[#This Row],[Engagement]]/DataTbl[[#This Row],[Views]]</f>
        <v>6.0869565217391307E-2</v>
      </c>
      <c r="L16" s="67">
        <f>SUM(DataTbl[[#This Row],[Profile Visits]:[New Followers]])</f>
        <v>10</v>
      </c>
    </row>
    <row r="17" spans="1:12" x14ac:dyDescent="0.3">
      <c r="A17" s="74">
        <v>45578</v>
      </c>
      <c r="B17" s="67">
        <v>122</v>
      </c>
      <c r="C17" s="67">
        <v>4148</v>
      </c>
      <c r="D17" s="67">
        <v>4</v>
      </c>
      <c r="E17" s="67">
        <v>2</v>
      </c>
      <c r="F17" s="67">
        <v>1</v>
      </c>
      <c r="G17" s="67">
        <v>1</v>
      </c>
      <c r="H17" s="67">
        <v>6</v>
      </c>
      <c r="I17" s="67">
        <v>1</v>
      </c>
      <c r="J17" s="67">
        <f>SUM(DataTbl[[#This Row],[Likes]:[Shares]])</f>
        <v>8</v>
      </c>
      <c r="K17" s="75">
        <f>DataTbl[[#This Row],[Engagement]]/DataTbl[[#This Row],[Views]]</f>
        <v>6.5573770491803282E-2</v>
      </c>
      <c r="L17" s="67">
        <f>SUM(DataTbl[[#This Row],[Profile Visits]:[New Followers]])</f>
        <v>7</v>
      </c>
    </row>
    <row r="18" spans="1:12" x14ac:dyDescent="0.3">
      <c r="A18" s="74">
        <v>45579</v>
      </c>
      <c r="B18" s="67">
        <v>95</v>
      </c>
      <c r="C18" s="67">
        <v>1995</v>
      </c>
      <c r="D18" s="67">
        <v>3</v>
      </c>
      <c r="E18" s="67">
        <v>1</v>
      </c>
      <c r="F18" s="67">
        <v>0</v>
      </c>
      <c r="G18" s="67">
        <v>0</v>
      </c>
      <c r="H18" s="67">
        <v>4</v>
      </c>
      <c r="I18" s="67">
        <v>0</v>
      </c>
      <c r="J18" s="67">
        <f>SUM(DataTbl[[#This Row],[Likes]:[Shares]])</f>
        <v>4</v>
      </c>
      <c r="K18" s="75">
        <f>DataTbl[[#This Row],[Engagement]]/DataTbl[[#This Row],[Views]]</f>
        <v>4.2105263157894736E-2</v>
      </c>
      <c r="L18" s="67">
        <f>SUM(DataTbl[[#This Row],[Profile Visits]:[New Followers]])</f>
        <v>4</v>
      </c>
    </row>
    <row r="19" spans="1:12" x14ac:dyDescent="0.3">
      <c r="A19" s="74">
        <v>45580</v>
      </c>
      <c r="B19" s="67">
        <v>108</v>
      </c>
      <c r="C19" s="67">
        <v>3780</v>
      </c>
      <c r="D19" s="67">
        <v>2</v>
      </c>
      <c r="E19" s="67">
        <v>1</v>
      </c>
      <c r="F19" s="67">
        <v>0</v>
      </c>
      <c r="G19" s="67">
        <v>0</v>
      </c>
      <c r="H19" s="67">
        <v>6</v>
      </c>
      <c r="I19" s="67">
        <v>1</v>
      </c>
      <c r="J19" s="67">
        <f>SUM(DataTbl[[#This Row],[Likes]:[Shares]])</f>
        <v>3</v>
      </c>
      <c r="K19" s="75">
        <f>DataTbl[[#This Row],[Engagement]]/DataTbl[[#This Row],[Views]]</f>
        <v>2.7777777777777776E-2</v>
      </c>
      <c r="L19" s="67">
        <f>SUM(DataTbl[[#This Row],[Profile Visits]:[New Followers]])</f>
        <v>7</v>
      </c>
    </row>
    <row r="20" spans="1:12" x14ac:dyDescent="0.3">
      <c r="A20" s="74">
        <v>45581</v>
      </c>
      <c r="B20" s="67">
        <v>103</v>
      </c>
      <c r="C20" s="67">
        <v>3296</v>
      </c>
      <c r="D20" s="67">
        <v>4</v>
      </c>
      <c r="E20" s="67">
        <v>1</v>
      </c>
      <c r="F20" s="67">
        <v>0</v>
      </c>
      <c r="G20" s="67">
        <v>0</v>
      </c>
      <c r="H20" s="67">
        <v>6</v>
      </c>
      <c r="I20" s="67">
        <v>1</v>
      </c>
      <c r="J20" s="67">
        <f>SUM(DataTbl[[#This Row],[Likes]:[Shares]])</f>
        <v>5</v>
      </c>
      <c r="K20" s="75">
        <f>DataTbl[[#This Row],[Engagement]]/DataTbl[[#This Row],[Views]]</f>
        <v>4.8543689320388349E-2</v>
      </c>
      <c r="L20" s="67">
        <f>SUM(DataTbl[[#This Row],[Profile Visits]:[New Followers]])</f>
        <v>7</v>
      </c>
    </row>
    <row r="21" spans="1:12" x14ac:dyDescent="0.3">
      <c r="A21" s="74">
        <v>45582</v>
      </c>
      <c r="B21" s="67">
        <v>87</v>
      </c>
      <c r="C21" s="67">
        <v>2784</v>
      </c>
      <c r="D21" s="67">
        <v>4</v>
      </c>
      <c r="E21" s="67">
        <v>1</v>
      </c>
      <c r="F21" s="67">
        <v>0</v>
      </c>
      <c r="G21" s="67">
        <v>1</v>
      </c>
      <c r="H21" s="67">
        <v>4</v>
      </c>
      <c r="I21" s="67">
        <v>1</v>
      </c>
      <c r="J21" s="67">
        <f>SUM(DataTbl[[#This Row],[Likes]:[Shares]])</f>
        <v>6</v>
      </c>
      <c r="K21" s="75">
        <f>DataTbl[[#This Row],[Engagement]]/DataTbl[[#This Row],[Views]]</f>
        <v>6.8965517241379309E-2</v>
      </c>
      <c r="L21" s="67">
        <f>SUM(DataTbl[[#This Row],[Profile Visits]:[New Followers]])</f>
        <v>5</v>
      </c>
    </row>
    <row r="22" spans="1:12" x14ac:dyDescent="0.3">
      <c r="A22" s="74">
        <v>45583</v>
      </c>
      <c r="B22" s="67">
        <v>108</v>
      </c>
      <c r="C22" s="67">
        <v>2700</v>
      </c>
      <c r="D22" s="67">
        <v>5</v>
      </c>
      <c r="E22" s="67">
        <v>2</v>
      </c>
      <c r="F22" s="67">
        <v>1</v>
      </c>
      <c r="G22" s="67">
        <v>1</v>
      </c>
      <c r="H22" s="67">
        <v>6</v>
      </c>
      <c r="I22" s="67">
        <v>1</v>
      </c>
      <c r="J22" s="67">
        <f>SUM(DataTbl[[#This Row],[Likes]:[Shares]])</f>
        <v>9</v>
      </c>
      <c r="K22" s="75">
        <f>DataTbl[[#This Row],[Engagement]]/DataTbl[[#This Row],[Views]]</f>
        <v>8.3333333333333329E-2</v>
      </c>
      <c r="L22" s="67">
        <f>SUM(DataTbl[[#This Row],[Profile Visits]:[New Followers]])</f>
        <v>7</v>
      </c>
    </row>
    <row r="23" spans="1:12" x14ac:dyDescent="0.3">
      <c r="A23" s="74">
        <v>45584</v>
      </c>
      <c r="B23" s="67">
        <v>137</v>
      </c>
      <c r="C23" s="67">
        <v>4384</v>
      </c>
      <c r="D23" s="67">
        <v>4</v>
      </c>
      <c r="E23" s="67">
        <v>2</v>
      </c>
      <c r="F23" s="67">
        <v>1</v>
      </c>
      <c r="G23" s="67">
        <v>1</v>
      </c>
      <c r="H23" s="67">
        <v>9</v>
      </c>
      <c r="I23" s="67">
        <v>1</v>
      </c>
      <c r="J23" s="67">
        <f>SUM(DataTbl[[#This Row],[Likes]:[Shares]])</f>
        <v>8</v>
      </c>
      <c r="K23" s="75">
        <f>DataTbl[[#This Row],[Engagement]]/DataTbl[[#This Row],[Views]]</f>
        <v>5.8394160583941604E-2</v>
      </c>
      <c r="L23" s="67">
        <f>SUM(DataTbl[[#This Row],[Profile Visits]:[New Followers]])</f>
        <v>10</v>
      </c>
    </row>
    <row r="24" spans="1:12" x14ac:dyDescent="0.3">
      <c r="A24" s="74">
        <v>45585</v>
      </c>
      <c r="B24" s="67">
        <v>112</v>
      </c>
      <c r="C24" s="67">
        <v>3136</v>
      </c>
      <c r="D24" s="67">
        <v>5</v>
      </c>
      <c r="E24" s="67">
        <v>2</v>
      </c>
      <c r="F24" s="67">
        <v>0</v>
      </c>
      <c r="G24" s="67">
        <v>1</v>
      </c>
      <c r="H24" s="67">
        <v>8</v>
      </c>
      <c r="I24" s="67">
        <v>2</v>
      </c>
      <c r="J24" s="67">
        <f>SUM(DataTbl[[#This Row],[Likes]:[Shares]])</f>
        <v>8</v>
      </c>
      <c r="K24" s="75">
        <f>DataTbl[[#This Row],[Engagement]]/DataTbl[[#This Row],[Views]]</f>
        <v>7.1428571428571425E-2</v>
      </c>
      <c r="L24" s="67">
        <f>SUM(DataTbl[[#This Row],[Profile Visits]:[New Followers]])</f>
        <v>10</v>
      </c>
    </row>
    <row r="25" spans="1:12" x14ac:dyDescent="0.3">
      <c r="A25" s="74">
        <v>45586</v>
      </c>
      <c r="B25" s="67">
        <v>90</v>
      </c>
      <c r="C25" s="67">
        <v>1710</v>
      </c>
      <c r="D25" s="67">
        <v>4</v>
      </c>
      <c r="E25" s="67">
        <v>2</v>
      </c>
      <c r="F25" s="67">
        <v>1</v>
      </c>
      <c r="G25" s="67">
        <v>1</v>
      </c>
      <c r="H25" s="67">
        <v>4</v>
      </c>
      <c r="I25" s="67">
        <v>1</v>
      </c>
      <c r="J25" s="67">
        <f>SUM(DataTbl[[#This Row],[Likes]:[Shares]])</f>
        <v>8</v>
      </c>
      <c r="K25" s="75">
        <f>DataTbl[[#This Row],[Engagement]]/DataTbl[[#This Row],[Views]]</f>
        <v>8.8888888888888892E-2</v>
      </c>
      <c r="L25" s="67">
        <f>SUM(DataTbl[[#This Row],[Profile Visits]:[New Followers]])</f>
        <v>5</v>
      </c>
    </row>
    <row r="26" spans="1:12" x14ac:dyDescent="0.3">
      <c r="A26" s="74">
        <v>45587</v>
      </c>
      <c r="B26" s="67">
        <v>100</v>
      </c>
      <c r="C26" s="67">
        <v>2500</v>
      </c>
      <c r="D26" s="67">
        <v>4</v>
      </c>
      <c r="E26" s="67">
        <v>2</v>
      </c>
      <c r="F26" s="67">
        <v>1</v>
      </c>
      <c r="G26" s="67">
        <v>1</v>
      </c>
      <c r="H26" s="67">
        <v>6</v>
      </c>
      <c r="I26" s="67">
        <v>1</v>
      </c>
      <c r="J26" s="67">
        <f>SUM(DataTbl[[#This Row],[Likes]:[Shares]])</f>
        <v>8</v>
      </c>
      <c r="K26" s="75">
        <f>DataTbl[[#This Row],[Engagement]]/DataTbl[[#This Row],[Views]]</f>
        <v>0.08</v>
      </c>
      <c r="L26" s="67">
        <f>SUM(DataTbl[[#This Row],[Profile Visits]:[New Followers]])</f>
        <v>7</v>
      </c>
    </row>
    <row r="27" spans="1:12" x14ac:dyDescent="0.3">
      <c r="A27" s="74">
        <v>45588</v>
      </c>
      <c r="B27" s="67">
        <v>99</v>
      </c>
      <c r="C27" s="67">
        <v>1980</v>
      </c>
      <c r="D27" s="67">
        <v>4</v>
      </c>
      <c r="E27" s="67">
        <v>2</v>
      </c>
      <c r="F27" s="67">
        <v>0</v>
      </c>
      <c r="G27" s="67">
        <v>1</v>
      </c>
      <c r="H27" s="67">
        <v>8</v>
      </c>
      <c r="I27" s="67">
        <v>1</v>
      </c>
      <c r="J27" s="67">
        <f>SUM(DataTbl[[#This Row],[Likes]:[Shares]])</f>
        <v>7</v>
      </c>
      <c r="K27" s="75">
        <f>DataTbl[[#This Row],[Engagement]]/DataTbl[[#This Row],[Views]]</f>
        <v>7.0707070707070704E-2</v>
      </c>
      <c r="L27" s="67">
        <f>SUM(DataTbl[[#This Row],[Profile Visits]:[New Followers]])</f>
        <v>9</v>
      </c>
    </row>
    <row r="28" spans="1:12" x14ac:dyDescent="0.3">
      <c r="A28" s="74">
        <v>45589</v>
      </c>
      <c r="B28" s="67">
        <v>92</v>
      </c>
      <c r="C28" s="67">
        <v>2484</v>
      </c>
      <c r="D28" s="67">
        <v>3</v>
      </c>
      <c r="E28" s="67">
        <v>1</v>
      </c>
      <c r="F28" s="67">
        <v>0</v>
      </c>
      <c r="G28" s="67">
        <v>0</v>
      </c>
      <c r="H28" s="67">
        <v>5</v>
      </c>
      <c r="I28" s="67">
        <v>1</v>
      </c>
      <c r="J28" s="67">
        <f>SUM(DataTbl[[#This Row],[Likes]:[Shares]])</f>
        <v>4</v>
      </c>
      <c r="K28" s="75">
        <f>DataTbl[[#This Row],[Engagement]]/DataTbl[[#This Row],[Views]]</f>
        <v>4.3478260869565216E-2</v>
      </c>
      <c r="L28" s="67">
        <f>SUM(DataTbl[[#This Row],[Profile Visits]:[New Followers]])</f>
        <v>6</v>
      </c>
    </row>
    <row r="29" spans="1:12" x14ac:dyDescent="0.3">
      <c r="A29" s="74">
        <v>45590</v>
      </c>
      <c r="B29" s="67">
        <v>107</v>
      </c>
      <c r="C29" s="67">
        <v>3424</v>
      </c>
      <c r="D29" s="67">
        <v>3</v>
      </c>
      <c r="E29" s="67">
        <v>2</v>
      </c>
      <c r="F29" s="67">
        <v>0</v>
      </c>
      <c r="G29" s="67">
        <v>0</v>
      </c>
      <c r="H29" s="67">
        <v>5</v>
      </c>
      <c r="I29" s="67">
        <v>1</v>
      </c>
      <c r="J29" s="67">
        <f>SUM(DataTbl[[#This Row],[Likes]:[Shares]])</f>
        <v>5</v>
      </c>
      <c r="K29" s="75">
        <f>DataTbl[[#This Row],[Engagement]]/DataTbl[[#This Row],[Views]]</f>
        <v>4.6728971962616821E-2</v>
      </c>
      <c r="L29" s="67">
        <f>SUM(DataTbl[[#This Row],[Profile Visits]:[New Followers]])</f>
        <v>6</v>
      </c>
    </row>
    <row r="30" spans="1:12" x14ac:dyDescent="0.3">
      <c r="A30" s="74">
        <v>45591</v>
      </c>
      <c r="B30" s="67">
        <v>103</v>
      </c>
      <c r="C30" s="67">
        <v>3502</v>
      </c>
      <c r="D30" s="67">
        <v>3</v>
      </c>
      <c r="E30" s="67">
        <v>1</v>
      </c>
      <c r="F30" s="67">
        <v>0</v>
      </c>
      <c r="G30" s="67">
        <v>0</v>
      </c>
      <c r="H30" s="67">
        <v>4</v>
      </c>
      <c r="I30" s="67">
        <v>1</v>
      </c>
      <c r="J30" s="67">
        <f>SUM(DataTbl[[#This Row],[Likes]:[Shares]])</f>
        <v>4</v>
      </c>
      <c r="K30" s="75">
        <f>DataTbl[[#This Row],[Engagement]]/DataTbl[[#This Row],[Views]]</f>
        <v>3.8834951456310676E-2</v>
      </c>
      <c r="L30" s="67">
        <f>SUM(DataTbl[[#This Row],[Profile Visits]:[New Followers]])</f>
        <v>5</v>
      </c>
    </row>
    <row r="31" spans="1:12" x14ac:dyDescent="0.3">
      <c r="A31" s="74">
        <v>45592</v>
      </c>
      <c r="B31" s="67">
        <v>104</v>
      </c>
      <c r="C31" s="67">
        <v>1976</v>
      </c>
      <c r="D31" s="67">
        <v>3</v>
      </c>
      <c r="E31" s="67">
        <v>1</v>
      </c>
      <c r="F31" s="67">
        <v>0</v>
      </c>
      <c r="G31" s="67">
        <v>0</v>
      </c>
      <c r="H31" s="67">
        <v>5</v>
      </c>
      <c r="I31" s="67">
        <v>1</v>
      </c>
      <c r="J31" s="67">
        <f>SUM(DataTbl[[#This Row],[Likes]:[Shares]])</f>
        <v>4</v>
      </c>
      <c r="K31" s="75">
        <f>DataTbl[[#This Row],[Engagement]]/DataTbl[[#This Row],[Views]]</f>
        <v>3.8461538461538464E-2</v>
      </c>
      <c r="L31" s="67">
        <f>SUM(DataTbl[[#This Row],[Profile Visits]:[New Followers]])</f>
        <v>6</v>
      </c>
    </row>
    <row r="32" spans="1:12" x14ac:dyDescent="0.3">
      <c r="A32" s="74">
        <v>45593</v>
      </c>
      <c r="B32" s="67">
        <v>104</v>
      </c>
      <c r="C32" s="67">
        <v>2184</v>
      </c>
      <c r="D32" s="67">
        <v>4</v>
      </c>
      <c r="E32" s="67">
        <v>2</v>
      </c>
      <c r="F32" s="67">
        <v>1</v>
      </c>
      <c r="G32" s="67">
        <v>0</v>
      </c>
      <c r="H32" s="67">
        <v>5</v>
      </c>
      <c r="I32" s="67">
        <v>1</v>
      </c>
      <c r="J32" s="67">
        <f>SUM(DataTbl[[#This Row],[Likes]:[Shares]])</f>
        <v>7</v>
      </c>
      <c r="K32" s="75">
        <f>DataTbl[[#This Row],[Engagement]]/DataTbl[[#This Row],[Views]]</f>
        <v>6.7307692307692304E-2</v>
      </c>
      <c r="L32" s="67">
        <f>SUM(DataTbl[[#This Row],[Profile Visits]:[New Followers]])</f>
        <v>6</v>
      </c>
    </row>
    <row r="33" spans="1:12" x14ac:dyDescent="0.3">
      <c r="A33" s="74">
        <v>45594</v>
      </c>
      <c r="B33" s="67">
        <v>95</v>
      </c>
      <c r="C33" s="67">
        <v>3040</v>
      </c>
      <c r="D33" s="67">
        <v>3</v>
      </c>
      <c r="E33" s="67">
        <v>1</v>
      </c>
      <c r="F33" s="67">
        <v>0</v>
      </c>
      <c r="G33" s="67">
        <v>1</v>
      </c>
      <c r="H33" s="67">
        <v>6</v>
      </c>
      <c r="I33" s="67">
        <v>1</v>
      </c>
      <c r="J33" s="67">
        <f>SUM(DataTbl[[#This Row],[Likes]:[Shares]])</f>
        <v>5</v>
      </c>
      <c r="K33" s="75">
        <f>DataTbl[[#This Row],[Engagement]]/DataTbl[[#This Row],[Views]]</f>
        <v>5.2631578947368418E-2</v>
      </c>
      <c r="L33" s="67">
        <f>SUM(DataTbl[[#This Row],[Profile Visits]:[New Followers]])</f>
        <v>7</v>
      </c>
    </row>
    <row r="34" spans="1:12" x14ac:dyDescent="0.3">
      <c r="A34" s="74">
        <v>45595</v>
      </c>
      <c r="B34" s="67">
        <v>87</v>
      </c>
      <c r="C34" s="67">
        <v>2349</v>
      </c>
      <c r="D34" s="67">
        <v>3</v>
      </c>
      <c r="E34" s="67">
        <v>1</v>
      </c>
      <c r="F34" s="67">
        <v>0</v>
      </c>
      <c r="G34" s="67">
        <v>0</v>
      </c>
      <c r="H34" s="67">
        <v>4</v>
      </c>
      <c r="I34" s="67">
        <v>0</v>
      </c>
      <c r="J34" s="67">
        <f>SUM(DataTbl[[#This Row],[Likes]:[Shares]])</f>
        <v>4</v>
      </c>
      <c r="K34" s="75">
        <f>DataTbl[[#This Row],[Engagement]]/DataTbl[[#This Row],[Views]]</f>
        <v>4.5977011494252873E-2</v>
      </c>
      <c r="L34" s="67">
        <f>SUM(DataTbl[[#This Row],[Profile Visits]:[New Followers]])</f>
        <v>4</v>
      </c>
    </row>
    <row r="35" spans="1:12" x14ac:dyDescent="0.3">
      <c r="A35" s="74">
        <v>45596</v>
      </c>
      <c r="B35" s="67">
        <v>86</v>
      </c>
      <c r="C35" s="67">
        <v>1634</v>
      </c>
      <c r="D35" s="67">
        <v>4</v>
      </c>
      <c r="E35" s="67">
        <v>2</v>
      </c>
      <c r="F35" s="67">
        <v>0</v>
      </c>
      <c r="G35" s="67">
        <v>1</v>
      </c>
      <c r="H35" s="67">
        <v>4</v>
      </c>
      <c r="I35" s="67">
        <v>1</v>
      </c>
      <c r="J35" s="67">
        <f>SUM(DataTbl[[#This Row],[Likes]:[Shares]])</f>
        <v>7</v>
      </c>
      <c r="K35" s="75">
        <f>DataTbl[[#This Row],[Engagement]]/DataTbl[[#This Row],[Views]]</f>
        <v>8.1395348837209308E-2</v>
      </c>
      <c r="L35" s="67">
        <f>SUM(DataTbl[[#This Row],[Profile Visits]:[New Followers]])</f>
        <v>5</v>
      </c>
    </row>
    <row r="36" spans="1:12" x14ac:dyDescent="0.3">
      <c r="A36" s="74">
        <v>45597</v>
      </c>
      <c r="B36" s="67">
        <v>108</v>
      </c>
      <c r="C36" s="67">
        <v>3240</v>
      </c>
      <c r="D36" s="67">
        <v>4</v>
      </c>
      <c r="E36" s="67">
        <v>2</v>
      </c>
      <c r="F36" s="67">
        <v>1</v>
      </c>
      <c r="G36" s="67">
        <v>0</v>
      </c>
      <c r="H36" s="67">
        <v>8</v>
      </c>
      <c r="I36" s="67">
        <v>1</v>
      </c>
      <c r="J36" s="67">
        <f>SUM(DataTbl[[#This Row],[Likes]:[Shares]])</f>
        <v>7</v>
      </c>
      <c r="K36" s="75">
        <f>DataTbl[[#This Row],[Engagement]]/DataTbl[[#This Row],[Views]]</f>
        <v>6.4814814814814811E-2</v>
      </c>
      <c r="L36" s="67">
        <f>SUM(DataTbl[[#This Row],[Profile Visits]:[New Followers]])</f>
        <v>9</v>
      </c>
    </row>
    <row r="37" spans="1:12" x14ac:dyDescent="0.3">
      <c r="A37" s="74">
        <v>45598</v>
      </c>
      <c r="B37" s="67">
        <v>116</v>
      </c>
      <c r="C37" s="67">
        <v>2784</v>
      </c>
      <c r="D37" s="67">
        <v>5</v>
      </c>
      <c r="E37" s="67">
        <v>2</v>
      </c>
      <c r="F37" s="67">
        <v>1</v>
      </c>
      <c r="G37" s="67">
        <v>1</v>
      </c>
      <c r="H37" s="67">
        <v>9</v>
      </c>
      <c r="I37" s="67">
        <v>1</v>
      </c>
      <c r="J37" s="67">
        <f>SUM(DataTbl[[#This Row],[Likes]:[Shares]])</f>
        <v>9</v>
      </c>
      <c r="K37" s="75">
        <f>DataTbl[[#This Row],[Engagement]]/DataTbl[[#This Row],[Views]]</f>
        <v>7.7586206896551727E-2</v>
      </c>
      <c r="L37" s="67">
        <f>SUM(DataTbl[[#This Row],[Profile Visits]:[New Followers]])</f>
        <v>10</v>
      </c>
    </row>
    <row r="38" spans="1:12" x14ac:dyDescent="0.3">
      <c r="A38" s="74">
        <v>45599</v>
      </c>
      <c r="B38" s="67">
        <v>136</v>
      </c>
      <c r="C38" s="67">
        <v>3128</v>
      </c>
      <c r="D38" s="67">
        <v>4</v>
      </c>
      <c r="E38" s="67">
        <v>2</v>
      </c>
      <c r="F38" s="67">
        <v>0</v>
      </c>
      <c r="G38" s="67">
        <v>1</v>
      </c>
      <c r="H38" s="67">
        <v>9</v>
      </c>
      <c r="I38" s="67">
        <v>2</v>
      </c>
      <c r="J38" s="67">
        <f>SUM(DataTbl[[#This Row],[Likes]:[Shares]])</f>
        <v>7</v>
      </c>
      <c r="K38" s="75">
        <f>DataTbl[[#This Row],[Engagement]]/DataTbl[[#This Row],[Views]]</f>
        <v>5.1470588235294115E-2</v>
      </c>
      <c r="L38" s="67">
        <f>SUM(DataTbl[[#This Row],[Profile Visits]:[New Followers]])</f>
        <v>11</v>
      </c>
    </row>
    <row r="39" spans="1:12" x14ac:dyDescent="0.3">
      <c r="A39" s="74">
        <v>45600</v>
      </c>
      <c r="B39" s="67">
        <v>115</v>
      </c>
      <c r="C39" s="67">
        <v>2530</v>
      </c>
      <c r="D39" s="67">
        <v>4</v>
      </c>
      <c r="E39" s="67">
        <v>2</v>
      </c>
      <c r="F39" s="67">
        <v>1</v>
      </c>
      <c r="G39" s="67">
        <v>1</v>
      </c>
      <c r="H39" s="67">
        <v>5</v>
      </c>
      <c r="I39" s="67">
        <v>1</v>
      </c>
      <c r="J39" s="67">
        <f>SUM(DataTbl[[#This Row],[Likes]:[Shares]])</f>
        <v>8</v>
      </c>
      <c r="K39" s="75">
        <f>DataTbl[[#This Row],[Engagement]]/DataTbl[[#This Row],[Views]]</f>
        <v>6.9565217391304349E-2</v>
      </c>
      <c r="L39" s="67">
        <f>SUM(DataTbl[[#This Row],[Profile Visits]:[New Followers]])</f>
        <v>6</v>
      </c>
    </row>
    <row r="40" spans="1:12" x14ac:dyDescent="0.3">
      <c r="A40" s="74">
        <v>45601</v>
      </c>
      <c r="B40" s="67">
        <v>113</v>
      </c>
      <c r="C40" s="67">
        <v>3277</v>
      </c>
      <c r="D40" s="67">
        <v>3</v>
      </c>
      <c r="E40" s="67">
        <v>1</v>
      </c>
      <c r="F40" s="67">
        <v>0</v>
      </c>
      <c r="G40" s="67">
        <v>0</v>
      </c>
      <c r="H40" s="67">
        <v>8</v>
      </c>
      <c r="I40" s="67">
        <v>1</v>
      </c>
      <c r="J40" s="67">
        <f>SUM(DataTbl[[#This Row],[Likes]:[Shares]])</f>
        <v>4</v>
      </c>
      <c r="K40" s="75">
        <f>DataTbl[[#This Row],[Engagement]]/DataTbl[[#This Row],[Views]]</f>
        <v>3.5398230088495575E-2</v>
      </c>
      <c r="L40" s="67">
        <f>SUM(DataTbl[[#This Row],[Profile Visits]:[New Followers]])</f>
        <v>9</v>
      </c>
    </row>
    <row r="41" spans="1:12" x14ac:dyDescent="0.3">
      <c r="A41" s="74">
        <v>45602</v>
      </c>
      <c r="B41" s="67">
        <v>91</v>
      </c>
      <c r="C41" s="67">
        <v>2821</v>
      </c>
      <c r="D41" s="67">
        <v>3</v>
      </c>
      <c r="E41" s="67">
        <v>1</v>
      </c>
      <c r="F41" s="67">
        <v>0</v>
      </c>
      <c r="G41" s="67">
        <v>0</v>
      </c>
      <c r="H41" s="67">
        <v>7</v>
      </c>
      <c r="I41" s="67">
        <v>1</v>
      </c>
      <c r="J41" s="67">
        <f>SUM(DataTbl[[#This Row],[Likes]:[Shares]])</f>
        <v>4</v>
      </c>
      <c r="K41" s="75">
        <f>DataTbl[[#This Row],[Engagement]]/DataTbl[[#This Row],[Views]]</f>
        <v>4.3956043956043959E-2</v>
      </c>
      <c r="L41" s="67">
        <f>SUM(DataTbl[[#This Row],[Profile Visits]:[New Followers]])</f>
        <v>8</v>
      </c>
    </row>
    <row r="42" spans="1:12" x14ac:dyDescent="0.3">
      <c r="A42" s="74">
        <v>45603</v>
      </c>
      <c r="B42" s="67">
        <v>95</v>
      </c>
      <c r="C42" s="67">
        <v>2470</v>
      </c>
      <c r="D42" s="67">
        <v>2</v>
      </c>
      <c r="E42" s="67">
        <v>1</v>
      </c>
      <c r="F42" s="67">
        <v>0</v>
      </c>
      <c r="G42" s="67">
        <v>0</v>
      </c>
      <c r="H42" s="67">
        <v>4</v>
      </c>
      <c r="I42" s="67">
        <v>1</v>
      </c>
      <c r="J42" s="67">
        <f>SUM(DataTbl[[#This Row],[Likes]:[Shares]])</f>
        <v>3</v>
      </c>
      <c r="K42" s="75">
        <f>DataTbl[[#This Row],[Engagement]]/DataTbl[[#This Row],[Views]]</f>
        <v>3.1578947368421054E-2</v>
      </c>
      <c r="L42" s="67">
        <f>SUM(DataTbl[[#This Row],[Profile Visits]:[New Followers]])</f>
        <v>5</v>
      </c>
    </row>
    <row r="43" spans="1:12" x14ac:dyDescent="0.3">
      <c r="A43" s="74">
        <v>45604</v>
      </c>
      <c r="B43" s="67">
        <v>102</v>
      </c>
      <c r="C43" s="67">
        <v>2754</v>
      </c>
      <c r="D43" s="67">
        <v>4</v>
      </c>
      <c r="E43" s="67">
        <v>2</v>
      </c>
      <c r="F43" s="67">
        <v>1</v>
      </c>
      <c r="G43" s="67">
        <v>0</v>
      </c>
      <c r="H43" s="67">
        <v>5</v>
      </c>
      <c r="I43" s="67">
        <v>1</v>
      </c>
      <c r="J43" s="67">
        <f>SUM(DataTbl[[#This Row],[Likes]:[Shares]])</f>
        <v>7</v>
      </c>
      <c r="K43" s="75">
        <f>DataTbl[[#This Row],[Engagement]]/DataTbl[[#This Row],[Views]]</f>
        <v>6.8627450980392163E-2</v>
      </c>
      <c r="L43" s="67">
        <f>SUM(DataTbl[[#This Row],[Profile Visits]:[New Followers]])</f>
        <v>6</v>
      </c>
    </row>
    <row r="44" spans="1:12" x14ac:dyDescent="0.3">
      <c r="A44" s="74">
        <v>45605</v>
      </c>
      <c r="B44" s="67">
        <v>269</v>
      </c>
      <c r="C44" s="67">
        <v>7263</v>
      </c>
      <c r="D44" s="67">
        <v>9</v>
      </c>
      <c r="E44" s="67">
        <v>4</v>
      </c>
      <c r="F44" s="67">
        <v>1</v>
      </c>
      <c r="G44" s="67">
        <v>1</v>
      </c>
      <c r="H44" s="67">
        <v>19</v>
      </c>
      <c r="I44" s="67">
        <v>9</v>
      </c>
      <c r="J44" s="67">
        <f>SUM(DataTbl[[#This Row],[Likes]:[Shares]])</f>
        <v>15</v>
      </c>
      <c r="K44" s="75">
        <f>DataTbl[[#This Row],[Engagement]]/DataTbl[[#This Row],[Views]]</f>
        <v>5.5762081784386616E-2</v>
      </c>
      <c r="L44" s="67">
        <f>SUM(DataTbl[[#This Row],[Profile Visits]:[New Followers]])</f>
        <v>28</v>
      </c>
    </row>
    <row r="45" spans="1:12" x14ac:dyDescent="0.3">
      <c r="A45" s="74">
        <v>45606</v>
      </c>
      <c r="B45" s="67">
        <v>356</v>
      </c>
      <c r="C45" s="67">
        <v>9968</v>
      </c>
      <c r="D45" s="67">
        <v>13</v>
      </c>
      <c r="E45" s="67">
        <v>6</v>
      </c>
      <c r="F45" s="67">
        <v>2</v>
      </c>
      <c r="G45" s="67">
        <v>2</v>
      </c>
      <c r="H45" s="67">
        <v>26</v>
      </c>
      <c r="I45" s="67">
        <v>9</v>
      </c>
      <c r="J45" s="67">
        <f>SUM(DataTbl[[#This Row],[Likes]:[Shares]])</f>
        <v>23</v>
      </c>
      <c r="K45" s="75">
        <f>DataTbl[[#This Row],[Engagement]]/DataTbl[[#This Row],[Views]]</f>
        <v>6.4606741573033713E-2</v>
      </c>
      <c r="L45" s="67">
        <f>SUM(DataTbl[[#This Row],[Profile Visits]:[New Followers]])</f>
        <v>35</v>
      </c>
    </row>
    <row r="46" spans="1:12" x14ac:dyDescent="0.3">
      <c r="A46" s="74">
        <v>45607</v>
      </c>
      <c r="B46" s="67">
        <v>272</v>
      </c>
      <c r="C46" s="67">
        <v>5984</v>
      </c>
      <c r="D46" s="67">
        <v>12</v>
      </c>
      <c r="E46" s="67">
        <v>6</v>
      </c>
      <c r="F46" s="67">
        <v>1</v>
      </c>
      <c r="G46" s="67">
        <v>2</v>
      </c>
      <c r="H46" s="67">
        <v>17</v>
      </c>
      <c r="I46" s="67">
        <v>5</v>
      </c>
      <c r="J46" s="67">
        <f>SUM(DataTbl[[#This Row],[Likes]:[Shares]])</f>
        <v>21</v>
      </c>
      <c r="K46" s="75">
        <f>DataTbl[[#This Row],[Engagement]]/DataTbl[[#This Row],[Views]]</f>
        <v>7.720588235294118E-2</v>
      </c>
      <c r="L46" s="67">
        <f>SUM(DataTbl[[#This Row],[Profile Visits]:[New Followers]])</f>
        <v>22</v>
      </c>
    </row>
    <row r="47" spans="1:12" x14ac:dyDescent="0.3">
      <c r="A47" s="74">
        <v>45608</v>
      </c>
      <c r="B47" s="67">
        <v>256</v>
      </c>
      <c r="C47" s="67">
        <v>6144</v>
      </c>
      <c r="D47" s="67">
        <v>10</v>
      </c>
      <c r="E47" s="67">
        <v>4</v>
      </c>
      <c r="F47" s="67">
        <v>1</v>
      </c>
      <c r="G47" s="67">
        <v>1</v>
      </c>
      <c r="H47" s="67">
        <v>20</v>
      </c>
      <c r="I47" s="67">
        <v>3</v>
      </c>
      <c r="J47" s="67">
        <f>SUM(DataTbl[[#This Row],[Likes]:[Shares]])</f>
        <v>16</v>
      </c>
      <c r="K47" s="75">
        <f>DataTbl[[#This Row],[Engagement]]/DataTbl[[#This Row],[Views]]</f>
        <v>6.25E-2</v>
      </c>
      <c r="L47" s="67">
        <f>SUM(DataTbl[[#This Row],[Profile Visits]:[New Followers]])</f>
        <v>23</v>
      </c>
    </row>
    <row r="48" spans="1:12" x14ac:dyDescent="0.3">
      <c r="A48" s="74">
        <v>45609</v>
      </c>
      <c r="B48" s="67">
        <v>242</v>
      </c>
      <c r="C48" s="67">
        <v>7260</v>
      </c>
      <c r="D48" s="67">
        <v>5</v>
      </c>
      <c r="E48" s="67">
        <v>2</v>
      </c>
      <c r="F48" s="67">
        <v>1</v>
      </c>
      <c r="G48" s="67">
        <v>1</v>
      </c>
      <c r="H48" s="67">
        <v>19</v>
      </c>
      <c r="I48" s="67">
        <v>6</v>
      </c>
      <c r="J48" s="67">
        <f>SUM(DataTbl[[#This Row],[Likes]:[Shares]])</f>
        <v>9</v>
      </c>
      <c r="K48" s="75">
        <f>DataTbl[[#This Row],[Engagement]]/DataTbl[[#This Row],[Views]]</f>
        <v>3.71900826446281E-2</v>
      </c>
      <c r="L48" s="67">
        <f>SUM(DataTbl[[#This Row],[Profile Visits]:[New Followers]])</f>
        <v>25</v>
      </c>
    </row>
    <row r="49" spans="1:12" x14ac:dyDescent="0.3">
      <c r="A49" s="74">
        <v>45610</v>
      </c>
      <c r="B49" s="67">
        <v>104</v>
      </c>
      <c r="C49" s="67">
        <v>2496</v>
      </c>
      <c r="D49" s="67">
        <v>4</v>
      </c>
      <c r="E49" s="67">
        <v>2</v>
      </c>
      <c r="F49" s="67">
        <v>1</v>
      </c>
      <c r="G49" s="67">
        <v>0</v>
      </c>
      <c r="H49" s="67">
        <v>7</v>
      </c>
      <c r="I49" s="67">
        <v>1</v>
      </c>
      <c r="J49" s="67">
        <f>SUM(DataTbl[[#This Row],[Likes]:[Shares]])</f>
        <v>7</v>
      </c>
      <c r="K49" s="75">
        <f>DataTbl[[#This Row],[Engagement]]/DataTbl[[#This Row],[Views]]</f>
        <v>6.7307692307692304E-2</v>
      </c>
      <c r="L49" s="67">
        <f>SUM(DataTbl[[#This Row],[Profile Visits]:[New Followers]])</f>
        <v>8</v>
      </c>
    </row>
    <row r="50" spans="1:12" x14ac:dyDescent="0.3">
      <c r="A50" s="74">
        <v>45611</v>
      </c>
      <c r="B50" s="67">
        <v>110</v>
      </c>
      <c r="C50" s="67">
        <v>2420</v>
      </c>
      <c r="D50" s="67">
        <v>4</v>
      </c>
      <c r="E50" s="67">
        <v>2</v>
      </c>
      <c r="F50" s="67">
        <v>0</v>
      </c>
      <c r="G50" s="67">
        <v>0</v>
      </c>
      <c r="H50" s="67">
        <v>9</v>
      </c>
      <c r="I50" s="67">
        <v>2</v>
      </c>
      <c r="J50" s="67">
        <f>SUM(DataTbl[[#This Row],[Likes]:[Shares]])</f>
        <v>6</v>
      </c>
      <c r="K50" s="75">
        <f>DataTbl[[#This Row],[Engagement]]/DataTbl[[#This Row],[Views]]</f>
        <v>5.4545454545454543E-2</v>
      </c>
      <c r="L50" s="67">
        <f>SUM(DataTbl[[#This Row],[Profile Visits]:[New Followers]])</f>
        <v>11</v>
      </c>
    </row>
    <row r="51" spans="1:12" x14ac:dyDescent="0.3">
      <c r="A51" s="74">
        <v>45612</v>
      </c>
      <c r="B51" s="67">
        <v>149</v>
      </c>
      <c r="C51" s="67">
        <v>4917</v>
      </c>
      <c r="D51" s="67">
        <v>3</v>
      </c>
      <c r="E51" s="67">
        <v>1</v>
      </c>
      <c r="F51" s="67">
        <v>0</v>
      </c>
      <c r="G51" s="67">
        <v>0</v>
      </c>
      <c r="H51" s="67">
        <v>7</v>
      </c>
      <c r="I51" s="67">
        <v>1</v>
      </c>
      <c r="J51" s="67">
        <f>SUM(DataTbl[[#This Row],[Likes]:[Shares]])</f>
        <v>4</v>
      </c>
      <c r="K51" s="75">
        <f>DataTbl[[#This Row],[Engagement]]/DataTbl[[#This Row],[Views]]</f>
        <v>2.6845637583892617E-2</v>
      </c>
      <c r="L51" s="67">
        <f>SUM(DataTbl[[#This Row],[Profile Visits]:[New Followers]])</f>
        <v>8</v>
      </c>
    </row>
    <row r="52" spans="1:12" x14ac:dyDescent="0.3">
      <c r="A52" s="74">
        <v>45613</v>
      </c>
      <c r="B52" s="67">
        <v>114</v>
      </c>
      <c r="C52" s="67">
        <v>2052</v>
      </c>
      <c r="D52" s="67">
        <v>4</v>
      </c>
      <c r="E52" s="67">
        <v>2</v>
      </c>
      <c r="F52" s="67">
        <v>0</v>
      </c>
      <c r="G52" s="67">
        <v>0</v>
      </c>
      <c r="H52" s="67">
        <v>8</v>
      </c>
      <c r="I52" s="67">
        <v>1</v>
      </c>
      <c r="J52" s="67">
        <f>SUM(DataTbl[[#This Row],[Likes]:[Shares]])</f>
        <v>6</v>
      </c>
      <c r="K52" s="75">
        <f>DataTbl[[#This Row],[Engagement]]/DataTbl[[#This Row],[Views]]</f>
        <v>5.2631578947368418E-2</v>
      </c>
      <c r="L52" s="67">
        <f>SUM(DataTbl[[#This Row],[Profile Visits]:[New Followers]])</f>
        <v>9</v>
      </c>
    </row>
    <row r="53" spans="1:12" x14ac:dyDescent="0.3">
      <c r="A53" s="74">
        <v>45614</v>
      </c>
      <c r="B53" s="67">
        <v>125</v>
      </c>
      <c r="C53" s="67">
        <v>4375</v>
      </c>
      <c r="D53" s="67">
        <v>5</v>
      </c>
      <c r="E53" s="67">
        <v>3</v>
      </c>
      <c r="F53" s="67">
        <v>1</v>
      </c>
      <c r="G53" s="67">
        <v>1</v>
      </c>
      <c r="H53" s="67">
        <v>10</v>
      </c>
      <c r="I53" s="67">
        <v>2</v>
      </c>
      <c r="J53" s="67">
        <f>SUM(DataTbl[[#This Row],[Likes]:[Shares]])</f>
        <v>10</v>
      </c>
      <c r="K53" s="75">
        <f>DataTbl[[#This Row],[Engagement]]/DataTbl[[#This Row],[Views]]</f>
        <v>0.08</v>
      </c>
      <c r="L53" s="67">
        <f>SUM(DataTbl[[#This Row],[Profile Visits]:[New Followers]])</f>
        <v>12</v>
      </c>
    </row>
    <row r="54" spans="1:12" x14ac:dyDescent="0.3">
      <c r="A54" s="74">
        <v>45615</v>
      </c>
      <c r="B54" s="67">
        <v>109</v>
      </c>
      <c r="C54" s="67">
        <v>2507</v>
      </c>
      <c r="D54" s="67">
        <v>4</v>
      </c>
      <c r="E54" s="67">
        <v>2</v>
      </c>
      <c r="F54" s="67">
        <v>0</v>
      </c>
      <c r="G54" s="67">
        <v>1</v>
      </c>
      <c r="H54" s="67">
        <v>7</v>
      </c>
      <c r="I54" s="67">
        <v>1</v>
      </c>
      <c r="J54" s="67">
        <f>SUM(DataTbl[[#This Row],[Likes]:[Shares]])</f>
        <v>7</v>
      </c>
      <c r="K54" s="75">
        <f>DataTbl[[#This Row],[Engagement]]/DataTbl[[#This Row],[Views]]</f>
        <v>6.4220183486238536E-2</v>
      </c>
      <c r="L54" s="67">
        <f>SUM(DataTbl[[#This Row],[Profile Visits]:[New Followers]])</f>
        <v>8</v>
      </c>
    </row>
    <row r="55" spans="1:12" x14ac:dyDescent="0.3">
      <c r="A55" s="74">
        <v>45616</v>
      </c>
      <c r="B55" s="67">
        <v>124</v>
      </c>
      <c r="C55" s="67">
        <v>4092</v>
      </c>
      <c r="D55" s="67">
        <v>3</v>
      </c>
      <c r="E55" s="67">
        <v>2</v>
      </c>
      <c r="F55" s="67">
        <v>0</v>
      </c>
      <c r="G55" s="67">
        <v>0</v>
      </c>
      <c r="H55" s="67">
        <v>5</v>
      </c>
      <c r="I55" s="67">
        <v>1</v>
      </c>
      <c r="J55" s="67">
        <f>SUM(DataTbl[[#This Row],[Likes]:[Shares]])</f>
        <v>5</v>
      </c>
      <c r="K55" s="75">
        <f>DataTbl[[#This Row],[Engagement]]/DataTbl[[#This Row],[Views]]</f>
        <v>4.0322580645161289E-2</v>
      </c>
      <c r="L55" s="67">
        <f>SUM(DataTbl[[#This Row],[Profile Visits]:[New Followers]])</f>
        <v>6</v>
      </c>
    </row>
    <row r="56" spans="1:12" x14ac:dyDescent="0.3">
      <c r="A56" s="74">
        <v>45617</v>
      </c>
      <c r="B56" s="67">
        <v>126</v>
      </c>
      <c r="C56" s="67">
        <v>3780</v>
      </c>
      <c r="D56" s="67">
        <v>5</v>
      </c>
      <c r="E56" s="67">
        <v>2</v>
      </c>
      <c r="F56" s="67">
        <v>1</v>
      </c>
      <c r="G56" s="67">
        <v>1</v>
      </c>
      <c r="H56" s="67">
        <v>10</v>
      </c>
      <c r="I56" s="67">
        <v>2</v>
      </c>
      <c r="J56" s="67">
        <f>SUM(DataTbl[[#This Row],[Likes]:[Shares]])</f>
        <v>9</v>
      </c>
      <c r="K56" s="75">
        <f>DataTbl[[#This Row],[Engagement]]/DataTbl[[#This Row],[Views]]</f>
        <v>7.1428571428571425E-2</v>
      </c>
      <c r="L56" s="67">
        <f>SUM(DataTbl[[#This Row],[Profile Visits]:[New Followers]])</f>
        <v>12</v>
      </c>
    </row>
    <row r="57" spans="1:12" x14ac:dyDescent="0.3">
      <c r="A57" s="74">
        <v>45618</v>
      </c>
      <c r="B57" s="67">
        <v>137</v>
      </c>
      <c r="C57" s="67">
        <v>3288</v>
      </c>
      <c r="D57" s="67">
        <v>6</v>
      </c>
      <c r="E57" s="67">
        <v>2</v>
      </c>
      <c r="F57" s="67">
        <v>1</v>
      </c>
      <c r="G57" s="67">
        <v>1</v>
      </c>
      <c r="H57" s="67">
        <v>8</v>
      </c>
      <c r="I57" s="67">
        <v>2</v>
      </c>
      <c r="J57" s="67">
        <f>SUM(DataTbl[[#This Row],[Likes]:[Shares]])</f>
        <v>10</v>
      </c>
      <c r="K57" s="75">
        <f>DataTbl[[#This Row],[Engagement]]/DataTbl[[#This Row],[Views]]</f>
        <v>7.2992700729927001E-2</v>
      </c>
      <c r="L57" s="67">
        <f>SUM(DataTbl[[#This Row],[Profile Visits]:[New Followers]])</f>
        <v>10</v>
      </c>
    </row>
    <row r="58" spans="1:12" x14ac:dyDescent="0.3">
      <c r="A58" s="74">
        <v>45619</v>
      </c>
      <c r="B58" s="67">
        <v>135</v>
      </c>
      <c r="C58" s="67">
        <v>4185</v>
      </c>
      <c r="D58" s="67">
        <v>5</v>
      </c>
      <c r="E58" s="67">
        <v>2</v>
      </c>
      <c r="F58" s="67">
        <v>1</v>
      </c>
      <c r="G58" s="67">
        <v>1</v>
      </c>
      <c r="H58" s="67">
        <v>6</v>
      </c>
      <c r="I58" s="67">
        <v>1</v>
      </c>
      <c r="J58" s="67">
        <f>SUM(DataTbl[[#This Row],[Likes]:[Shares]])</f>
        <v>9</v>
      </c>
      <c r="K58" s="75">
        <f>DataTbl[[#This Row],[Engagement]]/DataTbl[[#This Row],[Views]]</f>
        <v>6.6666666666666666E-2</v>
      </c>
      <c r="L58" s="67">
        <f>SUM(DataTbl[[#This Row],[Profile Visits]:[New Followers]])</f>
        <v>7</v>
      </c>
    </row>
    <row r="59" spans="1:12" x14ac:dyDescent="0.3">
      <c r="A59" s="74">
        <v>45620</v>
      </c>
      <c r="B59" s="67">
        <v>128</v>
      </c>
      <c r="C59" s="67">
        <v>3200</v>
      </c>
      <c r="D59" s="67">
        <v>5</v>
      </c>
      <c r="E59" s="67">
        <v>2</v>
      </c>
      <c r="F59" s="67">
        <v>1</v>
      </c>
      <c r="G59" s="67">
        <v>1</v>
      </c>
      <c r="H59" s="67">
        <v>10</v>
      </c>
      <c r="I59" s="67">
        <v>1</v>
      </c>
      <c r="J59" s="67">
        <f>SUM(DataTbl[[#This Row],[Likes]:[Shares]])</f>
        <v>9</v>
      </c>
      <c r="K59" s="75">
        <f>DataTbl[[#This Row],[Engagement]]/DataTbl[[#This Row],[Views]]</f>
        <v>7.03125E-2</v>
      </c>
      <c r="L59" s="67">
        <f>SUM(DataTbl[[#This Row],[Profile Visits]:[New Followers]])</f>
        <v>11</v>
      </c>
    </row>
    <row r="60" spans="1:12" x14ac:dyDescent="0.3">
      <c r="A60" s="74">
        <v>45621</v>
      </c>
      <c r="B60" s="67">
        <v>109</v>
      </c>
      <c r="C60" s="67">
        <v>3052</v>
      </c>
      <c r="D60" s="67">
        <v>4</v>
      </c>
      <c r="E60" s="67">
        <v>1</v>
      </c>
      <c r="F60" s="67">
        <v>0</v>
      </c>
      <c r="G60" s="67">
        <v>0</v>
      </c>
      <c r="H60" s="67">
        <v>8</v>
      </c>
      <c r="I60" s="67">
        <v>1</v>
      </c>
      <c r="J60" s="67">
        <f>SUM(DataTbl[[#This Row],[Likes]:[Shares]])</f>
        <v>5</v>
      </c>
      <c r="K60" s="75">
        <f>DataTbl[[#This Row],[Engagement]]/DataTbl[[#This Row],[Views]]</f>
        <v>4.5871559633027525E-2</v>
      </c>
      <c r="L60" s="67">
        <f>SUM(DataTbl[[#This Row],[Profile Visits]:[New Followers]])</f>
        <v>9</v>
      </c>
    </row>
    <row r="61" spans="1:12" x14ac:dyDescent="0.3">
      <c r="A61" s="74">
        <v>45622</v>
      </c>
      <c r="B61" s="67">
        <v>137</v>
      </c>
      <c r="C61" s="67">
        <v>2603</v>
      </c>
      <c r="D61" s="67">
        <v>5</v>
      </c>
      <c r="E61" s="67">
        <v>2</v>
      </c>
      <c r="F61" s="67">
        <v>1</v>
      </c>
      <c r="G61" s="67">
        <v>1</v>
      </c>
      <c r="H61" s="67">
        <v>7</v>
      </c>
      <c r="I61" s="67">
        <v>1</v>
      </c>
      <c r="J61" s="67">
        <f>SUM(DataTbl[[#This Row],[Likes]:[Shares]])</f>
        <v>9</v>
      </c>
      <c r="K61" s="75">
        <f>DataTbl[[#This Row],[Engagement]]/DataTbl[[#This Row],[Views]]</f>
        <v>6.569343065693431E-2</v>
      </c>
      <c r="L61" s="67">
        <f>SUM(DataTbl[[#This Row],[Profile Visits]:[New Followers]])</f>
        <v>8</v>
      </c>
    </row>
    <row r="62" spans="1:12" x14ac:dyDescent="0.3">
      <c r="A62" s="74">
        <v>45623</v>
      </c>
      <c r="B62" s="67">
        <v>127</v>
      </c>
      <c r="C62" s="67">
        <v>2540</v>
      </c>
      <c r="D62" s="67">
        <v>5</v>
      </c>
      <c r="E62" s="67">
        <v>2</v>
      </c>
      <c r="F62" s="67">
        <v>1</v>
      </c>
      <c r="G62" s="67">
        <v>1</v>
      </c>
      <c r="H62" s="67">
        <v>9</v>
      </c>
      <c r="I62" s="67">
        <v>2</v>
      </c>
      <c r="J62" s="67">
        <f>SUM(DataTbl[[#This Row],[Likes]:[Shares]])</f>
        <v>9</v>
      </c>
      <c r="K62" s="75">
        <f>DataTbl[[#This Row],[Engagement]]/DataTbl[[#This Row],[Views]]</f>
        <v>7.0866141732283464E-2</v>
      </c>
      <c r="L62" s="67">
        <f>SUM(DataTbl[[#This Row],[Profile Visits]:[New Followers]])</f>
        <v>11</v>
      </c>
    </row>
    <row r="63" spans="1:12" x14ac:dyDescent="0.3">
      <c r="A63" s="74">
        <v>45624</v>
      </c>
      <c r="B63" s="67">
        <v>102</v>
      </c>
      <c r="C63" s="67">
        <v>2142</v>
      </c>
      <c r="D63" s="67">
        <v>3</v>
      </c>
      <c r="E63" s="67">
        <v>1</v>
      </c>
      <c r="F63" s="67">
        <v>0</v>
      </c>
      <c r="G63" s="67">
        <v>0</v>
      </c>
      <c r="H63" s="67">
        <v>5</v>
      </c>
      <c r="I63" s="67">
        <v>1</v>
      </c>
      <c r="J63" s="67">
        <f>SUM(DataTbl[[#This Row],[Likes]:[Shares]])</f>
        <v>4</v>
      </c>
      <c r="K63" s="75">
        <f>DataTbl[[#This Row],[Engagement]]/DataTbl[[#This Row],[Views]]</f>
        <v>3.9215686274509803E-2</v>
      </c>
      <c r="L63" s="67">
        <f>SUM(DataTbl[[#This Row],[Profile Visits]:[New Followers]])</f>
        <v>6</v>
      </c>
    </row>
    <row r="64" spans="1:12" x14ac:dyDescent="0.3">
      <c r="A64" s="74">
        <v>45625</v>
      </c>
      <c r="B64" s="67">
        <v>144</v>
      </c>
      <c r="C64" s="67">
        <v>4176</v>
      </c>
      <c r="D64" s="67">
        <v>5</v>
      </c>
      <c r="E64" s="67">
        <v>2</v>
      </c>
      <c r="F64" s="67">
        <v>0</v>
      </c>
      <c r="G64" s="67">
        <v>1</v>
      </c>
      <c r="H64" s="67">
        <v>9</v>
      </c>
      <c r="I64" s="67">
        <v>1</v>
      </c>
      <c r="J64" s="67">
        <f>SUM(DataTbl[[#This Row],[Likes]:[Shares]])</f>
        <v>8</v>
      </c>
      <c r="K64" s="75">
        <f>DataTbl[[#This Row],[Engagement]]/DataTbl[[#This Row],[Views]]</f>
        <v>5.5555555555555552E-2</v>
      </c>
      <c r="L64" s="67">
        <f>SUM(DataTbl[[#This Row],[Profile Visits]:[New Followers]])</f>
        <v>10</v>
      </c>
    </row>
    <row r="65" spans="1:12" x14ac:dyDescent="0.3">
      <c r="A65" s="74">
        <v>45626</v>
      </c>
      <c r="B65" s="67">
        <v>127</v>
      </c>
      <c r="C65" s="67">
        <v>2794</v>
      </c>
      <c r="D65" s="67">
        <v>3</v>
      </c>
      <c r="E65" s="67">
        <v>1</v>
      </c>
      <c r="F65" s="67">
        <v>0</v>
      </c>
      <c r="G65" s="67">
        <v>0</v>
      </c>
      <c r="H65" s="67">
        <v>9</v>
      </c>
      <c r="I65" s="67">
        <v>2</v>
      </c>
      <c r="J65" s="67">
        <f>SUM(DataTbl[[#This Row],[Likes]:[Shares]])</f>
        <v>4</v>
      </c>
      <c r="K65" s="75">
        <f>DataTbl[[#This Row],[Engagement]]/DataTbl[[#This Row],[Views]]</f>
        <v>3.1496062992125984E-2</v>
      </c>
      <c r="L65" s="67">
        <f>SUM(DataTbl[[#This Row],[Profile Visits]:[New Followers]])</f>
        <v>11</v>
      </c>
    </row>
    <row r="66" spans="1:12" x14ac:dyDescent="0.3">
      <c r="A66" s="74">
        <v>45627</v>
      </c>
      <c r="B66" s="67">
        <v>171</v>
      </c>
      <c r="C66" s="67">
        <v>5472</v>
      </c>
      <c r="D66" s="67">
        <v>5</v>
      </c>
      <c r="E66" s="67">
        <v>2</v>
      </c>
      <c r="F66" s="67">
        <v>1</v>
      </c>
      <c r="G66" s="67">
        <v>1</v>
      </c>
      <c r="H66" s="67">
        <v>9</v>
      </c>
      <c r="I66" s="67">
        <v>2</v>
      </c>
      <c r="J66" s="67">
        <f>SUM(DataTbl[[#This Row],[Likes]:[Shares]])</f>
        <v>9</v>
      </c>
      <c r="K66" s="75">
        <f>DataTbl[[#This Row],[Engagement]]/DataTbl[[#This Row],[Views]]</f>
        <v>5.2631578947368418E-2</v>
      </c>
      <c r="L66" s="67">
        <f>SUM(DataTbl[[#This Row],[Profile Visits]:[New Followers]])</f>
        <v>11</v>
      </c>
    </row>
    <row r="67" spans="1:12" x14ac:dyDescent="0.3">
      <c r="A67" s="74">
        <v>45628</v>
      </c>
      <c r="B67" s="67">
        <v>122</v>
      </c>
      <c r="C67" s="67">
        <v>3294</v>
      </c>
      <c r="D67" s="67">
        <v>5</v>
      </c>
      <c r="E67" s="67">
        <v>2</v>
      </c>
      <c r="F67" s="67">
        <v>1</v>
      </c>
      <c r="G67" s="67">
        <v>0</v>
      </c>
      <c r="H67" s="67">
        <v>10</v>
      </c>
      <c r="I67" s="67">
        <v>2</v>
      </c>
      <c r="J67" s="67">
        <f>SUM(DataTbl[[#This Row],[Likes]:[Shares]])</f>
        <v>8</v>
      </c>
      <c r="K67" s="75">
        <f>DataTbl[[#This Row],[Engagement]]/DataTbl[[#This Row],[Views]]</f>
        <v>6.5573770491803282E-2</v>
      </c>
      <c r="L67" s="67">
        <f>SUM(DataTbl[[#This Row],[Profile Visits]:[New Followers]])</f>
        <v>12</v>
      </c>
    </row>
    <row r="68" spans="1:12" x14ac:dyDescent="0.3">
      <c r="A68" s="74">
        <v>45629</v>
      </c>
      <c r="B68" s="67">
        <v>127</v>
      </c>
      <c r="C68" s="67">
        <v>3683</v>
      </c>
      <c r="D68" s="67">
        <v>5</v>
      </c>
      <c r="E68" s="67">
        <v>2</v>
      </c>
      <c r="F68" s="67">
        <v>1</v>
      </c>
      <c r="G68" s="67">
        <v>1</v>
      </c>
      <c r="H68" s="67">
        <v>9</v>
      </c>
      <c r="I68" s="67">
        <v>2</v>
      </c>
      <c r="J68" s="67">
        <f>SUM(DataTbl[[#This Row],[Likes]:[Shares]])</f>
        <v>9</v>
      </c>
      <c r="K68" s="75">
        <f>DataTbl[[#This Row],[Engagement]]/DataTbl[[#This Row],[Views]]</f>
        <v>7.0866141732283464E-2</v>
      </c>
      <c r="L68" s="67">
        <f>SUM(DataTbl[[#This Row],[Profile Visits]:[New Followers]])</f>
        <v>11</v>
      </c>
    </row>
    <row r="69" spans="1:12" x14ac:dyDescent="0.3">
      <c r="A69" s="74">
        <v>45630</v>
      </c>
      <c r="B69" s="67">
        <v>126</v>
      </c>
      <c r="C69" s="67">
        <v>3024</v>
      </c>
      <c r="D69" s="67">
        <v>4</v>
      </c>
      <c r="E69" s="67">
        <v>2</v>
      </c>
      <c r="F69" s="67">
        <v>0</v>
      </c>
      <c r="G69" s="67">
        <v>0</v>
      </c>
      <c r="H69" s="67">
        <v>7</v>
      </c>
      <c r="I69" s="67">
        <v>1</v>
      </c>
      <c r="J69" s="67">
        <f>SUM(DataTbl[[#This Row],[Likes]:[Shares]])</f>
        <v>6</v>
      </c>
      <c r="K69" s="75">
        <f>DataTbl[[#This Row],[Engagement]]/DataTbl[[#This Row],[Views]]</f>
        <v>4.7619047619047616E-2</v>
      </c>
      <c r="L69" s="67">
        <f>SUM(DataTbl[[#This Row],[Profile Visits]:[New Followers]])</f>
        <v>8</v>
      </c>
    </row>
    <row r="70" spans="1:12" x14ac:dyDescent="0.3">
      <c r="A70" s="74">
        <v>45631</v>
      </c>
      <c r="B70" s="67">
        <v>135</v>
      </c>
      <c r="C70" s="67">
        <v>4590</v>
      </c>
      <c r="D70" s="67">
        <v>6</v>
      </c>
      <c r="E70" s="67">
        <v>3</v>
      </c>
      <c r="F70" s="67">
        <v>1</v>
      </c>
      <c r="G70" s="67">
        <v>1</v>
      </c>
      <c r="H70" s="67">
        <v>10</v>
      </c>
      <c r="I70" s="67">
        <v>1</v>
      </c>
      <c r="J70" s="67">
        <f>SUM(DataTbl[[#This Row],[Likes]:[Shares]])</f>
        <v>11</v>
      </c>
      <c r="K70" s="75">
        <f>DataTbl[[#This Row],[Engagement]]/DataTbl[[#This Row],[Views]]</f>
        <v>8.1481481481481488E-2</v>
      </c>
      <c r="L70" s="67">
        <f>SUM(DataTbl[[#This Row],[Profile Visits]:[New Followers]])</f>
        <v>11</v>
      </c>
    </row>
    <row r="71" spans="1:12" x14ac:dyDescent="0.3">
      <c r="A71" s="74">
        <v>45632</v>
      </c>
      <c r="B71" s="67">
        <v>149</v>
      </c>
      <c r="C71" s="67">
        <v>4768</v>
      </c>
      <c r="D71" s="67">
        <v>4</v>
      </c>
      <c r="E71" s="67">
        <v>2</v>
      </c>
      <c r="F71" s="67">
        <v>0</v>
      </c>
      <c r="G71" s="67">
        <v>0</v>
      </c>
      <c r="H71" s="67">
        <v>11</v>
      </c>
      <c r="I71" s="67">
        <v>1</v>
      </c>
      <c r="J71" s="67">
        <f>SUM(DataTbl[[#This Row],[Likes]:[Shares]])</f>
        <v>6</v>
      </c>
      <c r="K71" s="75">
        <f>DataTbl[[#This Row],[Engagement]]/DataTbl[[#This Row],[Views]]</f>
        <v>4.0268456375838924E-2</v>
      </c>
      <c r="L71" s="67">
        <f>SUM(DataTbl[[#This Row],[Profile Visits]:[New Followers]])</f>
        <v>12</v>
      </c>
    </row>
    <row r="72" spans="1:12" x14ac:dyDescent="0.3">
      <c r="A72" s="74">
        <v>45633</v>
      </c>
      <c r="B72" s="67">
        <v>153</v>
      </c>
      <c r="C72" s="67">
        <v>3366</v>
      </c>
      <c r="D72" s="67">
        <v>7</v>
      </c>
      <c r="E72" s="67">
        <v>3</v>
      </c>
      <c r="F72" s="67">
        <v>1</v>
      </c>
      <c r="G72" s="67">
        <v>1</v>
      </c>
      <c r="H72" s="67">
        <v>8</v>
      </c>
      <c r="I72" s="67">
        <v>1</v>
      </c>
      <c r="J72" s="67">
        <f>SUM(DataTbl[[#This Row],[Likes]:[Shares]])</f>
        <v>12</v>
      </c>
      <c r="K72" s="75">
        <f>DataTbl[[#This Row],[Engagement]]/DataTbl[[#This Row],[Views]]</f>
        <v>7.8431372549019607E-2</v>
      </c>
      <c r="L72" s="67">
        <f>SUM(DataTbl[[#This Row],[Profile Visits]:[New Followers]])</f>
        <v>9</v>
      </c>
    </row>
    <row r="73" spans="1:12" x14ac:dyDescent="0.3">
      <c r="A73" s="74">
        <v>45634</v>
      </c>
      <c r="B73" s="67">
        <v>183</v>
      </c>
      <c r="C73" s="67">
        <v>5856</v>
      </c>
      <c r="D73" s="67">
        <v>4</v>
      </c>
      <c r="E73" s="67">
        <v>2</v>
      </c>
      <c r="F73" s="67">
        <v>1</v>
      </c>
      <c r="G73" s="67">
        <v>0</v>
      </c>
      <c r="H73" s="67">
        <v>11</v>
      </c>
      <c r="I73" s="67">
        <v>1</v>
      </c>
      <c r="J73" s="67">
        <f>SUM(DataTbl[[#This Row],[Likes]:[Shares]])</f>
        <v>7</v>
      </c>
      <c r="K73" s="75">
        <f>DataTbl[[#This Row],[Engagement]]/DataTbl[[#This Row],[Views]]</f>
        <v>3.825136612021858E-2</v>
      </c>
      <c r="L73" s="67">
        <f>SUM(DataTbl[[#This Row],[Profile Visits]:[New Followers]])</f>
        <v>12</v>
      </c>
    </row>
    <row r="74" spans="1:12" x14ac:dyDescent="0.3">
      <c r="A74" s="74">
        <v>45635</v>
      </c>
      <c r="B74" s="67">
        <v>111</v>
      </c>
      <c r="C74" s="67">
        <v>2331</v>
      </c>
      <c r="D74" s="67">
        <v>4</v>
      </c>
      <c r="E74" s="67">
        <v>2</v>
      </c>
      <c r="F74" s="67">
        <v>1</v>
      </c>
      <c r="G74" s="67">
        <v>1</v>
      </c>
      <c r="H74" s="67">
        <v>6</v>
      </c>
      <c r="I74" s="67">
        <v>1</v>
      </c>
      <c r="J74" s="67">
        <f>SUM(DataTbl[[#This Row],[Likes]:[Shares]])</f>
        <v>8</v>
      </c>
      <c r="K74" s="75">
        <f>DataTbl[[#This Row],[Engagement]]/DataTbl[[#This Row],[Views]]</f>
        <v>7.2072072072072071E-2</v>
      </c>
      <c r="L74" s="67">
        <f>SUM(DataTbl[[#This Row],[Profile Visits]:[New Followers]])</f>
        <v>7</v>
      </c>
    </row>
    <row r="75" spans="1:12" x14ac:dyDescent="0.3">
      <c r="A75" s="74">
        <v>45636</v>
      </c>
      <c r="B75" s="67">
        <v>126</v>
      </c>
      <c r="C75" s="67">
        <v>2268</v>
      </c>
      <c r="D75" s="67">
        <v>3</v>
      </c>
      <c r="E75" s="67">
        <v>1</v>
      </c>
      <c r="F75" s="67">
        <v>0</v>
      </c>
      <c r="G75" s="67">
        <v>0</v>
      </c>
      <c r="H75" s="67">
        <v>8</v>
      </c>
      <c r="I75" s="67">
        <v>1</v>
      </c>
      <c r="J75" s="67">
        <f>SUM(DataTbl[[#This Row],[Likes]:[Shares]])</f>
        <v>4</v>
      </c>
      <c r="K75" s="75">
        <f>DataTbl[[#This Row],[Engagement]]/DataTbl[[#This Row],[Views]]</f>
        <v>3.1746031746031744E-2</v>
      </c>
      <c r="L75" s="67">
        <f>SUM(DataTbl[[#This Row],[Profile Visits]:[New Followers]])</f>
        <v>9</v>
      </c>
    </row>
    <row r="76" spans="1:12" x14ac:dyDescent="0.3">
      <c r="A76" s="74">
        <v>45637</v>
      </c>
      <c r="B76" s="67">
        <v>241</v>
      </c>
      <c r="C76" s="67">
        <v>6025</v>
      </c>
      <c r="D76" s="67">
        <v>6</v>
      </c>
      <c r="E76" s="67">
        <v>2</v>
      </c>
      <c r="F76" s="67">
        <v>1</v>
      </c>
      <c r="G76" s="67">
        <v>1</v>
      </c>
      <c r="H76" s="67">
        <v>15</v>
      </c>
      <c r="I76" s="67">
        <v>4</v>
      </c>
      <c r="J76" s="67">
        <f>SUM(DataTbl[[#This Row],[Likes]:[Shares]])</f>
        <v>10</v>
      </c>
      <c r="K76" s="75">
        <f>DataTbl[[#This Row],[Engagement]]/DataTbl[[#This Row],[Views]]</f>
        <v>4.1493775933609957E-2</v>
      </c>
      <c r="L76" s="67">
        <f>SUM(DataTbl[[#This Row],[Profile Visits]:[New Followers]])</f>
        <v>19</v>
      </c>
    </row>
    <row r="77" spans="1:12" x14ac:dyDescent="0.3">
      <c r="A77" s="74">
        <v>45638</v>
      </c>
      <c r="B77" s="67">
        <v>285</v>
      </c>
      <c r="C77" s="67">
        <v>7980</v>
      </c>
      <c r="D77" s="67">
        <v>12</v>
      </c>
      <c r="E77" s="67">
        <v>5</v>
      </c>
      <c r="F77" s="67">
        <v>1</v>
      </c>
      <c r="G77" s="67">
        <v>2</v>
      </c>
      <c r="H77" s="67">
        <v>17</v>
      </c>
      <c r="I77" s="67">
        <v>6</v>
      </c>
      <c r="J77" s="67">
        <f>SUM(DataTbl[[#This Row],[Likes]:[Shares]])</f>
        <v>20</v>
      </c>
      <c r="K77" s="75">
        <f>DataTbl[[#This Row],[Engagement]]/DataTbl[[#This Row],[Views]]</f>
        <v>7.0175438596491224E-2</v>
      </c>
      <c r="L77" s="67">
        <f>SUM(DataTbl[[#This Row],[Profile Visits]:[New Followers]])</f>
        <v>23</v>
      </c>
    </row>
    <row r="78" spans="1:12" x14ac:dyDescent="0.3">
      <c r="A78" s="74">
        <v>45639</v>
      </c>
      <c r="B78" s="67">
        <v>189</v>
      </c>
      <c r="C78" s="67">
        <v>6048</v>
      </c>
      <c r="D78" s="67">
        <v>4</v>
      </c>
      <c r="E78" s="67">
        <v>2</v>
      </c>
      <c r="F78" s="67">
        <v>0</v>
      </c>
      <c r="G78" s="67">
        <v>1</v>
      </c>
      <c r="H78" s="67">
        <v>8</v>
      </c>
      <c r="I78" s="67">
        <v>4</v>
      </c>
      <c r="J78" s="67">
        <f>SUM(DataTbl[[#This Row],[Likes]:[Shares]])</f>
        <v>7</v>
      </c>
      <c r="K78" s="75">
        <f>DataTbl[[#This Row],[Engagement]]/DataTbl[[#This Row],[Views]]</f>
        <v>3.7037037037037035E-2</v>
      </c>
      <c r="L78" s="67">
        <f>SUM(DataTbl[[#This Row],[Profile Visits]:[New Followers]])</f>
        <v>12</v>
      </c>
    </row>
    <row r="79" spans="1:12" x14ac:dyDescent="0.3">
      <c r="A79" s="74">
        <v>45640</v>
      </c>
      <c r="B79" s="67">
        <v>141</v>
      </c>
      <c r="C79" s="67">
        <v>2679</v>
      </c>
      <c r="D79" s="67">
        <v>3</v>
      </c>
      <c r="E79" s="67">
        <v>1</v>
      </c>
      <c r="F79" s="67">
        <v>0</v>
      </c>
      <c r="G79" s="67">
        <v>0</v>
      </c>
      <c r="H79" s="67">
        <v>9</v>
      </c>
      <c r="I79" s="67">
        <v>1</v>
      </c>
      <c r="J79" s="67">
        <f>SUM(DataTbl[[#This Row],[Likes]:[Shares]])</f>
        <v>4</v>
      </c>
      <c r="K79" s="75">
        <f>DataTbl[[#This Row],[Engagement]]/DataTbl[[#This Row],[Views]]</f>
        <v>2.8368794326241134E-2</v>
      </c>
      <c r="L79" s="67">
        <f>SUM(DataTbl[[#This Row],[Profile Visits]:[New Followers]])</f>
        <v>10</v>
      </c>
    </row>
    <row r="80" spans="1:12" x14ac:dyDescent="0.3">
      <c r="A80" s="74">
        <v>45641</v>
      </c>
      <c r="B80" s="67">
        <v>158</v>
      </c>
      <c r="C80" s="67">
        <v>3318</v>
      </c>
      <c r="D80" s="67">
        <v>7</v>
      </c>
      <c r="E80" s="67">
        <v>3</v>
      </c>
      <c r="F80" s="67">
        <v>1</v>
      </c>
      <c r="G80" s="67">
        <v>1</v>
      </c>
      <c r="H80" s="67">
        <v>12</v>
      </c>
      <c r="I80" s="67">
        <v>2</v>
      </c>
      <c r="J80" s="67">
        <f>SUM(DataTbl[[#This Row],[Likes]:[Shares]])</f>
        <v>12</v>
      </c>
      <c r="K80" s="75">
        <f>DataTbl[[#This Row],[Engagement]]/DataTbl[[#This Row],[Views]]</f>
        <v>7.5949367088607597E-2</v>
      </c>
      <c r="L80" s="67">
        <f>SUM(DataTbl[[#This Row],[Profile Visits]:[New Followers]])</f>
        <v>14</v>
      </c>
    </row>
    <row r="81" spans="1:12" x14ac:dyDescent="0.3">
      <c r="A81" s="74">
        <v>45642</v>
      </c>
      <c r="B81" s="67">
        <v>151</v>
      </c>
      <c r="C81" s="67">
        <v>4228</v>
      </c>
      <c r="D81" s="67">
        <v>6</v>
      </c>
      <c r="E81" s="67">
        <v>3</v>
      </c>
      <c r="F81" s="67">
        <v>1</v>
      </c>
      <c r="G81" s="67">
        <v>1</v>
      </c>
      <c r="H81" s="67">
        <v>6</v>
      </c>
      <c r="I81" s="67">
        <v>1</v>
      </c>
      <c r="J81" s="67">
        <f>SUM(DataTbl[[#This Row],[Likes]:[Shares]])</f>
        <v>11</v>
      </c>
      <c r="K81" s="75">
        <f>DataTbl[[#This Row],[Engagement]]/DataTbl[[#This Row],[Views]]</f>
        <v>7.2847682119205295E-2</v>
      </c>
      <c r="L81" s="67">
        <f>SUM(DataTbl[[#This Row],[Profile Visits]:[New Followers]])</f>
        <v>7</v>
      </c>
    </row>
    <row r="82" spans="1:12" x14ac:dyDescent="0.3">
      <c r="A82" s="74">
        <v>45643</v>
      </c>
      <c r="B82" s="67">
        <v>155</v>
      </c>
      <c r="C82" s="67">
        <v>3565</v>
      </c>
      <c r="D82" s="67">
        <v>5</v>
      </c>
      <c r="E82" s="67">
        <v>2</v>
      </c>
      <c r="F82" s="67">
        <v>1</v>
      </c>
      <c r="G82" s="67">
        <v>1</v>
      </c>
      <c r="H82" s="67">
        <v>12</v>
      </c>
      <c r="I82" s="67">
        <v>2</v>
      </c>
      <c r="J82" s="67">
        <f>SUM(DataTbl[[#This Row],[Likes]:[Shares]])</f>
        <v>9</v>
      </c>
      <c r="K82" s="75">
        <f>DataTbl[[#This Row],[Engagement]]/DataTbl[[#This Row],[Views]]</f>
        <v>5.8064516129032261E-2</v>
      </c>
      <c r="L82" s="67">
        <f>SUM(DataTbl[[#This Row],[Profile Visits]:[New Followers]])</f>
        <v>14</v>
      </c>
    </row>
    <row r="83" spans="1:12" x14ac:dyDescent="0.3">
      <c r="A83" s="74">
        <v>45644</v>
      </c>
      <c r="B83" s="67">
        <v>152</v>
      </c>
      <c r="C83" s="67">
        <v>3648</v>
      </c>
      <c r="D83" s="67">
        <v>5</v>
      </c>
      <c r="E83" s="67">
        <v>2</v>
      </c>
      <c r="F83" s="67">
        <v>1</v>
      </c>
      <c r="G83" s="67">
        <v>1</v>
      </c>
      <c r="H83" s="67">
        <v>9</v>
      </c>
      <c r="I83" s="67">
        <v>2</v>
      </c>
      <c r="J83" s="67">
        <f>SUM(DataTbl[[#This Row],[Likes]:[Shares]])</f>
        <v>9</v>
      </c>
      <c r="K83" s="75">
        <f>DataTbl[[#This Row],[Engagement]]/DataTbl[[#This Row],[Views]]</f>
        <v>5.921052631578947E-2</v>
      </c>
      <c r="L83" s="67">
        <f>SUM(DataTbl[[#This Row],[Profile Visits]:[New Followers]])</f>
        <v>11</v>
      </c>
    </row>
    <row r="84" spans="1:12" x14ac:dyDescent="0.3">
      <c r="A84" s="74">
        <v>45645</v>
      </c>
      <c r="B84" s="67">
        <v>153</v>
      </c>
      <c r="C84" s="67">
        <v>2907</v>
      </c>
      <c r="D84" s="67">
        <v>7</v>
      </c>
      <c r="E84" s="67">
        <v>3</v>
      </c>
      <c r="F84" s="67">
        <v>1</v>
      </c>
      <c r="G84" s="67">
        <v>1</v>
      </c>
      <c r="H84" s="67">
        <v>9</v>
      </c>
      <c r="I84" s="67">
        <v>2</v>
      </c>
      <c r="J84" s="67">
        <f>SUM(DataTbl[[#This Row],[Likes]:[Shares]])</f>
        <v>12</v>
      </c>
      <c r="K84" s="75">
        <f>DataTbl[[#This Row],[Engagement]]/DataTbl[[#This Row],[Views]]</f>
        <v>7.8431372549019607E-2</v>
      </c>
      <c r="L84" s="67">
        <f>SUM(DataTbl[[#This Row],[Profile Visits]:[New Followers]])</f>
        <v>11</v>
      </c>
    </row>
    <row r="85" spans="1:12" x14ac:dyDescent="0.3">
      <c r="A85" s="74">
        <v>45646</v>
      </c>
      <c r="B85" s="67">
        <v>126</v>
      </c>
      <c r="C85" s="67">
        <v>3024</v>
      </c>
      <c r="D85" s="67">
        <v>4</v>
      </c>
      <c r="E85" s="67">
        <v>1</v>
      </c>
      <c r="F85" s="67">
        <v>1</v>
      </c>
      <c r="G85" s="67">
        <v>1</v>
      </c>
      <c r="H85" s="67">
        <v>7</v>
      </c>
      <c r="I85" s="67">
        <v>1</v>
      </c>
      <c r="J85" s="67">
        <f>SUM(DataTbl[[#This Row],[Likes]:[Shares]])</f>
        <v>7</v>
      </c>
      <c r="K85" s="75">
        <f>DataTbl[[#This Row],[Engagement]]/DataTbl[[#This Row],[Views]]</f>
        <v>5.5555555555555552E-2</v>
      </c>
      <c r="L85" s="67">
        <f>SUM(DataTbl[[#This Row],[Profile Visits]:[New Followers]])</f>
        <v>8</v>
      </c>
    </row>
    <row r="86" spans="1:12" x14ac:dyDescent="0.3">
      <c r="A86" s="74">
        <v>45647</v>
      </c>
      <c r="B86" s="67">
        <v>198</v>
      </c>
      <c r="C86" s="67">
        <v>3960</v>
      </c>
      <c r="D86" s="67">
        <v>6</v>
      </c>
      <c r="E86" s="67">
        <v>3</v>
      </c>
      <c r="F86" s="67">
        <v>1</v>
      </c>
      <c r="G86" s="67">
        <v>1</v>
      </c>
      <c r="H86" s="67">
        <v>11</v>
      </c>
      <c r="I86" s="67">
        <v>2</v>
      </c>
      <c r="J86" s="67">
        <f>SUM(DataTbl[[#This Row],[Likes]:[Shares]])</f>
        <v>11</v>
      </c>
      <c r="K86" s="75">
        <f>DataTbl[[#This Row],[Engagement]]/DataTbl[[#This Row],[Views]]</f>
        <v>5.5555555555555552E-2</v>
      </c>
      <c r="L86" s="67">
        <f>SUM(DataTbl[[#This Row],[Profile Visits]:[New Followers]])</f>
        <v>13</v>
      </c>
    </row>
    <row r="87" spans="1:12" x14ac:dyDescent="0.3">
      <c r="A87" s="74">
        <v>45648</v>
      </c>
      <c r="B87" s="67">
        <v>178</v>
      </c>
      <c r="C87" s="67">
        <v>4094</v>
      </c>
      <c r="D87" s="67">
        <v>6</v>
      </c>
      <c r="E87" s="67">
        <v>2</v>
      </c>
      <c r="F87" s="67">
        <v>1</v>
      </c>
      <c r="G87" s="67">
        <v>1</v>
      </c>
      <c r="H87" s="67">
        <v>8</v>
      </c>
      <c r="I87" s="67">
        <v>1</v>
      </c>
      <c r="J87" s="67">
        <f>SUM(DataTbl[[#This Row],[Likes]:[Shares]])</f>
        <v>10</v>
      </c>
      <c r="K87" s="75">
        <f>DataTbl[[#This Row],[Engagement]]/DataTbl[[#This Row],[Views]]</f>
        <v>5.6179775280898875E-2</v>
      </c>
      <c r="L87" s="67">
        <f>SUM(DataTbl[[#This Row],[Profile Visits]:[New Followers]])</f>
        <v>9</v>
      </c>
    </row>
    <row r="88" spans="1:12" x14ac:dyDescent="0.3">
      <c r="A88" s="74">
        <v>45649</v>
      </c>
      <c r="B88" s="67">
        <v>204</v>
      </c>
      <c r="C88" s="67">
        <v>3876</v>
      </c>
      <c r="D88" s="67">
        <v>6</v>
      </c>
      <c r="E88" s="67">
        <v>3</v>
      </c>
      <c r="F88" s="67">
        <v>1</v>
      </c>
      <c r="G88" s="67">
        <v>1</v>
      </c>
      <c r="H88" s="67">
        <v>16</v>
      </c>
      <c r="I88" s="67">
        <v>7</v>
      </c>
      <c r="J88" s="67">
        <f>SUM(DataTbl[[#This Row],[Likes]:[Shares]])</f>
        <v>11</v>
      </c>
      <c r="K88" s="75">
        <f>DataTbl[[#This Row],[Engagement]]/DataTbl[[#This Row],[Views]]</f>
        <v>5.3921568627450983E-2</v>
      </c>
      <c r="L88" s="67">
        <f>SUM(DataTbl[[#This Row],[Profile Visits]:[New Followers]])</f>
        <v>23</v>
      </c>
    </row>
    <row r="89" spans="1:12" x14ac:dyDescent="0.3">
      <c r="A89" s="74">
        <v>45650</v>
      </c>
      <c r="B89" s="67">
        <v>237</v>
      </c>
      <c r="C89" s="67">
        <v>7821</v>
      </c>
      <c r="D89" s="67">
        <v>8</v>
      </c>
      <c r="E89" s="67">
        <v>3</v>
      </c>
      <c r="F89" s="67">
        <v>2</v>
      </c>
      <c r="G89" s="67">
        <v>1</v>
      </c>
      <c r="H89" s="67">
        <v>16</v>
      </c>
      <c r="I89" s="67">
        <v>6</v>
      </c>
      <c r="J89" s="67">
        <f>SUM(DataTbl[[#This Row],[Likes]:[Shares]])</f>
        <v>14</v>
      </c>
      <c r="K89" s="75">
        <f>DataTbl[[#This Row],[Engagement]]/DataTbl[[#This Row],[Views]]</f>
        <v>5.9071729957805907E-2</v>
      </c>
      <c r="L89" s="67">
        <f>SUM(DataTbl[[#This Row],[Profile Visits]:[New Followers]])</f>
        <v>22</v>
      </c>
    </row>
    <row r="90" spans="1:12" x14ac:dyDescent="0.3">
      <c r="A90" s="74">
        <v>45651</v>
      </c>
      <c r="B90" s="67">
        <v>321</v>
      </c>
      <c r="C90" s="67">
        <v>9309</v>
      </c>
      <c r="D90" s="67">
        <v>10</v>
      </c>
      <c r="E90" s="67">
        <v>5</v>
      </c>
      <c r="F90" s="67">
        <v>1</v>
      </c>
      <c r="G90" s="67">
        <v>1</v>
      </c>
      <c r="H90" s="67">
        <v>25</v>
      </c>
      <c r="I90" s="67">
        <v>12</v>
      </c>
      <c r="J90" s="67">
        <f>SUM(DataTbl[[#This Row],[Likes]:[Shares]])</f>
        <v>17</v>
      </c>
      <c r="K90" s="75">
        <f>DataTbl[[#This Row],[Engagement]]/DataTbl[[#This Row],[Views]]</f>
        <v>5.2959501557632398E-2</v>
      </c>
      <c r="L90" s="67">
        <f>SUM(DataTbl[[#This Row],[Profile Visits]:[New Followers]])</f>
        <v>37</v>
      </c>
    </row>
    <row r="91" spans="1:12" x14ac:dyDescent="0.3">
      <c r="A91" s="74">
        <v>45652</v>
      </c>
      <c r="B91" s="67">
        <v>240</v>
      </c>
      <c r="C91" s="67">
        <v>7200</v>
      </c>
      <c r="D91" s="67">
        <v>10</v>
      </c>
      <c r="E91" s="67">
        <v>4</v>
      </c>
      <c r="F91" s="67">
        <v>1</v>
      </c>
      <c r="G91" s="67">
        <v>1</v>
      </c>
      <c r="H91" s="67">
        <v>15</v>
      </c>
      <c r="I91" s="67">
        <v>6</v>
      </c>
      <c r="J91" s="67">
        <f>SUM(DataTbl[[#This Row],[Likes]:[Shares]])</f>
        <v>16</v>
      </c>
      <c r="K91" s="75">
        <f>DataTbl[[#This Row],[Engagement]]/DataTbl[[#This Row],[Views]]</f>
        <v>6.6666666666666666E-2</v>
      </c>
      <c r="L91" s="67">
        <f>SUM(DataTbl[[#This Row],[Profile Visits]:[New Followers]])</f>
        <v>21</v>
      </c>
    </row>
    <row r="92" spans="1:12" x14ac:dyDescent="0.3">
      <c r="A92" s="74">
        <v>45653</v>
      </c>
      <c r="B92" s="67">
        <v>130</v>
      </c>
      <c r="C92" s="67">
        <v>3640</v>
      </c>
      <c r="D92" s="67">
        <v>3</v>
      </c>
      <c r="E92" s="67">
        <v>1</v>
      </c>
      <c r="F92" s="67">
        <v>0</v>
      </c>
      <c r="G92" s="67">
        <v>0</v>
      </c>
      <c r="H92" s="67">
        <v>9</v>
      </c>
      <c r="I92" s="67">
        <v>2</v>
      </c>
      <c r="J92" s="67">
        <f>SUM(DataTbl[[#This Row],[Likes]:[Shares]])</f>
        <v>4</v>
      </c>
      <c r="K92" s="75">
        <f>DataTbl[[#This Row],[Engagement]]/DataTbl[[#This Row],[Views]]</f>
        <v>3.0769230769230771E-2</v>
      </c>
      <c r="L92" s="67">
        <f>SUM(DataTbl[[#This Row],[Profile Visits]:[New Followers]])</f>
        <v>11</v>
      </c>
    </row>
    <row r="93" spans="1:12" x14ac:dyDescent="0.3">
      <c r="A93" s="74">
        <v>45654</v>
      </c>
      <c r="B93" s="67">
        <v>176</v>
      </c>
      <c r="C93" s="67">
        <v>5456</v>
      </c>
      <c r="D93" s="67">
        <v>7</v>
      </c>
      <c r="E93" s="67">
        <v>3</v>
      </c>
      <c r="F93" s="67">
        <v>1</v>
      </c>
      <c r="G93" s="67">
        <v>1</v>
      </c>
      <c r="H93" s="67">
        <v>11</v>
      </c>
      <c r="I93" s="67">
        <v>2</v>
      </c>
      <c r="J93" s="67">
        <f>SUM(DataTbl[[#This Row],[Likes]:[Shares]])</f>
        <v>12</v>
      </c>
      <c r="K93" s="75">
        <f>DataTbl[[#This Row],[Engagement]]/DataTbl[[#This Row],[Views]]</f>
        <v>6.8181818181818177E-2</v>
      </c>
      <c r="L93" s="67">
        <f>SUM(DataTbl[[#This Row],[Profile Visits]:[New Followers]])</f>
        <v>13</v>
      </c>
    </row>
    <row r="94" spans="1:12" x14ac:dyDescent="0.3">
      <c r="A94" s="74">
        <v>45655</v>
      </c>
      <c r="B94" s="67">
        <v>178</v>
      </c>
      <c r="C94" s="67">
        <v>4094</v>
      </c>
      <c r="D94" s="67">
        <v>6</v>
      </c>
      <c r="E94" s="67">
        <v>2</v>
      </c>
      <c r="F94" s="67">
        <v>1</v>
      </c>
      <c r="G94" s="67">
        <v>1</v>
      </c>
      <c r="H94" s="67">
        <v>8</v>
      </c>
      <c r="I94" s="67">
        <v>1</v>
      </c>
      <c r="J94" s="67">
        <f>SUM(DataTbl[[#This Row],[Likes]:[Shares]])</f>
        <v>10</v>
      </c>
      <c r="K94" s="75">
        <f>DataTbl[[#This Row],[Engagement]]/DataTbl[[#This Row],[Views]]</f>
        <v>5.6179775280898875E-2</v>
      </c>
      <c r="L94" s="67">
        <f>SUM(DataTbl[[#This Row],[Profile Visits]:[New Followers]])</f>
        <v>9</v>
      </c>
    </row>
    <row r="95" spans="1:12" x14ac:dyDescent="0.3">
      <c r="A95" s="74">
        <v>45656</v>
      </c>
      <c r="B95" s="67">
        <v>279</v>
      </c>
      <c r="C95" s="67">
        <v>5301</v>
      </c>
      <c r="D95" s="67">
        <v>10</v>
      </c>
      <c r="E95" s="67">
        <v>3</v>
      </c>
      <c r="F95" s="67">
        <v>1</v>
      </c>
      <c r="G95" s="67">
        <v>1</v>
      </c>
      <c r="H95" s="67">
        <v>19</v>
      </c>
      <c r="I95" s="67">
        <v>5</v>
      </c>
      <c r="J95" s="67">
        <f>SUM(DataTbl[[#This Row],[Likes]:[Shares]])</f>
        <v>15</v>
      </c>
      <c r="K95" s="75">
        <f>DataTbl[[#This Row],[Engagement]]/DataTbl[[#This Row],[Views]]</f>
        <v>5.3763440860215055E-2</v>
      </c>
      <c r="L95" s="67">
        <f>SUM(DataTbl[[#This Row],[Profile Visits]:[New Followers]])</f>
        <v>24</v>
      </c>
    </row>
    <row r="96" spans="1:12" x14ac:dyDescent="0.3">
      <c r="A96" s="74">
        <v>45657</v>
      </c>
      <c r="B96" s="67">
        <v>328</v>
      </c>
      <c r="C96" s="67">
        <v>6560</v>
      </c>
      <c r="D96" s="67">
        <v>9</v>
      </c>
      <c r="E96" s="67">
        <v>4</v>
      </c>
      <c r="F96" s="67">
        <v>2</v>
      </c>
      <c r="G96" s="67">
        <v>1</v>
      </c>
      <c r="H96" s="67">
        <v>20</v>
      </c>
      <c r="I96" s="67">
        <v>6</v>
      </c>
      <c r="J96" s="67">
        <f>SUM(DataTbl[[#This Row],[Likes]:[Shares]])</f>
        <v>16</v>
      </c>
      <c r="K96" s="75">
        <f>DataTbl[[#This Row],[Engagement]]/DataTbl[[#This Row],[Views]]</f>
        <v>4.878048780487805E-2</v>
      </c>
      <c r="L96" s="67">
        <f>SUM(DataTbl[[#This Row],[Profile Visits]:[New Followers]])</f>
        <v>26</v>
      </c>
    </row>
    <row r="97" spans="1:12" x14ac:dyDescent="0.3">
      <c r="A97" s="74">
        <v>45658</v>
      </c>
      <c r="B97" s="67">
        <v>306</v>
      </c>
      <c r="C97" s="67">
        <v>7038</v>
      </c>
      <c r="D97" s="67">
        <v>14</v>
      </c>
      <c r="E97" s="67">
        <v>5</v>
      </c>
      <c r="F97" s="67">
        <v>2</v>
      </c>
      <c r="G97" s="67">
        <v>2</v>
      </c>
      <c r="H97" s="67">
        <v>24</v>
      </c>
      <c r="I97" s="67">
        <v>11</v>
      </c>
      <c r="J97" s="67">
        <f>SUM(DataTbl[[#This Row],[Likes]:[Shares]])</f>
        <v>23</v>
      </c>
      <c r="K97" s="75">
        <f>DataTbl[[#This Row],[Engagement]]/DataTbl[[#This Row],[Views]]</f>
        <v>7.5163398692810454E-2</v>
      </c>
      <c r="L97" s="67">
        <f>SUM(DataTbl[[#This Row],[Profile Visits]:[New Followers]])</f>
        <v>35</v>
      </c>
    </row>
    <row r="98" spans="1:12" x14ac:dyDescent="0.3">
      <c r="A98" s="74">
        <v>45659</v>
      </c>
      <c r="B98" s="67">
        <v>148</v>
      </c>
      <c r="C98" s="67">
        <v>4588</v>
      </c>
      <c r="D98" s="67">
        <v>6</v>
      </c>
      <c r="E98" s="67">
        <v>2</v>
      </c>
      <c r="F98" s="67">
        <v>1</v>
      </c>
      <c r="G98" s="67">
        <v>1</v>
      </c>
      <c r="H98" s="67">
        <v>7</v>
      </c>
      <c r="I98" s="67">
        <v>1</v>
      </c>
      <c r="J98" s="67">
        <f>SUM(DataTbl[[#This Row],[Likes]:[Shares]])</f>
        <v>10</v>
      </c>
      <c r="K98" s="75">
        <f>DataTbl[[#This Row],[Engagement]]/DataTbl[[#This Row],[Views]]</f>
        <v>6.7567567567567571E-2</v>
      </c>
      <c r="L98" s="67">
        <f>SUM(DataTbl[[#This Row],[Profile Visits]:[New Followers]])</f>
        <v>8</v>
      </c>
    </row>
    <row r="99" spans="1:12" x14ac:dyDescent="0.3">
      <c r="A99" s="74">
        <v>45660</v>
      </c>
      <c r="B99" s="67">
        <v>175</v>
      </c>
      <c r="C99" s="67">
        <v>4025</v>
      </c>
      <c r="D99" s="67">
        <v>6</v>
      </c>
      <c r="E99" s="67">
        <v>3</v>
      </c>
      <c r="F99" s="67">
        <v>1</v>
      </c>
      <c r="G99" s="67">
        <v>1</v>
      </c>
      <c r="H99" s="67">
        <v>10</v>
      </c>
      <c r="I99" s="67">
        <v>2</v>
      </c>
      <c r="J99" s="67">
        <f>SUM(DataTbl[[#This Row],[Likes]:[Shares]])</f>
        <v>11</v>
      </c>
      <c r="K99" s="75">
        <f>DataTbl[[#This Row],[Engagement]]/DataTbl[[#This Row],[Views]]</f>
        <v>6.2857142857142861E-2</v>
      </c>
      <c r="L99" s="67">
        <f>SUM(DataTbl[[#This Row],[Profile Visits]:[New Followers]])</f>
        <v>12</v>
      </c>
    </row>
    <row r="100" spans="1:12" x14ac:dyDescent="0.3">
      <c r="A100" s="74">
        <v>45661</v>
      </c>
      <c r="B100" s="67">
        <v>174</v>
      </c>
      <c r="C100" s="67">
        <v>4176</v>
      </c>
      <c r="D100" s="67">
        <v>6</v>
      </c>
      <c r="E100" s="67">
        <v>3</v>
      </c>
      <c r="F100" s="67">
        <v>1</v>
      </c>
      <c r="G100" s="67">
        <v>1</v>
      </c>
      <c r="H100" s="67">
        <v>11</v>
      </c>
      <c r="I100" s="67">
        <v>1</v>
      </c>
      <c r="J100" s="67">
        <f>SUM(DataTbl[[#This Row],[Likes]:[Shares]])</f>
        <v>11</v>
      </c>
      <c r="K100" s="75">
        <f>DataTbl[[#This Row],[Engagement]]/DataTbl[[#This Row],[Views]]</f>
        <v>6.3218390804597707E-2</v>
      </c>
      <c r="L100" s="67">
        <f>SUM(DataTbl[[#This Row],[Profile Visits]:[New Followers]])</f>
        <v>12</v>
      </c>
    </row>
    <row r="101" spans="1:12" x14ac:dyDescent="0.3">
      <c r="A101" s="74">
        <v>45662</v>
      </c>
      <c r="B101" s="67">
        <v>173</v>
      </c>
      <c r="C101" s="67">
        <v>3633</v>
      </c>
      <c r="D101" s="67">
        <v>4</v>
      </c>
      <c r="E101" s="67">
        <v>2</v>
      </c>
      <c r="F101" s="67">
        <v>1</v>
      </c>
      <c r="G101" s="67">
        <v>1</v>
      </c>
      <c r="H101" s="67">
        <v>8</v>
      </c>
      <c r="I101" s="67">
        <v>1</v>
      </c>
      <c r="J101" s="67">
        <f>SUM(DataTbl[[#This Row],[Likes]:[Shares]])</f>
        <v>8</v>
      </c>
      <c r="K101" s="75">
        <f>DataTbl[[#This Row],[Engagement]]/DataTbl[[#This Row],[Views]]</f>
        <v>4.6242774566473986E-2</v>
      </c>
      <c r="L101" s="67">
        <f>SUM(DataTbl[[#This Row],[Profile Visits]:[New Followers]])</f>
        <v>9</v>
      </c>
    </row>
    <row r="102" spans="1:12" x14ac:dyDescent="0.3">
      <c r="A102" s="74">
        <v>45663</v>
      </c>
      <c r="B102" s="67">
        <v>155</v>
      </c>
      <c r="C102" s="67">
        <v>3255</v>
      </c>
      <c r="D102" s="67">
        <v>5</v>
      </c>
      <c r="E102" s="67">
        <v>2</v>
      </c>
      <c r="F102" s="67">
        <v>0</v>
      </c>
      <c r="G102" s="67">
        <v>1</v>
      </c>
      <c r="H102" s="67">
        <v>12</v>
      </c>
      <c r="I102" s="67">
        <v>2</v>
      </c>
      <c r="J102" s="67">
        <f>SUM(DataTbl[[#This Row],[Likes]:[Shares]])</f>
        <v>8</v>
      </c>
      <c r="K102" s="75">
        <f>DataTbl[[#This Row],[Engagement]]/DataTbl[[#This Row],[Views]]</f>
        <v>5.1612903225806452E-2</v>
      </c>
      <c r="L102" s="67">
        <f>SUM(DataTbl[[#This Row],[Profile Visits]:[New Followers]])</f>
        <v>14</v>
      </c>
    </row>
    <row r="103" spans="1:12" x14ac:dyDescent="0.3">
      <c r="A103" s="74">
        <v>45664</v>
      </c>
      <c r="B103" s="67">
        <v>184</v>
      </c>
      <c r="C103" s="67">
        <v>5152</v>
      </c>
      <c r="D103" s="67">
        <v>8</v>
      </c>
      <c r="E103" s="67">
        <v>3</v>
      </c>
      <c r="F103" s="67">
        <v>1</v>
      </c>
      <c r="G103" s="67">
        <v>1</v>
      </c>
      <c r="H103" s="67">
        <v>12</v>
      </c>
      <c r="I103" s="67">
        <v>2</v>
      </c>
      <c r="J103" s="67">
        <f>SUM(DataTbl[[#This Row],[Likes]:[Shares]])</f>
        <v>13</v>
      </c>
      <c r="K103" s="75">
        <f>DataTbl[[#This Row],[Engagement]]/DataTbl[[#This Row],[Views]]</f>
        <v>7.0652173913043473E-2</v>
      </c>
      <c r="L103" s="67">
        <f>SUM(DataTbl[[#This Row],[Profile Visits]:[New Followers]])</f>
        <v>14</v>
      </c>
    </row>
    <row r="104" spans="1:12" x14ac:dyDescent="0.3">
      <c r="A104" s="74">
        <v>45665</v>
      </c>
      <c r="B104" s="67">
        <v>140</v>
      </c>
      <c r="C104" s="67">
        <v>4760</v>
      </c>
      <c r="D104" s="67">
        <v>6</v>
      </c>
      <c r="E104" s="67">
        <v>2</v>
      </c>
      <c r="F104" s="67">
        <v>1</v>
      </c>
      <c r="G104" s="67">
        <v>1</v>
      </c>
      <c r="H104" s="67">
        <v>10</v>
      </c>
      <c r="I104" s="67">
        <v>2</v>
      </c>
      <c r="J104" s="67">
        <f>SUM(DataTbl[[#This Row],[Likes]:[Shares]])</f>
        <v>10</v>
      </c>
      <c r="K104" s="75">
        <f>DataTbl[[#This Row],[Engagement]]/DataTbl[[#This Row],[Views]]</f>
        <v>7.1428571428571425E-2</v>
      </c>
      <c r="L104" s="67">
        <f>SUM(DataTbl[[#This Row],[Profile Visits]:[New Followers]])</f>
        <v>12</v>
      </c>
    </row>
    <row r="105" spans="1:12" x14ac:dyDescent="0.3">
      <c r="A105" s="74">
        <v>45666</v>
      </c>
      <c r="B105" s="67">
        <v>161</v>
      </c>
      <c r="C105" s="67">
        <v>4347</v>
      </c>
      <c r="D105" s="67">
        <v>6</v>
      </c>
      <c r="E105" s="67">
        <v>3</v>
      </c>
      <c r="F105" s="67">
        <v>1</v>
      </c>
      <c r="G105" s="67">
        <v>1</v>
      </c>
      <c r="H105" s="67">
        <v>9</v>
      </c>
      <c r="I105" s="67">
        <v>1</v>
      </c>
      <c r="J105" s="67">
        <f>SUM(DataTbl[[#This Row],[Likes]:[Shares]])</f>
        <v>11</v>
      </c>
      <c r="K105" s="75">
        <f>DataTbl[[#This Row],[Engagement]]/DataTbl[[#This Row],[Views]]</f>
        <v>6.8322981366459631E-2</v>
      </c>
      <c r="L105" s="67">
        <f>SUM(DataTbl[[#This Row],[Profile Visits]:[New Followers]])</f>
        <v>10</v>
      </c>
    </row>
    <row r="106" spans="1:12" x14ac:dyDescent="0.3">
      <c r="A106" s="74">
        <v>45667</v>
      </c>
      <c r="B106" s="67">
        <v>163</v>
      </c>
      <c r="C106" s="67">
        <v>3260</v>
      </c>
      <c r="D106" s="67">
        <v>7</v>
      </c>
      <c r="E106" s="67">
        <v>3</v>
      </c>
      <c r="F106" s="67">
        <v>1</v>
      </c>
      <c r="G106" s="67">
        <v>1</v>
      </c>
      <c r="H106" s="67">
        <v>10</v>
      </c>
      <c r="I106" s="67">
        <v>1</v>
      </c>
      <c r="J106" s="67">
        <f>SUM(DataTbl[[#This Row],[Likes]:[Shares]])</f>
        <v>12</v>
      </c>
      <c r="K106" s="75">
        <f>DataTbl[[#This Row],[Engagement]]/DataTbl[[#This Row],[Views]]</f>
        <v>7.3619631901840496E-2</v>
      </c>
      <c r="L106" s="67">
        <f>SUM(DataTbl[[#This Row],[Profile Visits]:[New Followers]])</f>
        <v>11</v>
      </c>
    </row>
    <row r="107" spans="1:12" x14ac:dyDescent="0.3">
      <c r="A107" s="74">
        <v>45668</v>
      </c>
      <c r="B107" s="67">
        <v>206</v>
      </c>
      <c r="C107" s="67">
        <v>5150</v>
      </c>
      <c r="D107" s="67">
        <v>9</v>
      </c>
      <c r="E107" s="67">
        <v>4</v>
      </c>
      <c r="F107" s="67">
        <v>1</v>
      </c>
      <c r="G107" s="67">
        <v>1</v>
      </c>
      <c r="H107" s="67">
        <v>12</v>
      </c>
      <c r="I107" s="67">
        <v>2</v>
      </c>
      <c r="J107" s="67">
        <f>SUM(DataTbl[[#This Row],[Likes]:[Shares]])</f>
        <v>15</v>
      </c>
      <c r="K107" s="75">
        <f>DataTbl[[#This Row],[Engagement]]/DataTbl[[#This Row],[Views]]</f>
        <v>7.281553398058252E-2</v>
      </c>
      <c r="L107" s="67">
        <f>SUM(DataTbl[[#This Row],[Profile Visits]:[New Followers]])</f>
        <v>14</v>
      </c>
    </row>
    <row r="108" spans="1:12" x14ac:dyDescent="0.3">
      <c r="A108" s="74">
        <v>45669</v>
      </c>
      <c r="B108" s="67">
        <v>226</v>
      </c>
      <c r="C108" s="67">
        <v>4294</v>
      </c>
      <c r="D108" s="67">
        <v>8</v>
      </c>
      <c r="E108" s="67">
        <v>4</v>
      </c>
      <c r="F108" s="67">
        <v>1</v>
      </c>
      <c r="G108" s="67">
        <v>1</v>
      </c>
      <c r="H108" s="67">
        <v>13</v>
      </c>
      <c r="I108" s="67">
        <v>2</v>
      </c>
      <c r="J108" s="67">
        <f>SUM(DataTbl[[#This Row],[Likes]:[Shares]])</f>
        <v>14</v>
      </c>
      <c r="K108" s="75">
        <f>DataTbl[[#This Row],[Engagement]]/DataTbl[[#This Row],[Views]]</f>
        <v>6.1946902654867256E-2</v>
      </c>
      <c r="L108" s="67">
        <f>SUM(DataTbl[[#This Row],[Profile Visits]:[New Followers]])</f>
        <v>15</v>
      </c>
    </row>
    <row r="109" spans="1:12" x14ac:dyDescent="0.3">
      <c r="A109" s="74">
        <v>45670</v>
      </c>
      <c r="B109" s="67">
        <v>171</v>
      </c>
      <c r="C109" s="67">
        <v>3762</v>
      </c>
      <c r="D109" s="67">
        <v>4</v>
      </c>
      <c r="E109" s="67">
        <v>2</v>
      </c>
      <c r="F109" s="67">
        <v>1</v>
      </c>
      <c r="G109" s="67">
        <v>1</v>
      </c>
      <c r="H109" s="67">
        <v>9</v>
      </c>
      <c r="I109" s="67">
        <v>2</v>
      </c>
      <c r="J109" s="67">
        <f>SUM(DataTbl[[#This Row],[Likes]:[Shares]])</f>
        <v>8</v>
      </c>
      <c r="K109" s="75">
        <f>DataTbl[[#This Row],[Engagement]]/DataTbl[[#This Row],[Views]]</f>
        <v>4.6783625730994149E-2</v>
      </c>
      <c r="L109" s="67">
        <f>SUM(DataTbl[[#This Row],[Profile Visits]:[New Followers]])</f>
        <v>11</v>
      </c>
    </row>
    <row r="110" spans="1:12" x14ac:dyDescent="0.3">
      <c r="A110" s="74">
        <v>45671</v>
      </c>
      <c r="B110" s="67">
        <v>181</v>
      </c>
      <c r="C110" s="67">
        <v>3982</v>
      </c>
      <c r="D110" s="67">
        <v>6</v>
      </c>
      <c r="E110" s="67">
        <v>2</v>
      </c>
      <c r="F110" s="67">
        <v>1</v>
      </c>
      <c r="G110" s="67">
        <v>1</v>
      </c>
      <c r="H110" s="67">
        <v>9</v>
      </c>
      <c r="I110" s="67">
        <v>1</v>
      </c>
      <c r="J110" s="67">
        <f>SUM(DataTbl[[#This Row],[Likes]:[Shares]])</f>
        <v>10</v>
      </c>
      <c r="K110" s="75">
        <f>DataTbl[[#This Row],[Engagement]]/DataTbl[[#This Row],[Views]]</f>
        <v>5.5248618784530384E-2</v>
      </c>
      <c r="L110" s="67">
        <f>SUM(DataTbl[[#This Row],[Profile Visits]:[New Followers]])</f>
        <v>10</v>
      </c>
    </row>
    <row r="111" spans="1:12" x14ac:dyDescent="0.3">
      <c r="A111" s="74">
        <v>45672</v>
      </c>
      <c r="B111" s="67">
        <v>151</v>
      </c>
      <c r="C111" s="67">
        <v>4681</v>
      </c>
      <c r="D111" s="67">
        <v>4</v>
      </c>
      <c r="E111" s="67">
        <v>2</v>
      </c>
      <c r="F111" s="67">
        <v>1</v>
      </c>
      <c r="G111" s="67">
        <v>1</v>
      </c>
      <c r="H111" s="67">
        <v>11</v>
      </c>
      <c r="I111" s="67">
        <v>1</v>
      </c>
      <c r="J111" s="67">
        <f>SUM(DataTbl[[#This Row],[Likes]:[Shares]])</f>
        <v>8</v>
      </c>
      <c r="K111" s="75">
        <f>DataTbl[[#This Row],[Engagement]]/DataTbl[[#This Row],[Views]]</f>
        <v>5.2980132450331126E-2</v>
      </c>
      <c r="L111" s="67">
        <f>SUM(DataTbl[[#This Row],[Profile Visits]:[New Followers]])</f>
        <v>12</v>
      </c>
    </row>
    <row r="112" spans="1:12" x14ac:dyDescent="0.3">
      <c r="A112" s="74">
        <v>45673</v>
      </c>
      <c r="B112" s="67">
        <v>166</v>
      </c>
      <c r="C112" s="67">
        <v>3486</v>
      </c>
      <c r="D112" s="67">
        <v>7</v>
      </c>
      <c r="E112" s="67">
        <v>3</v>
      </c>
      <c r="F112" s="67">
        <v>1</v>
      </c>
      <c r="G112" s="67">
        <v>1</v>
      </c>
      <c r="H112" s="67">
        <v>13</v>
      </c>
      <c r="I112" s="67">
        <v>2</v>
      </c>
      <c r="J112" s="67">
        <f>SUM(DataTbl[[#This Row],[Likes]:[Shares]])</f>
        <v>12</v>
      </c>
      <c r="K112" s="75">
        <f>DataTbl[[#This Row],[Engagement]]/DataTbl[[#This Row],[Views]]</f>
        <v>7.2289156626506021E-2</v>
      </c>
      <c r="L112" s="67">
        <f>SUM(DataTbl[[#This Row],[Profile Visits]:[New Followers]])</f>
        <v>15</v>
      </c>
    </row>
    <row r="113" spans="1:12" x14ac:dyDescent="0.3">
      <c r="A113" s="74">
        <v>45674</v>
      </c>
      <c r="B113" s="67">
        <v>178</v>
      </c>
      <c r="C113" s="67">
        <v>5518</v>
      </c>
      <c r="D113" s="67">
        <v>5</v>
      </c>
      <c r="E113" s="67">
        <v>2</v>
      </c>
      <c r="F113" s="67">
        <v>1</v>
      </c>
      <c r="G113" s="67">
        <v>1</v>
      </c>
      <c r="H113" s="67">
        <v>13</v>
      </c>
      <c r="I113" s="67">
        <v>2</v>
      </c>
      <c r="J113" s="67">
        <f>SUM(DataTbl[[#This Row],[Likes]:[Shares]])</f>
        <v>9</v>
      </c>
      <c r="K113" s="75">
        <f>DataTbl[[#This Row],[Engagement]]/DataTbl[[#This Row],[Views]]</f>
        <v>5.0561797752808987E-2</v>
      </c>
      <c r="L113" s="67">
        <f>SUM(DataTbl[[#This Row],[Profile Visits]:[New Followers]])</f>
        <v>15</v>
      </c>
    </row>
    <row r="114" spans="1:12" x14ac:dyDescent="0.3">
      <c r="A114" s="74">
        <v>45675</v>
      </c>
      <c r="B114" s="67">
        <v>214</v>
      </c>
      <c r="C114" s="67">
        <v>5564</v>
      </c>
      <c r="D114" s="67">
        <v>6</v>
      </c>
      <c r="E114" s="67">
        <v>3</v>
      </c>
      <c r="F114" s="67">
        <v>1</v>
      </c>
      <c r="G114" s="67">
        <v>1</v>
      </c>
      <c r="H114" s="67">
        <v>15</v>
      </c>
      <c r="I114" s="67">
        <v>2</v>
      </c>
      <c r="J114" s="67">
        <f>SUM(DataTbl[[#This Row],[Likes]:[Shares]])</f>
        <v>11</v>
      </c>
      <c r="K114" s="75">
        <f>DataTbl[[#This Row],[Engagement]]/DataTbl[[#This Row],[Views]]</f>
        <v>5.1401869158878503E-2</v>
      </c>
      <c r="L114" s="67">
        <f>SUM(DataTbl[[#This Row],[Profile Visits]:[New Followers]])</f>
        <v>17</v>
      </c>
    </row>
    <row r="115" spans="1:12" x14ac:dyDescent="0.3">
      <c r="A115" s="74">
        <v>45676</v>
      </c>
      <c r="B115" s="67">
        <v>179</v>
      </c>
      <c r="C115" s="67">
        <v>5370</v>
      </c>
      <c r="D115" s="67">
        <v>8</v>
      </c>
      <c r="E115" s="67">
        <v>3</v>
      </c>
      <c r="F115" s="67">
        <v>1</v>
      </c>
      <c r="G115" s="67">
        <v>1</v>
      </c>
      <c r="H115" s="67">
        <v>8</v>
      </c>
      <c r="I115" s="67">
        <v>2</v>
      </c>
      <c r="J115" s="67">
        <f>SUM(DataTbl[[#This Row],[Likes]:[Shares]])</f>
        <v>13</v>
      </c>
      <c r="K115" s="75">
        <f>DataTbl[[#This Row],[Engagement]]/DataTbl[[#This Row],[Views]]</f>
        <v>7.2625698324022353E-2</v>
      </c>
      <c r="L115" s="67">
        <f>SUM(DataTbl[[#This Row],[Profile Visits]:[New Followers]])</f>
        <v>10</v>
      </c>
    </row>
    <row r="116" spans="1:12" x14ac:dyDescent="0.3">
      <c r="A116" s="74">
        <v>45677</v>
      </c>
      <c r="B116" s="67">
        <v>173</v>
      </c>
      <c r="C116" s="67">
        <v>5363</v>
      </c>
      <c r="D116" s="67">
        <v>4</v>
      </c>
      <c r="E116" s="67">
        <v>2</v>
      </c>
      <c r="F116" s="67">
        <v>0</v>
      </c>
      <c r="G116" s="67">
        <v>1</v>
      </c>
      <c r="H116" s="67">
        <v>12</v>
      </c>
      <c r="I116" s="67">
        <v>2</v>
      </c>
      <c r="J116" s="67">
        <f>SUM(DataTbl[[#This Row],[Likes]:[Shares]])</f>
        <v>7</v>
      </c>
      <c r="K116" s="75">
        <f>DataTbl[[#This Row],[Engagement]]/DataTbl[[#This Row],[Views]]</f>
        <v>4.046242774566474E-2</v>
      </c>
      <c r="L116" s="67">
        <f>SUM(DataTbl[[#This Row],[Profile Visits]:[New Followers]])</f>
        <v>14</v>
      </c>
    </row>
    <row r="117" spans="1:12" x14ac:dyDescent="0.3">
      <c r="A117" s="74">
        <v>45678</v>
      </c>
      <c r="B117" s="67">
        <v>174</v>
      </c>
      <c r="C117" s="67">
        <v>4524</v>
      </c>
      <c r="D117" s="67">
        <v>4</v>
      </c>
      <c r="E117" s="67">
        <v>1</v>
      </c>
      <c r="F117" s="67">
        <v>0</v>
      </c>
      <c r="G117" s="67">
        <v>0</v>
      </c>
      <c r="H117" s="67">
        <v>11</v>
      </c>
      <c r="I117" s="67">
        <v>1</v>
      </c>
      <c r="J117" s="67">
        <f>SUM(DataTbl[[#This Row],[Likes]:[Shares]])</f>
        <v>5</v>
      </c>
      <c r="K117" s="75">
        <f>DataTbl[[#This Row],[Engagement]]/DataTbl[[#This Row],[Views]]</f>
        <v>2.8735632183908046E-2</v>
      </c>
      <c r="L117" s="67">
        <f>SUM(DataTbl[[#This Row],[Profile Visits]:[New Followers]])</f>
        <v>12</v>
      </c>
    </row>
    <row r="118" spans="1:12" x14ac:dyDescent="0.3">
      <c r="A118" s="74">
        <v>45679</v>
      </c>
      <c r="B118" s="67">
        <v>177</v>
      </c>
      <c r="C118" s="67">
        <v>4956</v>
      </c>
      <c r="D118" s="67">
        <v>6</v>
      </c>
      <c r="E118" s="67">
        <v>2</v>
      </c>
      <c r="F118" s="67">
        <v>1</v>
      </c>
      <c r="G118" s="67">
        <v>1</v>
      </c>
      <c r="H118" s="67">
        <v>9</v>
      </c>
      <c r="I118" s="67">
        <v>1</v>
      </c>
      <c r="J118" s="67">
        <f>SUM(DataTbl[[#This Row],[Likes]:[Shares]])</f>
        <v>10</v>
      </c>
      <c r="K118" s="75">
        <f>DataTbl[[#This Row],[Engagement]]/DataTbl[[#This Row],[Views]]</f>
        <v>5.6497175141242938E-2</v>
      </c>
      <c r="L118" s="67">
        <f>SUM(DataTbl[[#This Row],[Profile Visits]:[New Followers]])</f>
        <v>10</v>
      </c>
    </row>
    <row r="119" spans="1:12" x14ac:dyDescent="0.3">
      <c r="A119" s="74">
        <v>45680</v>
      </c>
      <c r="B119" s="67">
        <v>517</v>
      </c>
      <c r="C119" s="67">
        <v>17061</v>
      </c>
      <c r="D119" s="67">
        <v>23</v>
      </c>
      <c r="E119" s="67">
        <v>9</v>
      </c>
      <c r="F119" s="67">
        <v>3</v>
      </c>
      <c r="G119" s="67">
        <v>3</v>
      </c>
      <c r="H119" s="67">
        <v>37</v>
      </c>
      <c r="I119" s="67">
        <v>4</v>
      </c>
      <c r="J119" s="67">
        <f>SUM(DataTbl[[#This Row],[Likes]:[Shares]])</f>
        <v>38</v>
      </c>
      <c r="K119" s="75">
        <f>DataTbl[[#This Row],[Engagement]]/DataTbl[[#This Row],[Views]]</f>
        <v>7.3500967117988397E-2</v>
      </c>
      <c r="L119" s="67">
        <f>SUM(DataTbl[[#This Row],[Profile Visits]:[New Followers]])</f>
        <v>41</v>
      </c>
    </row>
    <row r="120" spans="1:12" x14ac:dyDescent="0.3">
      <c r="A120" s="74">
        <v>45681</v>
      </c>
      <c r="B120" s="67">
        <v>185</v>
      </c>
      <c r="C120" s="67">
        <v>3515</v>
      </c>
      <c r="D120" s="67">
        <v>7</v>
      </c>
      <c r="E120" s="67">
        <v>3</v>
      </c>
      <c r="F120" s="67">
        <v>1</v>
      </c>
      <c r="G120" s="67">
        <v>1</v>
      </c>
      <c r="H120" s="67">
        <v>9</v>
      </c>
      <c r="I120" s="67">
        <v>1</v>
      </c>
      <c r="J120" s="67">
        <f>SUM(DataTbl[[#This Row],[Likes]:[Shares]])</f>
        <v>12</v>
      </c>
      <c r="K120" s="75">
        <f>DataTbl[[#This Row],[Engagement]]/DataTbl[[#This Row],[Views]]</f>
        <v>6.4864864864864868E-2</v>
      </c>
      <c r="L120" s="67">
        <f>SUM(DataTbl[[#This Row],[Profile Visits]:[New Followers]])</f>
        <v>10</v>
      </c>
    </row>
    <row r="121" spans="1:12" x14ac:dyDescent="0.3">
      <c r="A121" s="74">
        <v>45682</v>
      </c>
      <c r="B121" s="67">
        <v>240</v>
      </c>
      <c r="C121" s="67">
        <v>6720</v>
      </c>
      <c r="D121" s="67">
        <v>6</v>
      </c>
      <c r="E121" s="67">
        <v>2</v>
      </c>
      <c r="F121" s="67">
        <v>1</v>
      </c>
      <c r="G121" s="67">
        <v>1</v>
      </c>
      <c r="H121" s="67">
        <v>17</v>
      </c>
      <c r="I121" s="67">
        <v>3</v>
      </c>
      <c r="J121" s="67">
        <f>SUM(DataTbl[[#This Row],[Likes]:[Shares]])</f>
        <v>10</v>
      </c>
      <c r="K121" s="75">
        <f>DataTbl[[#This Row],[Engagement]]/DataTbl[[#This Row],[Views]]</f>
        <v>4.1666666666666664E-2</v>
      </c>
      <c r="L121" s="67">
        <f>SUM(DataTbl[[#This Row],[Profile Visits]:[New Followers]])</f>
        <v>20</v>
      </c>
    </row>
    <row r="122" spans="1:12" x14ac:dyDescent="0.3">
      <c r="A122" s="74">
        <v>45683</v>
      </c>
      <c r="B122" s="67">
        <v>582</v>
      </c>
      <c r="C122" s="67">
        <v>11640</v>
      </c>
      <c r="D122" s="67">
        <v>14</v>
      </c>
      <c r="E122" s="67">
        <v>5</v>
      </c>
      <c r="F122" s="67">
        <v>2</v>
      </c>
      <c r="G122" s="67">
        <v>2</v>
      </c>
      <c r="H122" s="67">
        <v>34</v>
      </c>
      <c r="I122" s="67">
        <v>7</v>
      </c>
      <c r="J122" s="67">
        <f>SUM(DataTbl[[#This Row],[Likes]:[Shares]])</f>
        <v>23</v>
      </c>
      <c r="K122" s="75">
        <f>DataTbl[[#This Row],[Engagement]]/DataTbl[[#This Row],[Views]]</f>
        <v>3.951890034364261E-2</v>
      </c>
      <c r="L122" s="67">
        <f>SUM(DataTbl[[#This Row],[Profile Visits]:[New Followers]])</f>
        <v>41</v>
      </c>
    </row>
    <row r="123" spans="1:12" x14ac:dyDescent="0.3">
      <c r="A123" s="74">
        <v>45684</v>
      </c>
      <c r="B123" s="67">
        <v>436</v>
      </c>
      <c r="C123" s="67">
        <v>11336</v>
      </c>
      <c r="D123" s="67">
        <v>12</v>
      </c>
      <c r="E123" s="67">
        <v>5</v>
      </c>
      <c r="F123" s="67">
        <v>2</v>
      </c>
      <c r="G123" s="67">
        <v>2</v>
      </c>
      <c r="H123" s="67">
        <v>25</v>
      </c>
      <c r="I123" s="67">
        <v>5</v>
      </c>
      <c r="J123" s="67">
        <f>SUM(DataTbl[[#This Row],[Likes]:[Shares]])</f>
        <v>21</v>
      </c>
      <c r="K123" s="75">
        <f>DataTbl[[#This Row],[Engagement]]/DataTbl[[#This Row],[Views]]</f>
        <v>4.8165137614678902E-2</v>
      </c>
      <c r="L123" s="67">
        <f>SUM(DataTbl[[#This Row],[Profile Visits]:[New Followers]])</f>
        <v>30</v>
      </c>
    </row>
    <row r="124" spans="1:12" x14ac:dyDescent="0.3">
      <c r="A124" s="74">
        <v>45685</v>
      </c>
      <c r="B124" s="67">
        <v>523</v>
      </c>
      <c r="C124" s="67">
        <v>13598</v>
      </c>
      <c r="D124" s="67">
        <v>17</v>
      </c>
      <c r="E124" s="67">
        <v>8</v>
      </c>
      <c r="F124" s="67">
        <v>2</v>
      </c>
      <c r="G124" s="67">
        <v>2</v>
      </c>
      <c r="H124" s="67">
        <v>36</v>
      </c>
      <c r="I124" s="67">
        <v>9</v>
      </c>
      <c r="J124" s="67">
        <f>SUM(DataTbl[[#This Row],[Likes]:[Shares]])</f>
        <v>29</v>
      </c>
      <c r="K124" s="75">
        <f>DataTbl[[#This Row],[Engagement]]/DataTbl[[#This Row],[Views]]</f>
        <v>5.5449330783938815E-2</v>
      </c>
      <c r="L124" s="67">
        <f>SUM(DataTbl[[#This Row],[Profile Visits]:[New Followers]])</f>
        <v>45</v>
      </c>
    </row>
    <row r="125" spans="1:12" x14ac:dyDescent="0.3">
      <c r="A125" s="74">
        <v>45686</v>
      </c>
      <c r="B125" s="67">
        <v>450</v>
      </c>
      <c r="C125" s="67">
        <v>12150</v>
      </c>
      <c r="D125" s="67">
        <v>20</v>
      </c>
      <c r="E125" s="67">
        <v>7</v>
      </c>
      <c r="F125" s="67">
        <v>3</v>
      </c>
      <c r="G125" s="67">
        <v>2</v>
      </c>
      <c r="H125" s="67">
        <v>31</v>
      </c>
      <c r="I125" s="67">
        <v>9</v>
      </c>
      <c r="J125" s="67">
        <f>SUM(DataTbl[[#This Row],[Likes]:[Shares]])</f>
        <v>32</v>
      </c>
      <c r="K125" s="75">
        <f>DataTbl[[#This Row],[Engagement]]/DataTbl[[#This Row],[Views]]</f>
        <v>7.1111111111111111E-2</v>
      </c>
      <c r="L125" s="67">
        <f>SUM(DataTbl[[#This Row],[Profile Visits]:[New Followers]])</f>
        <v>40</v>
      </c>
    </row>
    <row r="126" spans="1:12" x14ac:dyDescent="0.3">
      <c r="A126" s="74">
        <v>45687</v>
      </c>
      <c r="B126" s="67">
        <v>516</v>
      </c>
      <c r="C126" s="67">
        <v>9804</v>
      </c>
      <c r="D126" s="67">
        <v>16</v>
      </c>
      <c r="E126" s="67">
        <v>6</v>
      </c>
      <c r="F126" s="67">
        <v>2</v>
      </c>
      <c r="G126" s="67">
        <v>2</v>
      </c>
      <c r="H126" s="67">
        <v>21</v>
      </c>
      <c r="I126" s="67">
        <v>11</v>
      </c>
      <c r="J126" s="67">
        <f>SUM(DataTbl[[#This Row],[Likes]:[Shares]])</f>
        <v>26</v>
      </c>
      <c r="K126" s="75">
        <f>DataTbl[[#This Row],[Engagement]]/DataTbl[[#This Row],[Views]]</f>
        <v>5.0387596899224806E-2</v>
      </c>
      <c r="L126" s="67">
        <f>SUM(DataTbl[[#This Row],[Profile Visits]:[New Followers]])</f>
        <v>32</v>
      </c>
    </row>
    <row r="127" spans="1:12" x14ac:dyDescent="0.3">
      <c r="A127" s="74">
        <v>45688</v>
      </c>
      <c r="B127" s="67">
        <v>413</v>
      </c>
      <c r="C127" s="67">
        <v>12803</v>
      </c>
      <c r="D127" s="67">
        <v>15</v>
      </c>
      <c r="E127" s="67">
        <v>6</v>
      </c>
      <c r="F127" s="67">
        <v>2</v>
      </c>
      <c r="G127" s="67">
        <v>2</v>
      </c>
      <c r="H127" s="67">
        <v>31</v>
      </c>
      <c r="I127" s="67">
        <v>6</v>
      </c>
      <c r="J127" s="67">
        <f>SUM(DataTbl[[#This Row],[Likes]:[Shares]])</f>
        <v>25</v>
      </c>
      <c r="K127" s="75">
        <f>DataTbl[[#This Row],[Engagement]]/DataTbl[[#This Row],[Views]]</f>
        <v>6.0532687651331719E-2</v>
      </c>
      <c r="L127" s="67">
        <f>SUM(DataTbl[[#This Row],[Profile Visits]:[New Followers]])</f>
        <v>37</v>
      </c>
    </row>
    <row r="128" spans="1:12" x14ac:dyDescent="0.3">
      <c r="A128" s="74">
        <v>45689</v>
      </c>
      <c r="B128" s="67">
        <v>515</v>
      </c>
      <c r="C128" s="67">
        <v>12360</v>
      </c>
      <c r="D128" s="67">
        <v>15</v>
      </c>
      <c r="E128" s="67">
        <v>5</v>
      </c>
      <c r="F128" s="67">
        <v>2</v>
      </c>
      <c r="G128" s="67">
        <v>2</v>
      </c>
      <c r="H128" s="67">
        <v>21</v>
      </c>
      <c r="I128" s="67">
        <v>6</v>
      </c>
      <c r="J128" s="67">
        <f>SUM(DataTbl[[#This Row],[Likes]:[Shares]])</f>
        <v>24</v>
      </c>
      <c r="K128" s="75">
        <f>DataTbl[[#This Row],[Engagement]]/DataTbl[[#This Row],[Views]]</f>
        <v>4.6601941747572817E-2</v>
      </c>
      <c r="L128" s="67">
        <f>SUM(DataTbl[[#This Row],[Profile Visits]:[New Followers]])</f>
        <v>27</v>
      </c>
    </row>
    <row r="129" spans="1:12" x14ac:dyDescent="0.3">
      <c r="A129" s="74">
        <v>45690</v>
      </c>
      <c r="B129" s="67">
        <v>210</v>
      </c>
      <c r="C129" s="67">
        <v>6510</v>
      </c>
      <c r="D129" s="67">
        <v>7</v>
      </c>
      <c r="E129" s="67">
        <v>3</v>
      </c>
      <c r="F129" s="67">
        <v>1</v>
      </c>
      <c r="G129" s="67">
        <v>1</v>
      </c>
      <c r="H129" s="67">
        <v>10</v>
      </c>
      <c r="I129" s="67">
        <v>1</v>
      </c>
      <c r="J129" s="67">
        <f>SUM(DataTbl[[#This Row],[Likes]:[Shares]])</f>
        <v>12</v>
      </c>
      <c r="K129" s="75">
        <f>DataTbl[[#This Row],[Engagement]]/DataTbl[[#This Row],[Views]]</f>
        <v>5.7142857142857141E-2</v>
      </c>
      <c r="L129" s="67">
        <f>SUM(DataTbl[[#This Row],[Profile Visits]:[New Followers]])</f>
        <v>11</v>
      </c>
    </row>
    <row r="130" spans="1:12" x14ac:dyDescent="0.3">
      <c r="A130" s="74">
        <v>45691</v>
      </c>
      <c r="B130" s="67">
        <v>176</v>
      </c>
      <c r="C130" s="67">
        <v>5984</v>
      </c>
      <c r="D130" s="67">
        <v>8</v>
      </c>
      <c r="E130" s="67">
        <v>3</v>
      </c>
      <c r="F130" s="67">
        <v>1</v>
      </c>
      <c r="G130" s="67">
        <v>1</v>
      </c>
      <c r="H130" s="67">
        <v>9</v>
      </c>
      <c r="I130" s="67">
        <v>1</v>
      </c>
      <c r="J130" s="67">
        <f>SUM(DataTbl[[#This Row],[Likes]:[Shares]])</f>
        <v>13</v>
      </c>
      <c r="K130" s="75">
        <f>DataTbl[[#This Row],[Engagement]]/DataTbl[[#This Row],[Views]]</f>
        <v>7.3863636363636367E-2</v>
      </c>
      <c r="L130" s="67">
        <f>SUM(DataTbl[[#This Row],[Profile Visits]:[New Followers]])</f>
        <v>10</v>
      </c>
    </row>
    <row r="131" spans="1:12" x14ac:dyDescent="0.3">
      <c r="A131" s="74">
        <v>45692</v>
      </c>
      <c r="B131" s="67">
        <v>165</v>
      </c>
      <c r="C131" s="67">
        <v>4620</v>
      </c>
      <c r="D131" s="67">
        <v>6</v>
      </c>
      <c r="E131" s="67">
        <v>3</v>
      </c>
      <c r="F131" s="67">
        <v>1</v>
      </c>
      <c r="G131" s="67">
        <v>1</v>
      </c>
      <c r="H131" s="67">
        <v>10</v>
      </c>
      <c r="I131" s="67">
        <v>2</v>
      </c>
      <c r="J131" s="67">
        <f>SUM(DataTbl[[#This Row],[Likes]:[Shares]])</f>
        <v>11</v>
      </c>
      <c r="K131" s="75">
        <f>DataTbl[[#This Row],[Engagement]]/DataTbl[[#This Row],[Views]]</f>
        <v>6.6666666666666666E-2</v>
      </c>
      <c r="L131" s="67">
        <f>SUM(DataTbl[[#This Row],[Profile Visits]:[New Followers]])</f>
        <v>12</v>
      </c>
    </row>
    <row r="132" spans="1:12" x14ac:dyDescent="0.3">
      <c r="A132" s="74">
        <v>45693</v>
      </c>
      <c r="B132" s="67">
        <v>205</v>
      </c>
      <c r="C132" s="67">
        <v>7175</v>
      </c>
      <c r="D132" s="67">
        <v>6</v>
      </c>
      <c r="E132" s="67">
        <v>3</v>
      </c>
      <c r="F132" s="67">
        <v>1</v>
      </c>
      <c r="G132" s="67">
        <v>1</v>
      </c>
      <c r="H132" s="67">
        <v>16</v>
      </c>
      <c r="I132" s="67">
        <v>2</v>
      </c>
      <c r="J132" s="67">
        <f>SUM(DataTbl[[#This Row],[Likes]:[Shares]])</f>
        <v>11</v>
      </c>
      <c r="K132" s="75">
        <f>DataTbl[[#This Row],[Engagement]]/DataTbl[[#This Row],[Views]]</f>
        <v>5.3658536585365853E-2</v>
      </c>
      <c r="L132" s="67">
        <f>SUM(DataTbl[[#This Row],[Profile Visits]:[New Followers]])</f>
        <v>18</v>
      </c>
    </row>
    <row r="133" spans="1:12" x14ac:dyDescent="0.3">
      <c r="A133" s="74">
        <v>45694</v>
      </c>
      <c r="B133" s="67">
        <v>199</v>
      </c>
      <c r="C133" s="67">
        <v>5970</v>
      </c>
      <c r="D133" s="67">
        <v>9</v>
      </c>
      <c r="E133" s="67">
        <v>3</v>
      </c>
      <c r="F133" s="67">
        <v>1</v>
      </c>
      <c r="G133" s="67">
        <v>1</v>
      </c>
      <c r="H133" s="67">
        <v>11</v>
      </c>
      <c r="I133" s="67">
        <v>2</v>
      </c>
      <c r="J133" s="67">
        <f>SUM(DataTbl[[#This Row],[Likes]:[Shares]])</f>
        <v>14</v>
      </c>
      <c r="K133" s="75">
        <f>DataTbl[[#This Row],[Engagement]]/DataTbl[[#This Row],[Views]]</f>
        <v>7.0351758793969849E-2</v>
      </c>
      <c r="L133" s="67">
        <f>SUM(DataTbl[[#This Row],[Profile Visits]:[New Followers]])</f>
        <v>13</v>
      </c>
    </row>
    <row r="134" spans="1:12" x14ac:dyDescent="0.3">
      <c r="A134" s="74">
        <v>45695</v>
      </c>
      <c r="B134" s="67">
        <v>163</v>
      </c>
      <c r="C134" s="67">
        <v>3097</v>
      </c>
      <c r="D134" s="67">
        <v>4</v>
      </c>
      <c r="E134" s="67">
        <v>2</v>
      </c>
      <c r="F134" s="67">
        <v>1</v>
      </c>
      <c r="G134" s="67">
        <v>0</v>
      </c>
      <c r="H134" s="67">
        <v>11</v>
      </c>
      <c r="I134" s="67">
        <v>2</v>
      </c>
      <c r="J134" s="67">
        <f>SUM(DataTbl[[#This Row],[Likes]:[Shares]])</f>
        <v>7</v>
      </c>
      <c r="K134" s="75">
        <f>DataTbl[[#This Row],[Engagement]]/DataTbl[[#This Row],[Views]]</f>
        <v>4.2944785276073622E-2</v>
      </c>
      <c r="L134" s="67">
        <f>SUM(DataTbl[[#This Row],[Profile Visits]:[New Followers]])</f>
        <v>13</v>
      </c>
    </row>
    <row r="135" spans="1:12" x14ac:dyDescent="0.3">
      <c r="A135" s="74">
        <v>45696</v>
      </c>
      <c r="B135" s="67">
        <v>206</v>
      </c>
      <c r="C135" s="67">
        <v>6386</v>
      </c>
      <c r="D135" s="67">
        <v>7</v>
      </c>
      <c r="E135" s="67">
        <v>2</v>
      </c>
      <c r="F135" s="67">
        <v>1</v>
      </c>
      <c r="G135" s="67">
        <v>1</v>
      </c>
      <c r="H135" s="67">
        <v>9</v>
      </c>
      <c r="I135" s="67">
        <v>2</v>
      </c>
      <c r="J135" s="67">
        <f>SUM(DataTbl[[#This Row],[Likes]:[Shares]])</f>
        <v>11</v>
      </c>
      <c r="K135" s="75">
        <f>DataTbl[[#This Row],[Engagement]]/DataTbl[[#This Row],[Views]]</f>
        <v>5.3398058252427182E-2</v>
      </c>
      <c r="L135" s="67">
        <f>SUM(DataTbl[[#This Row],[Profile Visits]:[New Followers]])</f>
        <v>11</v>
      </c>
    </row>
    <row r="136" spans="1:12" x14ac:dyDescent="0.3">
      <c r="A136" s="74">
        <v>45697</v>
      </c>
      <c r="B136" s="67">
        <v>196</v>
      </c>
      <c r="C136" s="67">
        <v>6664</v>
      </c>
      <c r="D136" s="67">
        <v>8</v>
      </c>
      <c r="E136" s="67">
        <v>3</v>
      </c>
      <c r="F136" s="67">
        <v>1</v>
      </c>
      <c r="G136" s="67">
        <v>1</v>
      </c>
      <c r="H136" s="67">
        <v>10</v>
      </c>
      <c r="I136" s="67">
        <v>2</v>
      </c>
      <c r="J136" s="67">
        <f>SUM(DataTbl[[#This Row],[Likes]:[Shares]])</f>
        <v>13</v>
      </c>
      <c r="K136" s="75">
        <f>DataTbl[[#This Row],[Engagement]]/DataTbl[[#This Row],[Views]]</f>
        <v>6.6326530612244902E-2</v>
      </c>
      <c r="L136" s="67">
        <f>SUM(DataTbl[[#This Row],[Profile Visits]:[New Followers]])</f>
        <v>12</v>
      </c>
    </row>
    <row r="137" spans="1:12" x14ac:dyDescent="0.3">
      <c r="A137" s="74">
        <v>45698</v>
      </c>
      <c r="B137" s="67">
        <v>203</v>
      </c>
      <c r="C137" s="67">
        <v>5684</v>
      </c>
      <c r="D137" s="67">
        <v>6</v>
      </c>
      <c r="E137" s="67">
        <v>2</v>
      </c>
      <c r="F137" s="67">
        <v>1</v>
      </c>
      <c r="G137" s="67">
        <v>1</v>
      </c>
      <c r="H137" s="67">
        <v>14</v>
      </c>
      <c r="I137" s="67">
        <v>3</v>
      </c>
      <c r="J137" s="67">
        <f>SUM(DataTbl[[#This Row],[Likes]:[Shares]])</f>
        <v>10</v>
      </c>
      <c r="K137" s="75">
        <f>DataTbl[[#This Row],[Engagement]]/DataTbl[[#This Row],[Views]]</f>
        <v>4.9261083743842367E-2</v>
      </c>
      <c r="L137" s="67">
        <f>SUM(DataTbl[[#This Row],[Profile Visits]:[New Followers]])</f>
        <v>17</v>
      </c>
    </row>
    <row r="138" spans="1:12" x14ac:dyDescent="0.3">
      <c r="A138" s="74">
        <v>45699</v>
      </c>
      <c r="B138" s="67">
        <v>209</v>
      </c>
      <c r="C138" s="67">
        <v>3971</v>
      </c>
      <c r="D138" s="67">
        <v>9</v>
      </c>
      <c r="E138" s="67">
        <v>3</v>
      </c>
      <c r="F138" s="67">
        <v>1</v>
      </c>
      <c r="G138" s="67">
        <v>1</v>
      </c>
      <c r="H138" s="67">
        <v>13</v>
      </c>
      <c r="I138" s="67">
        <v>2</v>
      </c>
      <c r="J138" s="67">
        <f>SUM(DataTbl[[#This Row],[Likes]:[Shares]])</f>
        <v>14</v>
      </c>
      <c r="K138" s="75">
        <f>DataTbl[[#This Row],[Engagement]]/DataTbl[[#This Row],[Views]]</f>
        <v>6.6985645933014357E-2</v>
      </c>
      <c r="L138" s="67">
        <f>SUM(DataTbl[[#This Row],[Profile Visits]:[New Followers]])</f>
        <v>15</v>
      </c>
    </row>
    <row r="139" spans="1:12" x14ac:dyDescent="0.3">
      <c r="A139" s="74">
        <v>45700</v>
      </c>
      <c r="B139" s="67">
        <v>176</v>
      </c>
      <c r="C139" s="67">
        <v>4224</v>
      </c>
      <c r="D139" s="67">
        <v>7</v>
      </c>
      <c r="E139" s="67">
        <v>3</v>
      </c>
      <c r="F139" s="67">
        <v>1</v>
      </c>
      <c r="G139" s="67">
        <v>1</v>
      </c>
      <c r="H139" s="67">
        <v>8</v>
      </c>
      <c r="I139" s="67">
        <v>1</v>
      </c>
      <c r="J139" s="67">
        <f>SUM(DataTbl[[#This Row],[Likes]:[Shares]])</f>
        <v>12</v>
      </c>
      <c r="K139" s="75">
        <f>DataTbl[[#This Row],[Engagement]]/DataTbl[[#This Row],[Views]]</f>
        <v>6.8181818181818177E-2</v>
      </c>
      <c r="L139" s="67">
        <f>SUM(DataTbl[[#This Row],[Profile Visits]:[New Followers]])</f>
        <v>9</v>
      </c>
    </row>
    <row r="140" spans="1:12" x14ac:dyDescent="0.3">
      <c r="A140" s="74">
        <v>45701</v>
      </c>
      <c r="B140" s="67">
        <v>355</v>
      </c>
      <c r="C140" s="67">
        <v>9585</v>
      </c>
      <c r="D140" s="67">
        <v>12</v>
      </c>
      <c r="E140" s="67">
        <v>5</v>
      </c>
      <c r="F140" s="67">
        <v>2</v>
      </c>
      <c r="G140" s="67">
        <v>2</v>
      </c>
      <c r="H140" s="67">
        <v>25</v>
      </c>
      <c r="I140" s="67">
        <v>3</v>
      </c>
      <c r="J140" s="67">
        <f>SUM(DataTbl[[#This Row],[Likes]:[Shares]])</f>
        <v>21</v>
      </c>
      <c r="K140" s="75">
        <f>DataTbl[[#This Row],[Engagement]]/DataTbl[[#This Row],[Views]]</f>
        <v>5.9154929577464786E-2</v>
      </c>
      <c r="L140" s="67">
        <f>SUM(DataTbl[[#This Row],[Profile Visits]:[New Followers]])</f>
        <v>28</v>
      </c>
    </row>
    <row r="141" spans="1:12" x14ac:dyDescent="0.3">
      <c r="A141" s="74">
        <v>45702</v>
      </c>
      <c r="B141" s="67">
        <v>483</v>
      </c>
      <c r="C141" s="67">
        <v>12075</v>
      </c>
      <c r="D141" s="67">
        <v>11</v>
      </c>
      <c r="E141" s="67">
        <v>5</v>
      </c>
      <c r="F141" s="67">
        <v>1</v>
      </c>
      <c r="G141" s="67">
        <v>1</v>
      </c>
      <c r="H141" s="67">
        <v>34</v>
      </c>
      <c r="I141" s="67">
        <v>11</v>
      </c>
      <c r="J141" s="67">
        <f>SUM(DataTbl[[#This Row],[Likes]:[Shares]])</f>
        <v>18</v>
      </c>
      <c r="K141" s="75">
        <f>DataTbl[[#This Row],[Engagement]]/DataTbl[[#This Row],[Views]]</f>
        <v>3.7267080745341616E-2</v>
      </c>
      <c r="L141" s="67">
        <f>SUM(DataTbl[[#This Row],[Profile Visits]:[New Followers]])</f>
        <v>45</v>
      </c>
    </row>
    <row r="142" spans="1:12" x14ac:dyDescent="0.3">
      <c r="A142" s="74">
        <v>45703</v>
      </c>
      <c r="B142" s="67">
        <v>378</v>
      </c>
      <c r="C142" s="67">
        <v>8316</v>
      </c>
      <c r="D142" s="67">
        <v>9</v>
      </c>
      <c r="E142" s="67">
        <v>3</v>
      </c>
      <c r="F142" s="67">
        <v>1</v>
      </c>
      <c r="G142" s="67">
        <v>1</v>
      </c>
      <c r="H142" s="67">
        <v>17</v>
      </c>
      <c r="I142" s="67">
        <v>5</v>
      </c>
      <c r="J142" s="67">
        <f>SUM(DataTbl[[#This Row],[Likes]:[Shares]])</f>
        <v>14</v>
      </c>
      <c r="K142" s="75">
        <f>DataTbl[[#This Row],[Engagement]]/DataTbl[[#This Row],[Views]]</f>
        <v>3.7037037037037035E-2</v>
      </c>
      <c r="L142" s="67">
        <f>SUM(DataTbl[[#This Row],[Profile Visits]:[New Followers]])</f>
        <v>22</v>
      </c>
    </row>
    <row r="143" spans="1:12" x14ac:dyDescent="0.3">
      <c r="A143" s="74">
        <v>45704</v>
      </c>
      <c r="B143" s="67">
        <v>252</v>
      </c>
      <c r="C143" s="67">
        <v>8820</v>
      </c>
      <c r="D143" s="67">
        <v>6</v>
      </c>
      <c r="E143" s="67">
        <v>3</v>
      </c>
      <c r="F143" s="67">
        <v>1</v>
      </c>
      <c r="G143" s="67">
        <v>1</v>
      </c>
      <c r="H143" s="67">
        <v>16</v>
      </c>
      <c r="I143" s="67">
        <v>2</v>
      </c>
      <c r="J143" s="67">
        <f>SUM(DataTbl[[#This Row],[Likes]:[Shares]])</f>
        <v>11</v>
      </c>
      <c r="K143" s="75">
        <f>DataTbl[[#This Row],[Engagement]]/DataTbl[[#This Row],[Views]]</f>
        <v>4.3650793650793648E-2</v>
      </c>
      <c r="L143" s="67">
        <f>SUM(DataTbl[[#This Row],[Profile Visits]:[New Followers]])</f>
        <v>18</v>
      </c>
    </row>
    <row r="144" spans="1:12" x14ac:dyDescent="0.3">
      <c r="A144" s="74">
        <v>45705</v>
      </c>
      <c r="B144" s="67">
        <v>215</v>
      </c>
      <c r="C144" s="67">
        <v>5590</v>
      </c>
      <c r="D144" s="67">
        <v>9</v>
      </c>
      <c r="E144" s="67">
        <v>4</v>
      </c>
      <c r="F144" s="67">
        <v>2</v>
      </c>
      <c r="G144" s="67">
        <v>1</v>
      </c>
      <c r="H144" s="67">
        <v>15</v>
      </c>
      <c r="I144" s="67">
        <v>2</v>
      </c>
      <c r="J144" s="67">
        <f>SUM(DataTbl[[#This Row],[Likes]:[Shares]])</f>
        <v>16</v>
      </c>
      <c r="K144" s="75">
        <f>DataTbl[[#This Row],[Engagement]]/DataTbl[[#This Row],[Views]]</f>
        <v>7.441860465116279E-2</v>
      </c>
      <c r="L144" s="67">
        <f>SUM(DataTbl[[#This Row],[Profile Visits]:[New Followers]])</f>
        <v>17</v>
      </c>
    </row>
    <row r="145" spans="1:12" x14ac:dyDescent="0.3">
      <c r="A145" s="74">
        <v>45706</v>
      </c>
      <c r="B145" s="67">
        <v>717</v>
      </c>
      <c r="C145" s="67">
        <v>20793</v>
      </c>
      <c r="D145" s="67">
        <v>21</v>
      </c>
      <c r="E145" s="67">
        <v>10</v>
      </c>
      <c r="F145" s="67">
        <v>2</v>
      </c>
      <c r="G145" s="67">
        <v>2</v>
      </c>
      <c r="H145" s="67">
        <v>49</v>
      </c>
      <c r="I145" s="67">
        <v>10</v>
      </c>
      <c r="J145" s="67">
        <f>SUM(DataTbl[[#This Row],[Likes]:[Shares]])</f>
        <v>35</v>
      </c>
      <c r="K145" s="75">
        <f>DataTbl[[#This Row],[Engagement]]/DataTbl[[#This Row],[Views]]</f>
        <v>4.8814504881450491E-2</v>
      </c>
      <c r="L145" s="67">
        <f>SUM(DataTbl[[#This Row],[Profile Visits]:[New Followers]])</f>
        <v>59</v>
      </c>
    </row>
    <row r="146" spans="1:12" x14ac:dyDescent="0.3">
      <c r="A146" s="74">
        <v>45707</v>
      </c>
      <c r="B146" s="67">
        <v>215</v>
      </c>
      <c r="C146" s="67">
        <v>6665</v>
      </c>
      <c r="D146" s="67">
        <v>8</v>
      </c>
      <c r="E146" s="67">
        <v>3</v>
      </c>
      <c r="F146" s="67">
        <v>1</v>
      </c>
      <c r="G146" s="67">
        <v>1</v>
      </c>
      <c r="H146" s="67">
        <v>12</v>
      </c>
      <c r="I146" s="67">
        <v>2</v>
      </c>
      <c r="J146" s="67">
        <f>SUM(DataTbl[[#This Row],[Likes]:[Shares]])</f>
        <v>13</v>
      </c>
      <c r="K146" s="75">
        <f>DataTbl[[#This Row],[Engagement]]/DataTbl[[#This Row],[Views]]</f>
        <v>6.0465116279069767E-2</v>
      </c>
      <c r="L146" s="67">
        <f>SUM(DataTbl[[#This Row],[Profile Visits]:[New Followers]])</f>
        <v>14</v>
      </c>
    </row>
    <row r="147" spans="1:12" x14ac:dyDescent="0.3">
      <c r="A147" s="74">
        <v>45708</v>
      </c>
      <c r="B147" s="67">
        <v>206</v>
      </c>
      <c r="C147" s="67">
        <v>3708</v>
      </c>
      <c r="D147" s="67">
        <v>7</v>
      </c>
      <c r="E147" s="67">
        <v>3</v>
      </c>
      <c r="F147" s="67">
        <v>1</v>
      </c>
      <c r="G147" s="67">
        <v>1</v>
      </c>
      <c r="H147" s="67">
        <v>14</v>
      </c>
      <c r="I147" s="67">
        <v>2</v>
      </c>
      <c r="J147" s="67">
        <f>SUM(DataTbl[[#This Row],[Likes]:[Shares]])</f>
        <v>12</v>
      </c>
      <c r="K147" s="75">
        <f>DataTbl[[#This Row],[Engagement]]/DataTbl[[#This Row],[Views]]</f>
        <v>5.8252427184466021E-2</v>
      </c>
      <c r="L147" s="67">
        <f>SUM(DataTbl[[#This Row],[Profile Visits]:[New Followers]])</f>
        <v>16</v>
      </c>
    </row>
    <row r="148" spans="1:12" x14ac:dyDescent="0.3">
      <c r="A148" s="74">
        <v>45709</v>
      </c>
      <c r="B148" s="67">
        <v>207</v>
      </c>
      <c r="C148" s="67">
        <v>4554</v>
      </c>
      <c r="D148" s="67">
        <v>7</v>
      </c>
      <c r="E148" s="67">
        <v>2</v>
      </c>
      <c r="F148" s="67">
        <v>1</v>
      </c>
      <c r="G148" s="67">
        <v>1</v>
      </c>
      <c r="H148" s="67">
        <v>9</v>
      </c>
      <c r="I148" s="67">
        <v>1</v>
      </c>
      <c r="J148" s="67">
        <f>SUM(DataTbl[[#This Row],[Likes]:[Shares]])</f>
        <v>11</v>
      </c>
      <c r="K148" s="75">
        <f>DataTbl[[#This Row],[Engagement]]/DataTbl[[#This Row],[Views]]</f>
        <v>5.3140096618357488E-2</v>
      </c>
      <c r="L148" s="67">
        <f>SUM(DataTbl[[#This Row],[Profile Visits]:[New Followers]])</f>
        <v>10</v>
      </c>
    </row>
    <row r="149" spans="1:12" x14ac:dyDescent="0.3">
      <c r="A149" s="74">
        <v>45710</v>
      </c>
      <c r="B149" s="67">
        <v>291</v>
      </c>
      <c r="C149" s="67">
        <v>6402</v>
      </c>
      <c r="D149" s="67">
        <v>13</v>
      </c>
      <c r="E149" s="67">
        <v>4</v>
      </c>
      <c r="F149" s="67">
        <v>1</v>
      </c>
      <c r="G149" s="67">
        <v>2</v>
      </c>
      <c r="H149" s="67">
        <v>13</v>
      </c>
      <c r="I149" s="67">
        <v>3</v>
      </c>
      <c r="J149" s="67">
        <f>SUM(DataTbl[[#This Row],[Likes]:[Shares]])</f>
        <v>20</v>
      </c>
      <c r="K149" s="75">
        <f>DataTbl[[#This Row],[Engagement]]/DataTbl[[#This Row],[Views]]</f>
        <v>6.8728522336769765E-2</v>
      </c>
      <c r="L149" s="67">
        <f>SUM(DataTbl[[#This Row],[Profile Visits]:[New Followers]])</f>
        <v>16</v>
      </c>
    </row>
    <row r="150" spans="1:12" x14ac:dyDescent="0.3">
      <c r="A150" s="74">
        <v>45711</v>
      </c>
      <c r="B150" s="67">
        <v>229</v>
      </c>
      <c r="C150" s="67">
        <v>6641</v>
      </c>
      <c r="D150" s="67">
        <v>7</v>
      </c>
      <c r="E150" s="67">
        <v>3</v>
      </c>
      <c r="F150" s="67">
        <v>1</v>
      </c>
      <c r="G150" s="67">
        <v>1</v>
      </c>
      <c r="H150" s="67">
        <v>13</v>
      </c>
      <c r="I150" s="67">
        <v>2</v>
      </c>
      <c r="J150" s="67">
        <f>SUM(DataTbl[[#This Row],[Likes]:[Shares]])</f>
        <v>12</v>
      </c>
      <c r="K150" s="75">
        <f>DataTbl[[#This Row],[Engagement]]/DataTbl[[#This Row],[Views]]</f>
        <v>5.2401746724890827E-2</v>
      </c>
      <c r="L150" s="67">
        <f>SUM(DataTbl[[#This Row],[Profile Visits]:[New Followers]])</f>
        <v>15</v>
      </c>
    </row>
    <row r="151" spans="1:12" x14ac:dyDescent="0.3">
      <c r="A151" s="74">
        <v>45712</v>
      </c>
      <c r="B151" s="67">
        <v>205</v>
      </c>
      <c r="C151" s="67">
        <v>5740</v>
      </c>
      <c r="D151" s="67">
        <v>9</v>
      </c>
      <c r="E151" s="67">
        <v>3</v>
      </c>
      <c r="F151" s="67">
        <v>1</v>
      </c>
      <c r="G151" s="67">
        <v>1</v>
      </c>
      <c r="H151" s="67">
        <v>10</v>
      </c>
      <c r="I151" s="67">
        <v>2</v>
      </c>
      <c r="J151" s="67">
        <f>SUM(DataTbl[[#This Row],[Likes]:[Shares]])</f>
        <v>14</v>
      </c>
      <c r="K151" s="75">
        <f>DataTbl[[#This Row],[Engagement]]/DataTbl[[#This Row],[Views]]</f>
        <v>6.8292682926829273E-2</v>
      </c>
      <c r="L151" s="67">
        <f>SUM(DataTbl[[#This Row],[Profile Visits]:[New Followers]])</f>
        <v>12</v>
      </c>
    </row>
    <row r="152" spans="1:12" x14ac:dyDescent="0.3">
      <c r="A152" s="74">
        <v>45713</v>
      </c>
      <c r="B152" s="67">
        <v>221</v>
      </c>
      <c r="C152" s="67">
        <v>5304</v>
      </c>
      <c r="D152" s="67">
        <v>7</v>
      </c>
      <c r="E152" s="67">
        <v>3</v>
      </c>
      <c r="F152" s="67">
        <v>1</v>
      </c>
      <c r="G152" s="67">
        <v>1</v>
      </c>
      <c r="H152" s="67">
        <v>15</v>
      </c>
      <c r="I152" s="67">
        <v>2</v>
      </c>
      <c r="J152" s="67">
        <f>SUM(DataTbl[[#This Row],[Likes]:[Shares]])</f>
        <v>12</v>
      </c>
      <c r="K152" s="75">
        <f>DataTbl[[#This Row],[Engagement]]/DataTbl[[#This Row],[Views]]</f>
        <v>5.4298642533936653E-2</v>
      </c>
      <c r="L152" s="67">
        <f>SUM(DataTbl[[#This Row],[Profile Visits]:[New Followers]])</f>
        <v>17</v>
      </c>
    </row>
    <row r="153" spans="1:12" x14ac:dyDescent="0.3">
      <c r="A153" s="74">
        <v>45714</v>
      </c>
      <c r="B153" s="67">
        <v>214</v>
      </c>
      <c r="C153" s="67">
        <v>6848</v>
      </c>
      <c r="D153" s="67">
        <v>8</v>
      </c>
      <c r="E153" s="67">
        <v>4</v>
      </c>
      <c r="F153" s="67">
        <v>1</v>
      </c>
      <c r="G153" s="67">
        <v>1</v>
      </c>
      <c r="H153" s="67">
        <v>16</v>
      </c>
      <c r="I153" s="67">
        <v>3</v>
      </c>
      <c r="J153" s="67">
        <f>SUM(DataTbl[[#This Row],[Likes]:[Shares]])</f>
        <v>14</v>
      </c>
      <c r="K153" s="75">
        <f>DataTbl[[#This Row],[Engagement]]/DataTbl[[#This Row],[Views]]</f>
        <v>6.5420560747663545E-2</v>
      </c>
      <c r="L153" s="67">
        <f>SUM(DataTbl[[#This Row],[Profile Visits]:[New Followers]])</f>
        <v>19</v>
      </c>
    </row>
    <row r="154" spans="1:12" x14ac:dyDescent="0.3">
      <c r="A154" s="74">
        <v>45715</v>
      </c>
      <c r="B154" s="67">
        <v>192</v>
      </c>
      <c r="C154" s="67">
        <v>3648</v>
      </c>
      <c r="D154" s="67">
        <v>9</v>
      </c>
      <c r="E154" s="67">
        <v>3</v>
      </c>
      <c r="F154" s="67">
        <v>1</v>
      </c>
      <c r="G154" s="67">
        <v>1</v>
      </c>
      <c r="H154" s="67">
        <v>10</v>
      </c>
      <c r="I154" s="67">
        <v>1</v>
      </c>
      <c r="J154" s="67">
        <f>SUM(DataTbl[[#This Row],[Likes]:[Shares]])</f>
        <v>14</v>
      </c>
      <c r="K154" s="75">
        <f>DataTbl[[#This Row],[Engagement]]/DataTbl[[#This Row],[Views]]</f>
        <v>7.2916666666666671E-2</v>
      </c>
      <c r="L154" s="67">
        <f>SUM(DataTbl[[#This Row],[Profile Visits]:[New Followers]])</f>
        <v>11</v>
      </c>
    </row>
    <row r="155" spans="1:12" x14ac:dyDescent="0.3">
      <c r="A155" s="74">
        <v>45716</v>
      </c>
      <c r="B155" s="67">
        <v>233</v>
      </c>
      <c r="C155" s="67">
        <v>4893</v>
      </c>
      <c r="D155" s="67">
        <v>8</v>
      </c>
      <c r="E155" s="67">
        <v>3</v>
      </c>
      <c r="F155" s="67">
        <v>1</v>
      </c>
      <c r="G155" s="67">
        <v>1</v>
      </c>
      <c r="H155" s="67">
        <v>17</v>
      </c>
      <c r="I155" s="67">
        <v>3</v>
      </c>
      <c r="J155" s="67">
        <f>SUM(DataTbl[[#This Row],[Likes]:[Shares]])</f>
        <v>13</v>
      </c>
      <c r="K155" s="75">
        <f>DataTbl[[#This Row],[Engagement]]/DataTbl[[#This Row],[Views]]</f>
        <v>5.5793991416309016E-2</v>
      </c>
      <c r="L155" s="67">
        <f>SUM(DataTbl[[#This Row],[Profile Visits]:[New Followers]])</f>
        <v>20</v>
      </c>
    </row>
    <row r="156" spans="1:12" x14ac:dyDescent="0.3">
      <c r="A156" s="74">
        <v>45717</v>
      </c>
      <c r="B156" s="67">
        <v>246</v>
      </c>
      <c r="C156" s="67">
        <v>8364</v>
      </c>
      <c r="D156" s="67">
        <v>6</v>
      </c>
      <c r="E156" s="67">
        <v>2</v>
      </c>
      <c r="F156" s="67">
        <v>1</v>
      </c>
      <c r="G156" s="67">
        <v>1</v>
      </c>
      <c r="H156" s="67">
        <v>11</v>
      </c>
      <c r="I156" s="67">
        <v>2</v>
      </c>
      <c r="J156" s="67">
        <f>SUM(DataTbl[[#This Row],[Likes]:[Shares]])</f>
        <v>10</v>
      </c>
      <c r="K156" s="75">
        <f>DataTbl[[#This Row],[Engagement]]/DataTbl[[#This Row],[Views]]</f>
        <v>4.065040650406504E-2</v>
      </c>
      <c r="L156" s="67">
        <f>SUM(DataTbl[[#This Row],[Profile Visits]:[New Followers]])</f>
        <v>13</v>
      </c>
    </row>
    <row r="157" spans="1:12" x14ac:dyDescent="0.3">
      <c r="A157" s="74">
        <v>45718</v>
      </c>
      <c r="B157" s="67">
        <v>265</v>
      </c>
      <c r="C157" s="67">
        <v>8215</v>
      </c>
      <c r="D157" s="67">
        <v>9</v>
      </c>
      <c r="E157" s="67">
        <v>4</v>
      </c>
      <c r="F157" s="67">
        <v>1</v>
      </c>
      <c r="G157" s="67">
        <v>1</v>
      </c>
      <c r="H157" s="67">
        <v>20</v>
      </c>
      <c r="I157" s="67">
        <v>3</v>
      </c>
      <c r="J157" s="67">
        <f>SUM(DataTbl[[#This Row],[Likes]:[Shares]])</f>
        <v>15</v>
      </c>
      <c r="K157" s="75">
        <f>DataTbl[[#This Row],[Engagement]]/DataTbl[[#This Row],[Views]]</f>
        <v>5.6603773584905662E-2</v>
      </c>
      <c r="L157" s="67">
        <f>SUM(DataTbl[[#This Row],[Profile Visits]:[New Followers]])</f>
        <v>23</v>
      </c>
    </row>
    <row r="158" spans="1:12" x14ac:dyDescent="0.3">
      <c r="A158" s="74">
        <v>45719</v>
      </c>
      <c r="B158" s="67">
        <v>268</v>
      </c>
      <c r="C158" s="67">
        <v>8844</v>
      </c>
      <c r="D158" s="67">
        <v>7</v>
      </c>
      <c r="E158" s="67">
        <v>3</v>
      </c>
      <c r="F158" s="67">
        <v>1</v>
      </c>
      <c r="G158" s="67">
        <v>1</v>
      </c>
      <c r="H158" s="67">
        <v>19</v>
      </c>
      <c r="I158" s="67">
        <v>3</v>
      </c>
      <c r="J158" s="67">
        <f>SUM(DataTbl[[#This Row],[Likes]:[Shares]])</f>
        <v>12</v>
      </c>
      <c r="K158" s="75">
        <f>DataTbl[[#This Row],[Engagement]]/DataTbl[[#This Row],[Views]]</f>
        <v>4.4776119402985072E-2</v>
      </c>
      <c r="L158" s="67">
        <f>SUM(DataTbl[[#This Row],[Profile Visits]:[New Followers]])</f>
        <v>22</v>
      </c>
    </row>
    <row r="159" spans="1:12" x14ac:dyDescent="0.3">
      <c r="A159" s="74">
        <v>45720</v>
      </c>
      <c r="B159" s="67">
        <v>218</v>
      </c>
      <c r="C159" s="67">
        <v>6976</v>
      </c>
      <c r="D159" s="67">
        <v>5</v>
      </c>
      <c r="E159" s="67">
        <v>3</v>
      </c>
      <c r="F159" s="67">
        <v>1</v>
      </c>
      <c r="G159" s="67">
        <v>1</v>
      </c>
      <c r="H159" s="67">
        <v>17</v>
      </c>
      <c r="I159" s="67">
        <v>2</v>
      </c>
      <c r="J159" s="67">
        <f>SUM(DataTbl[[#This Row],[Likes]:[Shares]])</f>
        <v>10</v>
      </c>
      <c r="K159" s="75">
        <f>DataTbl[[#This Row],[Engagement]]/DataTbl[[#This Row],[Views]]</f>
        <v>4.5871559633027525E-2</v>
      </c>
      <c r="L159" s="67">
        <f>SUM(DataTbl[[#This Row],[Profile Visits]:[New Followers]])</f>
        <v>19</v>
      </c>
    </row>
    <row r="160" spans="1:12" x14ac:dyDescent="0.3">
      <c r="A160" s="74">
        <v>45721</v>
      </c>
      <c r="B160" s="67">
        <v>273</v>
      </c>
      <c r="C160" s="67">
        <v>7371</v>
      </c>
      <c r="D160" s="67">
        <v>11</v>
      </c>
      <c r="E160" s="67">
        <v>4</v>
      </c>
      <c r="F160" s="67">
        <v>1</v>
      </c>
      <c r="G160" s="67">
        <v>2</v>
      </c>
      <c r="H160" s="67">
        <v>18</v>
      </c>
      <c r="I160" s="67">
        <v>2</v>
      </c>
      <c r="J160" s="67">
        <f>SUM(DataTbl[[#This Row],[Likes]:[Shares]])</f>
        <v>18</v>
      </c>
      <c r="K160" s="75">
        <f>DataTbl[[#This Row],[Engagement]]/DataTbl[[#This Row],[Views]]</f>
        <v>6.5934065934065936E-2</v>
      </c>
      <c r="L160" s="67">
        <f>SUM(DataTbl[[#This Row],[Profile Visits]:[New Followers]])</f>
        <v>20</v>
      </c>
    </row>
    <row r="161" spans="1:12" x14ac:dyDescent="0.3">
      <c r="A161" s="74">
        <v>45722</v>
      </c>
      <c r="B161" s="67">
        <v>247</v>
      </c>
      <c r="C161" s="67">
        <v>6669</v>
      </c>
      <c r="D161" s="67">
        <v>6</v>
      </c>
      <c r="E161" s="67">
        <v>2</v>
      </c>
      <c r="F161" s="67">
        <v>0</v>
      </c>
      <c r="G161" s="67">
        <v>0</v>
      </c>
      <c r="H161" s="67">
        <v>12</v>
      </c>
      <c r="I161" s="67">
        <v>2</v>
      </c>
      <c r="J161" s="67">
        <f>SUM(DataTbl[[#This Row],[Likes]:[Shares]])</f>
        <v>8</v>
      </c>
      <c r="K161" s="75">
        <f>DataTbl[[#This Row],[Engagement]]/DataTbl[[#This Row],[Views]]</f>
        <v>3.2388663967611336E-2</v>
      </c>
      <c r="L161" s="67">
        <f>SUM(DataTbl[[#This Row],[Profile Visits]:[New Followers]])</f>
        <v>14</v>
      </c>
    </row>
    <row r="162" spans="1:12" x14ac:dyDescent="0.3">
      <c r="A162" s="74">
        <v>45723</v>
      </c>
      <c r="B162" s="67">
        <v>414</v>
      </c>
      <c r="C162" s="67">
        <v>7866</v>
      </c>
      <c r="D162" s="67">
        <v>17</v>
      </c>
      <c r="E162" s="67">
        <v>6</v>
      </c>
      <c r="F162" s="67">
        <v>2</v>
      </c>
      <c r="G162" s="67">
        <v>3</v>
      </c>
      <c r="H162" s="67">
        <v>22</v>
      </c>
      <c r="I162" s="67">
        <v>7</v>
      </c>
      <c r="J162" s="67">
        <f>SUM(DataTbl[[#This Row],[Likes]:[Shares]])</f>
        <v>28</v>
      </c>
      <c r="K162" s="75">
        <f>DataTbl[[#This Row],[Engagement]]/DataTbl[[#This Row],[Views]]</f>
        <v>6.7632850241545889E-2</v>
      </c>
      <c r="L162" s="67">
        <f>SUM(DataTbl[[#This Row],[Profile Visits]:[New Followers]])</f>
        <v>29</v>
      </c>
    </row>
    <row r="163" spans="1:12" x14ac:dyDescent="0.3">
      <c r="A163" s="74">
        <v>45724</v>
      </c>
      <c r="B163" s="67">
        <v>590</v>
      </c>
      <c r="C163" s="67">
        <v>16520</v>
      </c>
      <c r="D163" s="67">
        <v>24</v>
      </c>
      <c r="E163" s="67">
        <v>12</v>
      </c>
      <c r="F163" s="67">
        <v>3</v>
      </c>
      <c r="G163" s="67">
        <v>3</v>
      </c>
      <c r="H163" s="67">
        <v>29</v>
      </c>
      <c r="I163" s="67">
        <v>9</v>
      </c>
      <c r="J163" s="67">
        <f>SUM(DataTbl[[#This Row],[Likes]:[Shares]])</f>
        <v>42</v>
      </c>
      <c r="K163" s="75">
        <f>DataTbl[[#This Row],[Engagement]]/DataTbl[[#This Row],[Views]]</f>
        <v>7.1186440677966104E-2</v>
      </c>
      <c r="L163" s="67">
        <f>SUM(DataTbl[[#This Row],[Profile Visits]:[New Followers]])</f>
        <v>38</v>
      </c>
    </row>
    <row r="164" spans="1:12" x14ac:dyDescent="0.3">
      <c r="A164" s="74">
        <v>45725</v>
      </c>
      <c r="B164" s="67">
        <v>335</v>
      </c>
      <c r="C164" s="67">
        <v>9715</v>
      </c>
      <c r="D164" s="67">
        <v>11</v>
      </c>
      <c r="E164" s="67">
        <v>5</v>
      </c>
      <c r="F164" s="67">
        <v>2</v>
      </c>
      <c r="G164" s="67">
        <v>2</v>
      </c>
      <c r="H164" s="67">
        <v>19</v>
      </c>
      <c r="I164" s="67">
        <v>2</v>
      </c>
      <c r="J164" s="67">
        <f>SUM(DataTbl[[#This Row],[Likes]:[Shares]])</f>
        <v>20</v>
      </c>
      <c r="K164" s="75">
        <f>DataTbl[[#This Row],[Engagement]]/DataTbl[[#This Row],[Views]]</f>
        <v>5.9701492537313432E-2</v>
      </c>
      <c r="L164" s="67">
        <f>SUM(DataTbl[[#This Row],[Profile Visits]:[New Followers]])</f>
        <v>21</v>
      </c>
    </row>
    <row r="165" spans="1:12" x14ac:dyDescent="0.3">
      <c r="A165" s="74">
        <v>45726</v>
      </c>
      <c r="B165" s="67">
        <v>219</v>
      </c>
      <c r="C165" s="67">
        <v>5475</v>
      </c>
      <c r="D165" s="67">
        <v>8</v>
      </c>
      <c r="E165" s="67">
        <v>3</v>
      </c>
      <c r="F165" s="67">
        <v>1</v>
      </c>
      <c r="G165" s="67">
        <v>1</v>
      </c>
      <c r="H165" s="67">
        <v>9</v>
      </c>
      <c r="I165" s="67">
        <v>1</v>
      </c>
      <c r="J165" s="67">
        <f>SUM(DataTbl[[#This Row],[Likes]:[Shares]])</f>
        <v>13</v>
      </c>
      <c r="K165" s="75">
        <f>DataTbl[[#This Row],[Engagement]]/DataTbl[[#This Row],[Views]]</f>
        <v>5.9360730593607303E-2</v>
      </c>
      <c r="L165" s="67">
        <f>SUM(DataTbl[[#This Row],[Profile Visits]:[New Followers]])</f>
        <v>10</v>
      </c>
    </row>
    <row r="166" spans="1:12" x14ac:dyDescent="0.3">
      <c r="A166" s="74">
        <v>45727</v>
      </c>
      <c r="B166" s="67">
        <v>258</v>
      </c>
      <c r="C166" s="67">
        <v>5676</v>
      </c>
      <c r="D166" s="67">
        <v>6</v>
      </c>
      <c r="E166" s="67">
        <v>3</v>
      </c>
      <c r="F166" s="67">
        <v>1</v>
      </c>
      <c r="G166" s="67">
        <v>1</v>
      </c>
      <c r="H166" s="67">
        <v>17</v>
      </c>
      <c r="I166" s="67">
        <v>3</v>
      </c>
      <c r="J166" s="67">
        <f>SUM(DataTbl[[#This Row],[Likes]:[Shares]])</f>
        <v>11</v>
      </c>
      <c r="K166" s="75">
        <f>DataTbl[[#This Row],[Engagement]]/DataTbl[[#This Row],[Views]]</f>
        <v>4.2635658914728682E-2</v>
      </c>
      <c r="L166" s="67">
        <f>SUM(DataTbl[[#This Row],[Profile Visits]:[New Followers]])</f>
        <v>20</v>
      </c>
    </row>
    <row r="167" spans="1:12" x14ac:dyDescent="0.3">
      <c r="A167" s="74">
        <v>45728</v>
      </c>
      <c r="B167" s="67">
        <v>208</v>
      </c>
      <c r="C167" s="67">
        <v>3952</v>
      </c>
      <c r="D167" s="67">
        <v>6</v>
      </c>
      <c r="E167" s="67">
        <v>2</v>
      </c>
      <c r="F167" s="67">
        <v>1</v>
      </c>
      <c r="G167" s="67">
        <v>1</v>
      </c>
      <c r="H167" s="67">
        <v>12</v>
      </c>
      <c r="I167" s="67">
        <v>1</v>
      </c>
      <c r="J167" s="67">
        <f>SUM(DataTbl[[#This Row],[Likes]:[Shares]])</f>
        <v>10</v>
      </c>
      <c r="K167" s="75">
        <f>DataTbl[[#This Row],[Engagement]]/DataTbl[[#This Row],[Views]]</f>
        <v>4.807692307692308E-2</v>
      </c>
      <c r="L167" s="67">
        <f>SUM(DataTbl[[#This Row],[Profile Visits]:[New Followers]])</f>
        <v>13</v>
      </c>
    </row>
    <row r="168" spans="1:12" x14ac:dyDescent="0.3">
      <c r="A168" s="74">
        <v>45729</v>
      </c>
      <c r="B168" s="67">
        <v>280</v>
      </c>
      <c r="C168" s="67">
        <v>6440</v>
      </c>
      <c r="D168" s="67">
        <v>10</v>
      </c>
      <c r="E168" s="67">
        <v>4</v>
      </c>
      <c r="F168" s="67">
        <v>1</v>
      </c>
      <c r="G168" s="67">
        <v>1</v>
      </c>
      <c r="H168" s="67">
        <v>13</v>
      </c>
      <c r="I168" s="67">
        <v>2</v>
      </c>
      <c r="J168" s="67">
        <f>SUM(DataTbl[[#This Row],[Likes]:[Shares]])</f>
        <v>16</v>
      </c>
      <c r="K168" s="75">
        <f>DataTbl[[#This Row],[Engagement]]/DataTbl[[#This Row],[Views]]</f>
        <v>5.7142857142857141E-2</v>
      </c>
      <c r="L168" s="67">
        <f>SUM(DataTbl[[#This Row],[Profile Visits]:[New Followers]])</f>
        <v>15</v>
      </c>
    </row>
    <row r="169" spans="1:12" x14ac:dyDescent="0.3">
      <c r="A169" s="74">
        <v>45730</v>
      </c>
      <c r="B169" s="67">
        <v>217</v>
      </c>
      <c r="C169" s="67">
        <v>5425</v>
      </c>
      <c r="D169" s="67">
        <v>5</v>
      </c>
      <c r="E169" s="67">
        <v>2</v>
      </c>
      <c r="F169" s="67">
        <v>1</v>
      </c>
      <c r="G169" s="67">
        <v>0</v>
      </c>
      <c r="H169" s="67">
        <v>9</v>
      </c>
      <c r="I169" s="67">
        <v>1</v>
      </c>
      <c r="J169" s="67">
        <f>SUM(DataTbl[[#This Row],[Likes]:[Shares]])</f>
        <v>8</v>
      </c>
      <c r="K169" s="75">
        <f>DataTbl[[#This Row],[Engagement]]/DataTbl[[#This Row],[Views]]</f>
        <v>3.6866359447004608E-2</v>
      </c>
      <c r="L169" s="67">
        <f>SUM(DataTbl[[#This Row],[Profile Visits]:[New Followers]])</f>
        <v>10</v>
      </c>
    </row>
    <row r="170" spans="1:12" x14ac:dyDescent="0.3">
      <c r="A170" s="74">
        <v>45731</v>
      </c>
      <c r="B170" s="67">
        <v>283</v>
      </c>
      <c r="C170" s="67">
        <v>7924</v>
      </c>
      <c r="D170" s="67">
        <v>11</v>
      </c>
      <c r="E170" s="67">
        <v>5</v>
      </c>
      <c r="F170" s="67">
        <v>1</v>
      </c>
      <c r="G170" s="67">
        <v>1</v>
      </c>
      <c r="H170" s="67">
        <v>16</v>
      </c>
      <c r="I170" s="67">
        <v>2</v>
      </c>
      <c r="J170" s="67">
        <f>SUM(DataTbl[[#This Row],[Likes]:[Shares]])</f>
        <v>18</v>
      </c>
      <c r="K170" s="75">
        <f>DataTbl[[#This Row],[Engagement]]/DataTbl[[#This Row],[Views]]</f>
        <v>6.3604240282685506E-2</v>
      </c>
      <c r="L170" s="67">
        <f>SUM(DataTbl[[#This Row],[Profile Visits]:[New Followers]])</f>
        <v>18</v>
      </c>
    </row>
    <row r="171" spans="1:12" x14ac:dyDescent="0.3">
      <c r="A171" s="74">
        <v>45732</v>
      </c>
      <c r="B171" s="67">
        <v>250</v>
      </c>
      <c r="C171" s="67">
        <v>7750</v>
      </c>
      <c r="D171" s="67">
        <v>8</v>
      </c>
      <c r="E171" s="67">
        <v>4</v>
      </c>
      <c r="F171" s="67">
        <v>1</v>
      </c>
      <c r="G171" s="67">
        <v>1</v>
      </c>
      <c r="H171" s="67">
        <v>20</v>
      </c>
      <c r="I171" s="67">
        <v>3</v>
      </c>
      <c r="J171" s="67">
        <f>SUM(DataTbl[[#This Row],[Likes]:[Shares]])</f>
        <v>14</v>
      </c>
      <c r="K171" s="75">
        <f>DataTbl[[#This Row],[Engagement]]/DataTbl[[#This Row],[Views]]</f>
        <v>5.6000000000000001E-2</v>
      </c>
      <c r="L171" s="67">
        <f>SUM(DataTbl[[#This Row],[Profile Visits]:[New Followers]])</f>
        <v>23</v>
      </c>
    </row>
    <row r="172" spans="1:12" x14ac:dyDescent="0.3">
      <c r="A172" s="74">
        <v>45733</v>
      </c>
      <c r="B172" s="67">
        <v>278</v>
      </c>
      <c r="C172" s="67">
        <v>9452</v>
      </c>
      <c r="D172" s="67">
        <v>11</v>
      </c>
      <c r="E172" s="67">
        <v>6</v>
      </c>
      <c r="F172" s="67">
        <v>1</v>
      </c>
      <c r="G172" s="67">
        <v>2</v>
      </c>
      <c r="H172" s="67">
        <v>21</v>
      </c>
      <c r="I172" s="67">
        <v>4</v>
      </c>
      <c r="J172" s="67">
        <f>SUM(DataTbl[[#This Row],[Likes]:[Shares]])</f>
        <v>20</v>
      </c>
      <c r="K172" s="75">
        <f>DataTbl[[#This Row],[Engagement]]/DataTbl[[#This Row],[Views]]</f>
        <v>7.1942446043165464E-2</v>
      </c>
      <c r="L172" s="67">
        <f>SUM(DataTbl[[#This Row],[Profile Visits]:[New Followers]])</f>
        <v>25</v>
      </c>
    </row>
    <row r="173" spans="1:12" x14ac:dyDescent="0.3">
      <c r="A173" s="74">
        <v>45734</v>
      </c>
      <c r="B173" s="67">
        <v>215</v>
      </c>
      <c r="C173" s="67">
        <v>7525</v>
      </c>
      <c r="D173" s="67">
        <v>7</v>
      </c>
      <c r="E173" s="67">
        <v>3</v>
      </c>
      <c r="F173" s="67">
        <v>1</v>
      </c>
      <c r="G173" s="67">
        <v>1</v>
      </c>
      <c r="H173" s="67">
        <v>9</v>
      </c>
      <c r="I173" s="67">
        <v>2</v>
      </c>
      <c r="J173" s="67">
        <f>SUM(DataTbl[[#This Row],[Likes]:[Shares]])</f>
        <v>12</v>
      </c>
      <c r="K173" s="75">
        <f>DataTbl[[#This Row],[Engagement]]/DataTbl[[#This Row],[Views]]</f>
        <v>5.5813953488372092E-2</v>
      </c>
      <c r="L173" s="67">
        <f>SUM(DataTbl[[#This Row],[Profile Visits]:[New Followers]])</f>
        <v>11</v>
      </c>
    </row>
    <row r="174" spans="1:12" x14ac:dyDescent="0.3">
      <c r="A174" s="74">
        <v>45735</v>
      </c>
      <c r="B174" s="67">
        <v>209</v>
      </c>
      <c r="C174" s="67">
        <v>6479</v>
      </c>
      <c r="D174" s="67">
        <v>7</v>
      </c>
      <c r="E174" s="67">
        <v>3</v>
      </c>
      <c r="F174" s="67">
        <v>1</v>
      </c>
      <c r="G174" s="67">
        <v>1</v>
      </c>
      <c r="H174" s="67">
        <v>12</v>
      </c>
      <c r="I174" s="67">
        <v>2</v>
      </c>
      <c r="J174" s="67">
        <f>SUM(DataTbl[[#This Row],[Likes]:[Shares]])</f>
        <v>12</v>
      </c>
      <c r="K174" s="75">
        <f>DataTbl[[#This Row],[Engagement]]/DataTbl[[#This Row],[Views]]</f>
        <v>5.7416267942583733E-2</v>
      </c>
      <c r="L174" s="67">
        <f>SUM(DataTbl[[#This Row],[Profile Visits]:[New Followers]])</f>
        <v>14</v>
      </c>
    </row>
    <row r="175" spans="1:12" x14ac:dyDescent="0.3">
      <c r="A175" s="74">
        <v>45736</v>
      </c>
      <c r="B175" s="67">
        <v>269</v>
      </c>
      <c r="C175" s="67">
        <v>7263</v>
      </c>
      <c r="D175" s="67">
        <v>10</v>
      </c>
      <c r="E175" s="67">
        <v>4</v>
      </c>
      <c r="F175" s="67">
        <v>1</v>
      </c>
      <c r="G175" s="67">
        <v>1</v>
      </c>
      <c r="H175" s="67">
        <v>15</v>
      </c>
      <c r="I175" s="67">
        <v>2</v>
      </c>
      <c r="J175" s="67">
        <f>SUM(DataTbl[[#This Row],[Likes]:[Shares]])</f>
        <v>16</v>
      </c>
      <c r="K175" s="75">
        <f>DataTbl[[#This Row],[Engagement]]/DataTbl[[#This Row],[Views]]</f>
        <v>5.9479553903345722E-2</v>
      </c>
      <c r="L175" s="67">
        <f>SUM(DataTbl[[#This Row],[Profile Visits]:[New Followers]])</f>
        <v>17</v>
      </c>
    </row>
    <row r="176" spans="1:12" x14ac:dyDescent="0.3">
      <c r="A176" s="74">
        <v>45737</v>
      </c>
      <c r="B176" s="67">
        <v>463</v>
      </c>
      <c r="C176" s="67">
        <v>14353</v>
      </c>
      <c r="D176" s="67">
        <v>14</v>
      </c>
      <c r="E176" s="67">
        <v>5</v>
      </c>
      <c r="F176" s="67">
        <v>1</v>
      </c>
      <c r="G176" s="67">
        <v>2</v>
      </c>
      <c r="H176" s="67">
        <v>20</v>
      </c>
      <c r="I176" s="67">
        <v>4</v>
      </c>
      <c r="J176" s="67">
        <f>SUM(DataTbl[[#This Row],[Likes]:[Shares]])</f>
        <v>22</v>
      </c>
      <c r="K176" s="75">
        <f>DataTbl[[#This Row],[Engagement]]/DataTbl[[#This Row],[Views]]</f>
        <v>4.7516198704103674E-2</v>
      </c>
      <c r="L176" s="67">
        <f>SUM(DataTbl[[#This Row],[Profile Visits]:[New Followers]])</f>
        <v>24</v>
      </c>
    </row>
    <row r="177" spans="1:12" x14ac:dyDescent="0.3">
      <c r="A177" s="74">
        <v>45738</v>
      </c>
      <c r="B177" s="67">
        <v>321</v>
      </c>
      <c r="C177" s="67">
        <v>10914</v>
      </c>
      <c r="D177" s="67">
        <v>9</v>
      </c>
      <c r="E177" s="67">
        <v>5</v>
      </c>
      <c r="F177" s="67">
        <v>1</v>
      </c>
      <c r="G177" s="67">
        <v>1</v>
      </c>
      <c r="H177" s="67">
        <v>22</v>
      </c>
      <c r="I177" s="67">
        <v>4</v>
      </c>
      <c r="J177" s="67">
        <f>SUM(DataTbl[[#This Row],[Likes]:[Shares]])</f>
        <v>16</v>
      </c>
      <c r="K177" s="75">
        <f>DataTbl[[#This Row],[Engagement]]/DataTbl[[#This Row],[Views]]</f>
        <v>4.9844236760124609E-2</v>
      </c>
      <c r="L177" s="67">
        <f>SUM(DataTbl[[#This Row],[Profile Visits]:[New Followers]])</f>
        <v>26</v>
      </c>
    </row>
    <row r="178" spans="1:12" x14ac:dyDescent="0.3">
      <c r="A178" s="74">
        <v>45739</v>
      </c>
      <c r="B178" s="67">
        <v>326</v>
      </c>
      <c r="C178" s="67">
        <v>7172</v>
      </c>
      <c r="D178" s="67">
        <v>14</v>
      </c>
      <c r="E178" s="67">
        <v>5</v>
      </c>
      <c r="F178" s="67">
        <v>2</v>
      </c>
      <c r="G178" s="67">
        <v>2</v>
      </c>
      <c r="H178" s="67">
        <v>17</v>
      </c>
      <c r="I178" s="67">
        <v>3</v>
      </c>
      <c r="J178" s="67">
        <f>SUM(DataTbl[[#This Row],[Likes]:[Shares]])</f>
        <v>23</v>
      </c>
      <c r="K178" s="75">
        <f>DataTbl[[#This Row],[Engagement]]/DataTbl[[#This Row],[Views]]</f>
        <v>7.0552147239263799E-2</v>
      </c>
      <c r="L178" s="67">
        <f>SUM(DataTbl[[#This Row],[Profile Visits]:[New Followers]])</f>
        <v>20</v>
      </c>
    </row>
    <row r="179" spans="1:12" x14ac:dyDescent="0.3">
      <c r="A179" s="74">
        <v>45740</v>
      </c>
      <c r="B179" s="67">
        <v>270</v>
      </c>
      <c r="C179" s="67">
        <v>5400</v>
      </c>
      <c r="D179" s="67">
        <v>9</v>
      </c>
      <c r="E179" s="67">
        <v>3</v>
      </c>
      <c r="F179" s="67">
        <v>1</v>
      </c>
      <c r="G179" s="67">
        <v>1</v>
      </c>
      <c r="H179" s="67">
        <v>16</v>
      </c>
      <c r="I179" s="67">
        <v>2</v>
      </c>
      <c r="J179" s="67">
        <f>SUM(DataTbl[[#This Row],[Likes]:[Shares]])</f>
        <v>14</v>
      </c>
      <c r="K179" s="75">
        <f>DataTbl[[#This Row],[Engagement]]/DataTbl[[#This Row],[Views]]</f>
        <v>5.185185185185185E-2</v>
      </c>
      <c r="L179" s="67">
        <f>SUM(DataTbl[[#This Row],[Profile Visits]:[New Followers]])</f>
        <v>18</v>
      </c>
    </row>
    <row r="180" spans="1:12" x14ac:dyDescent="0.3">
      <c r="A180" s="74">
        <v>45741</v>
      </c>
      <c r="B180" s="67">
        <v>271</v>
      </c>
      <c r="C180" s="67">
        <v>4878</v>
      </c>
      <c r="D180" s="67">
        <v>5</v>
      </c>
      <c r="E180" s="67">
        <v>2</v>
      </c>
      <c r="F180" s="67">
        <v>1</v>
      </c>
      <c r="G180" s="67">
        <v>1</v>
      </c>
      <c r="H180" s="67">
        <v>13</v>
      </c>
      <c r="I180" s="67">
        <v>2</v>
      </c>
      <c r="J180" s="67">
        <f>SUM(DataTbl[[#This Row],[Likes]:[Shares]])</f>
        <v>9</v>
      </c>
      <c r="K180" s="75">
        <f>DataTbl[[#This Row],[Engagement]]/DataTbl[[#This Row],[Views]]</f>
        <v>3.3210332103321034E-2</v>
      </c>
      <c r="L180" s="67">
        <f>SUM(DataTbl[[#This Row],[Profile Visits]:[New Followers]])</f>
        <v>15</v>
      </c>
    </row>
    <row r="181" spans="1:12" x14ac:dyDescent="0.3">
      <c r="A181" s="74">
        <v>45742</v>
      </c>
      <c r="B181" s="67">
        <v>250</v>
      </c>
      <c r="C181" s="67">
        <v>6250</v>
      </c>
      <c r="D181" s="67">
        <v>7</v>
      </c>
      <c r="E181" s="67">
        <v>3</v>
      </c>
      <c r="F181" s="67">
        <v>1</v>
      </c>
      <c r="G181" s="67">
        <v>1</v>
      </c>
      <c r="H181" s="67">
        <v>18</v>
      </c>
      <c r="I181" s="67">
        <v>4</v>
      </c>
      <c r="J181" s="67">
        <f>SUM(DataTbl[[#This Row],[Likes]:[Shares]])</f>
        <v>12</v>
      </c>
      <c r="K181" s="75">
        <f>DataTbl[[#This Row],[Engagement]]/DataTbl[[#This Row],[Views]]</f>
        <v>4.8000000000000001E-2</v>
      </c>
      <c r="L181" s="67">
        <f>SUM(DataTbl[[#This Row],[Profile Visits]:[New Followers]])</f>
        <v>22</v>
      </c>
    </row>
    <row r="182" spans="1:12" x14ac:dyDescent="0.3">
      <c r="A182" s="74">
        <v>45743</v>
      </c>
      <c r="B182" s="67">
        <v>300</v>
      </c>
      <c r="C182" s="67">
        <v>5700</v>
      </c>
      <c r="D182" s="67">
        <v>8</v>
      </c>
      <c r="E182" s="67">
        <v>3</v>
      </c>
      <c r="F182" s="67">
        <v>1</v>
      </c>
      <c r="G182" s="67">
        <v>1</v>
      </c>
      <c r="H182" s="67">
        <v>13</v>
      </c>
      <c r="I182" s="67">
        <v>2</v>
      </c>
      <c r="J182" s="67">
        <f>SUM(DataTbl[[#This Row],[Likes]:[Shares]])</f>
        <v>13</v>
      </c>
      <c r="K182" s="75">
        <f>DataTbl[[#This Row],[Engagement]]/DataTbl[[#This Row],[Views]]</f>
        <v>4.3333333333333335E-2</v>
      </c>
      <c r="L182" s="67">
        <f>SUM(DataTbl[[#This Row],[Profile Visits]:[New Followers]])</f>
        <v>15</v>
      </c>
    </row>
    <row r="183" spans="1:12" x14ac:dyDescent="0.3">
      <c r="A183" s="74">
        <v>45744</v>
      </c>
      <c r="B183" s="67">
        <v>284</v>
      </c>
      <c r="C183" s="67">
        <v>5112</v>
      </c>
      <c r="D183" s="67">
        <v>8</v>
      </c>
      <c r="E183" s="67">
        <v>3</v>
      </c>
      <c r="F183" s="67">
        <v>1</v>
      </c>
      <c r="G183" s="67">
        <v>1</v>
      </c>
      <c r="H183" s="67">
        <v>20</v>
      </c>
      <c r="I183" s="67">
        <v>3</v>
      </c>
      <c r="J183" s="67">
        <f>SUM(DataTbl[[#This Row],[Likes]:[Shares]])</f>
        <v>13</v>
      </c>
      <c r="K183" s="75">
        <f>DataTbl[[#This Row],[Engagement]]/DataTbl[[#This Row],[Views]]</f>
        <v>4.5774647887323945E-2</v>
      </c>
      <c r="L183" s="67">
        <f>SUM(DataTbl[[#This Row],[Profile Visits]:[New Followers]])</f>
        <v>23</v>
      </c>
    </row>
    <row r="184" spans="1:12" x14ac:dyDescent="0.3">
      <c r="A184" s="74">
        <v>45745</v>
      </c>
      <c r="B184" s="67">
        <v>304</v>
      </c>
      <c r="C184" s="67">
        <v>8816</v>
      </c>
      <c r="D184" s="67">
        <v>9</v>
      </c>
      <c r="E184" s="67">
        <v>4</v>
      </c>
      <c r="F184" s="67">
        <v>1</v>
      </c>
      <c r="G184" s="67">
        <v>1</v>
      </c>
      <c r="H184" s="67">
        <v>22</v>
      </c>
      <c r="I184" s="67">
        <v>2</v>
      </c>
      <c r="J184" s="67">
        <f>SUM(DataTbl[[#This Row],[Likes]:[Shares]])</f>
        <v>15</v>
      </c>
      <c r="K184" s="75">
        <f>DataTbl[[#This Row],[Engagement]]/DataTbl[[#This Row],[Views]]</f>
        <v>4.9342105263157895E-2</v>
      </c>
      <c r="L184" s="67">
        <f>SUM(DataTbl[[#This Row],[Profile Visits]:[New Followers]])</f>
        <v>24</v>
      </c>
    </row>
    <row r="185" spans="1:12" x14ac:dyDescent="0.3">
      <c r="A185" s="74">
        <v>45746</v>
      </c>
      <c r="B185" s="67">
        <v>355</v>
      </c>
      <c r="C185" s="67">
        <v>7100</v>
      </c>
      <c r="D185" s="67">
        <v>15</v>
      </c>
      <c r="E185" s="67">
        <v>5</v>
      </c>
      <c r="F185" s="67">
        <v>2</v>
      </c>
      <c r="G185" s="67">
        <v>2</v>
      </c>
      <c r="H185" s="67">
        <v>26</v>
      </c>
      <c r="I185" s="67">
        <v>3</v>
      </c>
      <c r="J185" s="67">
        <f>SUM(DataTbl[[#This Row],[Likes]:[Shares]])</f>
        <v>24</v>
      </c>
      <c r="K185" s="75">
        <f>DataTbl[[#This Row],[Engagement]]/DataTbl[[#This Row],[Views]]</f>
        <v>6.7605633802816895E-2</v>
      </c>
      <c r="L185" s="67">
        <f>SUM(DataTbl[[#This Row],[Profile Visits]:[New Followers]])</f>
        <v>29</v>
      </c>
    </row>
    <row r="186" spans="1:12" x14ac:dyDescent="0.3">
      <c r="A186" s="74">
        <v>45747</v>
      </c>
      <c r="B186" s="67">
        <v>308</v>
      </c>
      <c r="C186" s="67">
        <v>6160</v>
      </c>
      <c r="D186" s="67">
        <v>13</v>
      </c>
      <c r="E186" s="67">
        <v>5</v>
      </c>
      <c r="F186" s="67">
        <v>1</v>
      </c>
      <c r="G186" s="67">
        <v>2</v>
      </c>
      <c r="H186" s="67">
        <v>14</v>
      </c>
      <c r="I186" s="67">
        <v>2</v>
      </c>
      <c r="J186" s="67">
        <f>SUM(DataTbl[[#This Row],[Likes]:[Shares]])</f>
        <v>21</v>
      </c>
      <c r="K186" s="75">
        <f>DataTbl[[#This Row],[Engagement]]/DataTbl[[#This Row],[Views]]</f>
        <v>6.8181818181818177E-2</v>
      </c>
      <c r="L186" s="67">
        <f>SUM(DataTbl[[#This Row],[Profile Visits]:[New Followers]])</f>
        <v>16</v>
      </c>
    </row>
    <row r="187" spans="1:12" x14ac:dyDescent="0.3">
      <c r="A187" s="74">
        <v>45748</v>
      </c>
      <c r="B187" s="67">
        <v>231</v>
      </c>
      <c r="C187" s="67">
        <v>8085</v>
      </c>
      <c r="D187" s="67">
        <v>7</v>
      </c>
      <c r="E187" s="67">
        <v>2</v>
      </c>
      <c r="F187" s="67">
        <v>1</v>
      </c>
      <c r="G187" s="67">
        <v>1</v>
      </c>
      <c r="H187" s="67">
        <v>18</v>
      </c>
      <c r="I187" s="67">
        <v>3</v>
      </c>
      <c r="J187" s="67">
        <f>SUM(DataTbl[[#This Row],[Likes]:[Shares]])</f>
        <v>11</v>
      </c>
      <c r="K187" s="75">
        <f>DataTbl[[#This Row],[Engagement]]/DataTbl[[#This Row],[Views]]</f>
        <v>4.7619047619047616E-2</v>
      </c>
      <c r="L187" s="67">
        <f>SUM(DataTbl[[#This Row],[Profile Visits]:[New Followers]])</f>
        <v>21</v>
      </c>
    </row>
    <row r="188" spans="1:12" x14ac:dyDescent="0.3">
      <c r="A188" s="74">
        <v>45749</v>
      </c>
      <c r="B188" s="67">
        <v>269</v>
      </c>
      <c r="C188" s="67">
        <v>7801</v>
      </c>
      <c r="D188" s="67">
        <v>6</v>
      </c>
      <c r="E188" s="67">
        <v>2</v>
      </c>
      <c r="F188" s="67">
        <v>1</v>
      </c>
      <c r="G188" s="67">
        <v>1</v>
      </c>
      <c r="H188" s="67">
        <v>13</v>
      </c>
      <c r="I188" s="67">
        <v>2</v>
      </c>
      <c r="J188" s="67">
        <f>SUM(DataTbl[[#This Row],[Likes]:[Shares]])</f>
        <v>10</v>
      </c>
      <c r="K188" s="75">
        <f>DataTbl[[#This Row],[Engagement]]/DataTbl[[#This Row],[Views]]</f>
        <v>3.717472118959108E-2</v>
      </c>
      <c r="L188" s="67">
        <f>SUM(DataTbl[[#This Row],[Profile Visits]:[New Followers]])</f>
        <v>15</v>
      </c>
    </row>
    <row r="189" spans="1:12" x14ac:dyDescent="0.3">
      <c r="A189" s="74">
        <v>45750</v>
      </c>
      <c r="B189" s="67">
        <v>393</v>
      </c>
      <c r="C189" s="67">
        <v>11004</v>
      </c>
      <c r="D189" s="67">
        <v>16</v>
      </c>
      <c r="E189" s="67">
        <v>8</v>
      </c>
      <c r="F189" s="67">
        <v>2</v>
      </c>
      <c r="G189" s="67">
        <v>2</v>
      </c>
      <c r="H189" s="67">
        <v>23</v>
      </c>
      <c r="I189" s="67">
        <v>3</v>
      </c>
      <c r="J189" s="67">
        <f>SUM(DataTbl[[#This Row],[Likes]:[Shares]])</f>
        <v>28</v>
      </c>
      <c r="K189" s="75">
        <f>DataTbl[[#This Row],[Engagement]]/DataTbl[[#This Row],[Views]]</f>
        <v>7.124681933842239E-2</v>
      </c>
      <c r="L189" s="67">
        <f>SUM(DataTbl[[#This Row],[Profile Visits]:[New Followers]])</f>
        <v>26</v>
      </c>
    </row>
    <row r="190" spans="1:12" x14ac:dyDescent="0.3">
      <c r="A190" s="74">
        <v>45751</v>
      </c>
      <c r="B190" s="67">
        <v>330</v>
      </c>
      <c r="C190" s="67">
        <v>6930</v>
      </c>
      <c r="D190" s="67">
        <v>7</v>
      </c>
      <c r="E190" s="67">
        <v>3</v>
      </c>
      <c r="F190" s="67">
        <v>1</v>
      </c>
      <c r="G190" s="67">
        <v>1</v>
      </c>
      <c r="H190" s="67">
        <v>15</v>
      </c>
      <c r="I190" s="67">
        <v>3</v>
      </c>
      <c r="J190" s="67">
        <f>SUM(DataTbl[[#This Row],[Likes]:[Shares]])</f>
        <v>12</v>
      </c>
      <c r="K190" s="75">
        <f>DataTbl[[#This Row],[Engagement]]/DataTbl[[#This Row],[Views]]</f>
        <v>3.6363636363636362E-2</v>
      </c>
      <c r="L190" s="67">
        <f>SUM(DataTbl[[#This Row],[Profile Visits]:[New Followers]])</f>
        <v>18</v>
      </c>
    </row>
    <row r="191" spans="1:12" x14ac:dyDescent="0.3">
      <c r="A191" s="74">
        <v>45752</v>
      </c>
      <c r="B191" s="67">
        <v>402</v>
      </c>
      <c r="C191" s="67">
        <v>7236</v>
      </c>
      <c r="D191" s="67">
        <v>12</v>
      </c>
      <c r="E191" s="67">
        <v>5</v>
      </c>
      <c r="F191" s="67">
        <v>2</v>
      </c>
      <c r="G191" s="67">
        <v>1</v>
      </c>
      <c r="H191" s="67">
        <v>17</v>
      </c>
      <c r="I191" s="67">
        <v>2</v>
      </c>
      <c r="J191" s="67">
        <f>SUM(DataTbl[[#This Row],[Likes]:[Shares]])</f>
        <v>20</v>
      </c>
      <c r="K191" s="75">
        <f>DataTbl[[#This Row],[Engagement]]/DataTbl[[#This Row],[Views]]</f>
        <v>4.975124378109453E-2</v>
      </c>
      <c r="L191" s="67">
        <f>SUM(DataTbl[[#This Row],[Profile Visits]:[New Followers]])</f>
        <v>19</v>
      </c>
    </row>
    <row r="192" spans="1:12" x14ac:dyDescent="0.3">
      <c r="A192" s="74">
        <v>45753</v>
      </c>
      <c r="B192" s="67">
        <v>356</v>
      </c>
      <c r="C192" s="67">
        <v>8544</v>
      </c>
      <c r="D192" s="67">
        <v>15</v>
      </c>
      <c r="E192" s="67">
        <v>6</v>
      </c>
      <c r="F192" s="67">
        <v>1</v>
      </c>
      <c r="G192" s="67">
        <v>2</v>
      </c>
      <c r="H192" s="67">
        <v>17</v>
      </c>
      <c r="I192" s="67">
        <v>2</v>
      </c>
      <c r="J192" s="67">
        <f>SUM(DataTbl[[#This Row],[Likes]:[Shares]])</f>
        <v>24</v>
      </c>
      <c r="K192" s="75">
        <f>DataTbl[[#This Row],[Engagement]]/DataTbl[[#This Row],[Views]]</f>
        <v>6.741573033707865E-2</v>
      </c>
      <c r="L192" s="67">
        <f>SUM(DataTbl[[#This Row],[Profile Visits]:[New Followers]])</f>
        <v>19</v>
      </c>
    </row>
    <row r="193" spans="1:12" x14ac:dyDescent="0.3">
      <c r="A193" s="74">
        <v>45754</v>
      </c>
      <c r="B193" s="67">
        <v>308</v>
      </c>
      <c r="C193" s="67">
        <v>7700</v>
      </c>
      <c r="D193" s="67">
        <v>10</v>
      </c>
      <c r="E193" s="67">
        <v>4</v>
      </c>
      <c r="F193" s="67">
        <v>1</v>
      </c>
      <c r="G193" s="67">
        <v>1</v>
      </c>
      <c r="H193" s="67">
        <v>23</v>
      </c>
      <c r="I193" s="67">
        <v>3</v>
      </c>
      <c r="J193" s="67">
        <f>SUM(DataTbl[[#This Row],[Likes]:[Shares]])</f>
        <v>16</v>
      </c>
      <c r="K193" s="75">
        <f>DataTbl[[#This Row],[Engagement]]/DataTbl[[#This Row],[Views]]</f>
        <v>5.1948051948051951E-2</v>
      </c>
      <c r="L193" s="67">
        <f>SUM(DataTbl[[#This Row],[Profile Visits]:[New Followers]])</f>
        <v>26</v>
      </c>
    </row>
    <row r="194" spans="1:12" x14ac:dyDescent="0.3">
      <c r="A194" s="74">
        <v>45755</v>
      </c>
      <c r="B194" s="67">
        <v>287</v>
      </c>
      <c r="C194" s="67">
        <v>8897</v>
      </c>
      <c r="D194" s="67">
        <v>13</v>
      </c>
      <c r="E194" s="67">
        <v>5</v>
      </c>
      <c r="F194" s="67">
        <v>1</v>
      </c>
      <c r="G194" s="67">
        <v>2</v>
      </c>
      <c r="H194" s="67">
        <v>13</v>
      </c>
      <c r="I194" s="67">
        <v>2</v>
      </c>
      <c r="J194" s="67">
        <f>SUM(DataTbl[[#This Row],[Likes]:[Shares]])</f>
        <v>21</v>
      </c>
      <c r="K194" s="75">
        <f>DataTbl[[#This Row],[Engagement]]/DataTbl[[#This Row],[Views]]</f>
        <v>7.3170731707317069E-2</v>
      </c>
      <c r="L194" s="67">
        <f>SUM(DataTbl[[#This Row],[Profile Visits]:[New Followers]])</f>
        <v>15</v>
      </c>
    </row>
    <row r="195" spans="1:12" x14ac:dyDescent="0.3">
      <c r="A195" s="74">
        <v>45756</v>
      </c>
      <c r="B195" s="67">
        <v>300</v>
      </c>
      <c r="C195" s="67">
        <v>9300</v>
      </c>
      <c r="D195" s="67">
        <v>8</v>
      </c>
      <c r="E195" s="67">
        <v>4</v>
      </c>
      <c r="F195" s="67">
        <v>1</v>
      </c>
      <c r="G195" s="67">
        <v>1</v>
      </c>
      <c r="H195" s="67">
        <v>19</v>
      </c>
      <c r="I195" s="67">
        <v>2</v>
      </c>
      <c r="J195" s="67">
        <f>SUM(DataTbl[[#This Row],[Likes]:[Shares]])</f>
        <v>14</v>
      </c>
      <c r="K195" s="75">
        <f>DataTbl[[#This Row],[Engagement]]/DataTbl[[#This Row],[Views]]</f>
        <v>4.6666666666666669E-2</v>
      </c>
      <c r="L195" s="67">
        <f>SUM(DataTbl[[#This Row],[Profile Visits]:[New Followers]])</f>
        <v>21</v>
      </c>
    </row>
    <row r="196" spans="1:12" x14ac:dyDescent="0.3">
      <c r="A196" s="74">
        <v>45757</v>
      </c>
      <c r="B196" s="67">
        <v>341</v>
      </c>
      <c r="C196" s="67">
        <v>9548</v>
      </c>
      <c r="D196" s="67">
        <v>9</v>
      </c>
      <c r="E196" s="67">
        <v>4</v>
      </c>
      <c r="F196" s="67">
        <v>1</v>
      </c>
      <c r="G196" s="67">
        <v>1</v>
      </c>
      <c r="H196" s="67">
        <v>18</v>
      </c>
      <c r="I196" s="67">
        <v>2</v>
      </c>
      <c r="J196" s="67">
        <f>SUM(DataTbl[[#This Row],[Likes]:[Shares]])</f>
        <v>15</v>
      </c>
      <c r="K196" s="75">
        <f>DataTbl[[#This Row],[Engagement]]/DataTbl[[#This Row],[Views]]</f>
        <v>4.398826979472141E-2</v>
      </c>
      <c r="L196" s="67">
        <f>SUM(DataTbl[[#This Row],[Profile Visits]:[New Followers]])</f>
        <v>20</v>
      </c>
    </row>
    <row r="197" spans="1:12" x14ac:dyDescent="0.3">
      <c r="A197" s="74">
        <v>45758</v>
      </c>
      <c r="B197" s="67">
        <v>305</v>
      </c>
      <c r="C197" s="67">
        <v>6710</v>
      </c>
      <c r="D197" s="67">
        <v>13</v>
      </c>
      <c r="E197" s="67">
        <v>5</v>
      </c>
      <c r="F197" s="67">
        <v>2</v>
      </c>
      <c r="G197" s="67">
        <v>2</v>
      </c>
      <c r="H197" s="67">
        <v>14</v>
      </c>
      <c r="I197" s="67">
        <v>3</v>
      </c>
      <c r="J197" s="67">
        <f>SUM(DataTbl[[#This Row],[Likes]:[Shares]])</f>
        <v>22</v>
      </c>
      <c r="K197" s="75">
        <f>DataTbl[[#This Row],[Engagement]]/DataTbl[[#This Row],[Views]]</f>
        <v>7.2131147540983612E-2</v>
      </c>
      <c r="L197" s="67">
        <f>SUM(DataTbl[[#This Row],[Profile Visits]:[New Followers]])</f>
        <v>17</v>
      </c>
    </row>
    <row r="198" spans="1:12" x14ac:dyDescent="0.3">
      <c r="A198" s="74">
        <v>45759</v>
      </c>
      <c r="B198" s="67">
        <v>341</v>
      </c>
      <c r="C198" s="67">
        <v>7843</v>
      </c>
      <c r="D198" s="67">
        <v>9</v>
      </c>
      <c r="E198" s="67">
        <v>3</v>
      </c>
      <c r="F198" s="67">
        <v>1</v>
      </c>
      <c r="G198" s="67">
        <v>1</v>
      </c>
      <c r="H198" s="67">
        <v>22</v>
      </c>
      <c r="I198" s="67">
        <v>4</v>
      </c>
      <c r="J198" s="67">
        <f>SUM(DataTbl[[#This Row],[Likes]:[Shares]])</f>
        <v>14</v>
      </c>
      <c r="K198" s="75">
        <f>DataTbl[[#This Row],[Engagement]]/DataTbl[[#This Row],[Views]]</f>
        <v>4.1055718475073312E-2</v>
      </c>
      <c r="L198" s="67">
        <f>SUM(DataTbl[[#This Row],[Profile Visits]:[New Followers]])</f>
        <v>26</v>
      </c>
    </row>
    <row r="199" spans="1:12" x14ac:dyDescent="0.3">
      <c r="A199" s="74">
        <v>45760</v>
      </c>
      <c r="B199" s="67">
        <v>355</v>
      </c>
      <c r="C199" s="67">
        <v>9940</v>
      </c>
      <c r="D199" s="67">
        <v>14</v>
      </c>
      <c r="E199" s="67">
        <v>5</v>
      </c>
      <c r="F199" s="67">
        <v>2</v>
      </c>
      <c r="G199" s="67">
        <v>1</v>
      </c>
      <c r="H199" s="67">
        <v>20</v>
      </c>
      <c r="I199" s="67">
        <v>3</v>
      </c>
      <c r="J199" s="67">
        <f>SUM(DataTbl[[#This Row],[Likes]:[Shares]])</f>
        <v>22</v>
      </c>
      <c r="K199" s="75">
        <f>DataTbl[[#This Row],[Engagement]]/DataTbl[[#This Row],[Views]]</f>
        <v>6.1971830985915494E-2</v>
      </c>
      <c r="L199" s="67">
        <f>SUM(DataTbl[[#This Row],[Profile Visits]:[New Followers]])</f>
        <v>23</v>
      </c>
    </row>
    <row r="200" spans="1:12" x14ac:dyDescent="0.3">
      <c r="A200" s="74">
        <v>45761</v>
      </c>
      <c r="B200" s="67">
        <v>320</v>
      </c>
      <c r="C200" s="67">
        <v>8000</v>
      </c>
      <c r="D200" s="67">
        <v>15</v>
      </c>
      <c r="E200" s="67">
        <v>7</v>
      </c>
      <c r="F200" s="67">
        <v>1</v>
      </c>
      <c r="G200" s="67">
        <v>2</v>
      </c>
      <c r="H200" s="67">
        <v>16</v>
      </c>
      <c r="I200" s="67">
        <v>2</v>
      </c>
      <c r="J200" s="67">
        <f>SUM(DataTbl[[#This Row],[Likes]:[Shares]])</f>
        <v>25</v>
      </c>
      <c r="K200" s="75">
        <f>DataTbl[[#This Row],[Engagement]]/DataTbl[[#This Row],[Views]]</f>
        <v>7.8125E-2</v>
      </c>
      <c r="L200" s="67">
        <f>SUM(DataTbl[[#This Row],[Profile Visits]:[New Followers]])</f>
        <v>18</v>
      </c>
    </row>
    <row r="201" spans="1:12" x14ac:dyDescent="0.3">
      <c r="A201" s="74">
        <v>45762</v>
      </c>
      <c r="B201" s="67">
        <v>334</v>
      </c>
      <c r="C201" s="67">
        <v>7682</v>
      </c>
      <c r="D201" s="67">
        <v>11</v>
      </c>
      <c r="E201" s="67">
        <v>5</v>
      </c>
      <c r="F201" s="67">
        <v>2</v>
      </c>
      <c r="G201" s="67">
        <v>1</v>
      </c>
      <c r="H201" s="67">
        <v>16</v>
      </c>
      <c r="I201" s="67">
        <v>3</v>
      </c>
      <c r="J201" s="67">
        <f>SUM(DataTbl[[#This Row],[Likes]:[Shares]])</f>
        <v>19</v>
      </c>
      <c r="K201" s="75">
        <f>DataTbl[[#This Row],[Engagement]]/DataTbl[[#This Row],[Views]]</f>
        <v>5.6886227544910177E-2</v>
      </c>
      <c r="L201" s="67">
        <f>SUM(DataTbl[[#This Row],[Profile Visits]:[New Followers]])</f>
        <v>19</v>
      </c>
    </row>
    <row r="202" spans="1:12" x14ac:dyDescent="0.3">
      <c r="A202" s="74">
        <v>45763</v>
      </c>
      <c r="B202" s="67">
        <v>255</v>
      </c>
      <c r="C202" s="67">
        <v>7140</v>
      </c>
      <c r="D202" s="67">
        <v>5</v>
      </c>
      <c r="E202" s="67">
        <v>2</v>
      </c>
      <c r="F202" s="67">
        <v>1</v>
      </c>
      <c r="G202" s="67">
        <v>1</v>
      </c>
      <c r="H202" s="67">
        <v>19</v>
      </c>
      <c r="I202" s="67">
        <v>2</v>
      </c>
      <c r="J202" s="67">
        <f>SUM(DataTbl[[#This Row],[Likes]:[Shares]])</f>
        <v>9</v>
      </c>
      <c r="K202" s="75">
        <f>DataTbl[[#This Row],[Engagement]]/DataTbl[[#This Row],[Views]]</f>
        <v>3.5294117647058823E-2</v>
      </c>
      <c r="L202" s="67">
        <f>SUM(DataTbl[[#This Row],[Profile Visits]:[New Followers]])</f>
        <v>21</v>
      </c>
    </row>
    <row r="203" spans="1:12" x14ac:dyDescent="0.3">
      <c r="A203" s="74">
        <v>45764</v>
      </c>
      <c r="B203" s="67">
        <v>326</v>
      </c>
      <c r="C203" s="67">
        <v>7824</v>
      </c>
      <c r="D203" s="67">
        <v>9</v>
      </c>
      <c r="E203" s="67">
        <v>4</v>
      </c>
      <c r="F203" s="67">
        <v>1</v>
      </c>
      <c r="G203" s="67">
        <v>1</v>
      </c>
      <c r="H203" s="67">
        <v>18</v>
      </c>
      <c r="I203" s="67">
        <v>3</v>
      </c>
      <c r="J203" s="67">
        <f>SUM(DataTbl[[#This Row],[Likes]:[Shares]])</f>
        <v>15</v>
      </c>
      <c r="K203" s="75">
        <f>DataTbl[[#This Row],[Engagement]]/DataTbl[[#This Row],[Views]]</f>
        <v>4.6012269938650305E-2</v>
      </c>
      <c r="L203" s="67">
        <f>SUM(DataTbl[[#This Row],[Profile Visits]:[New Followers]])</f>
        <v>21</v>
      </c>
    </row>
    <row r="204" spans="1:12" x14ac:dyDescent="0.3">
      <c r="A204" s="74">
        <v>45765</v>
      </c>
      <c r="B204" s="67">
        <v>322</v>
      </c>
      <c r="C204" s="67">
        <v>7084</v>
      </c>
      <c r="D204" s="67">
        <v>11</v>
      </c>
      <c r="E204" s="67">
        <v>5</v>
      </c>
      <c r="F204" s="67">
        <v>1</v>
      </c>
      <c r="G204" s="67">
        <v>2</v>
      </c>
      <c r="H204" s="67">
        <v>21</v>
      </c>
      <c r="I204" s="67">
        <v>3</v>
      </c>
      <c r="J204" s="67">
        <f>SUM(DataTbl[[#This Row],[Likes]:[Shares]])</f>
        <v>19</v>
      </c>
      <c r="K204" s="75">
        <f>DataTbl[[#This Row],[Engagement]]/DataTbl[[#This Row],[Views]]</f>
        <v>5.9006211180124224E-2</v>
      </c>
      <c r="L204" s="67">
        <f>SUM(DataTbl[[#This Row],[Profile Visits]:[New Followers]])</f>
        <v>24</v>
      </c>
    </row>
    <row r="205" spans="1:12" x14ac:dyDescent="0.3">
      <c r="A205" s="74">
        <v>45766</v>
      </c>
      <c r="B205" s="67">
        <v>326</v>
      </c>
      <c r="C205" s="67">
        <v>11084</v>
      </c>
      <c r="D205" s="67">
        <v>13</v>
      </c>
      <c r="E205" s="67">
        <v>6</v>
      </c>
      <c r="F205" s="67">
        <v>2</v>
      </c>
      <c r="G205" s="67">
        <v>1</v>
      </c>
      <c r="H205" s="67">
        <v>19</v>
      </c>
      <c r="I205" s="67">
        <v>3</v>
      </c>
      <c r="J205" s="67">
        <f>SUM(DataTbl[[#This Row],[Likes]:[Shares]])</f>
        <v>22</v>
      </c>
      <c r="K205" s="75">
        <f>DataTbl[[#This Row],[Engagement]]/DataTbl[[#This Row],[Views]]</f>
        <v>6.7484662576687116E-2</v>
      </c>
      <c r="L205" s="67">
        <f>SUM(DataTbl[[#This Row],[Profile Visits]:[New Followers]])</f>
        <v>22</v>
      </c>
    </row>
    <row r="206" spans="1:12" x14ac:dyDescent="0.3">
      <c r="A206" s="74">
        <v>45767</v>
      </c>
      <c r="B206" s="67">
        <v>344</v>
      </c>
      <c r="C206" s="67">
        <v>8256</v>
      </c>
      <c r="D206" s="67">
        <v>13</v>
      </c>
      <c r="E206" s="67">
        <v>7</v>
      </c>
      <c r="F206" s="67">
        <v>2</v>
      </c>
      <c r="G206" s="67">
        <v>2</v>
      </c>
      <c r="H206" s="67">
        <v>14</v>
      </c>
      <c r="I206" s="67">
        <v>2</v>
      </c>
      <c r="J206" s="67">
        <f>SUM(DataTbl[[#This Row],[Likes]:[Shares]])</f>
        <v>24</v>
      </c>
      <c r="K206" s="75">
        <f>DataTbl[[#This Row],[Engagement]]/DataTbl[[#This Row],[Views]]</f>
        <v>6.9767441860465115E-2</v>
      </c>
      <c r="L206" s="67">
        <f>SUM(DataTbl[[#This Row],[Profile Visits]:[New Followers]])</f>
        <v>16</v>
      </c>
    </row>
    <row r="207" spans="1:12" x14ac:dyDescent="0.3">
      <c r="A207" s="74">
        <v>45768</v>
      </c>
      <c r="B207" s="67">
        <v>299</v>
      </c>
      <c r="C207" s="67">
        <v>6877</v>
      </c>
      <c r="D207" s="67">
        <v>8</v>
      </c>
      <c r="E207" s="67">
        <v>3</v>
      </c>
      <c r="F207" s="67">
        <v>1</v>
      </c>
      <c r="G207" s="67">
        <v>1</v>
      </c>
      <c r="H207" s="67">
        <v>12</v>
      </c>
      <c r="I207" s="67">
        <v>2</v>
      </c>
      <c r="J207" s="67">
        <f>SUM(DataTbl[[#This Row],[Likes]:[Shares]])</f>
        <v>13</v>
      </c>
      <c r="K207" s="75">
        <f>DataTbl[[#This Row],[Engagement]]/DataTbl[[#This Row],[Views]]</f>
        <v>4.3478260869565216E-2</v>
      </c>
      <c r="L207" s="67">
        <f>SUM(DataTbl[[#This Row],[Profile Visits]:[New Followers]])</f>
        <v>14</v>
      </c>
    </row>
    <row r="208" spans="1:12" x14ac:dyDescent="0.3">
      <c r="A208" s="74">
        <v>45769</v>
      </c>
      <c r="B208" s="67">
        <v>317</v>
      </c>
      <c r="C208" s="67">
        <v>9827</v>
      </c>
      <c r="D208" s="67">
        <v>14</v>
      </c>
      <c r="E208" s="67">
        <v>6</v>
      </c>
      <c r="F208" s="67">
        <v>2</v>
      </c>
      <c r="G208" s="67">
        <v>2</v>
      </c>
      <c r="H208" s="67">
        <v>16</v>
      </c>
      <c r="I208" s="67">
        <v>3</v>
      </c>
      <c r="J208" s="67">
        <f>SUM(DataTbl[[#This Row],[Likes]:[Shares]])</f>
        <v>24</v>
      </c>
      <c r="K208" s="75">
        <f>DataTbl[[#This Row],[Engagement]]/DataTbl[[#This Row],[Views]]</f>
        <v>7.5709779179810727E-2</v>
      </c>
      <c r="L208" s="67">
        <f>SUM(DataTbl[[#This Row],[Profile Visits]:[New Followers]])</f>
        <v>19</v>
      </c>
    </row>
    <row r="209" spans="1:12" x14ac:dyDescent="0.3">
      <c r="A209" s="74">
        <v>45770</v>
      </c>
      <c r="B209" s="67">
        <v>352</v>
      </c>
      <c r="C209" s="67">
        <v>7040</v>
      </c>
      <c r="D209" s="67">
        <v>13</v>
      </c>
      <c r="E209" s="67">
        <v>6</v>
      </c>
      <c r="F209" s="67">
        <v>2</v>
      </c>
      <c r="G209" s="67">
        <v>2</v>
      </c>
      <c r="H209" s="67">
        <v>25</v>
      </c>
      <c r="I209" s="67">
        <v>4</v>
      </c>
      <c r="J209" s="67">
        <f>SUM(DataTbl[[#This Row],[Likes]:[Shares]])</f>
        <v>23</v>
      </c>
      <c r="K209" s="75">
        <f>DataTbl[[#This Row],[Engagement]]/DataTbl[[#This Row],[Views]]</f>
        <v>6.5340909090909088E-2</v>
      </c>
      <c r="L209" s="67">
        <f>SUM(DataTbl[[#This Row],[Profile Visits]:[New Followers]])</f>
        <v>29</v>
      </c>
    </row>
    <row r="210" spans="1:12" x14ac:dyDescent="0.3">
      <c r="A210" s="74">
        <v>45771</v>
      </c>
      <c r="B210" s="67">
        <v>329</v>
      </c>
      <c r="C210" s="67">
        <v>6909</v>
      </c>
      <c r="D210" s="67">
        <v>9</v>
      </c>
      <c r="E210" s="67">
        <v>4</v>
      </c>
      <c r="F210" s="67">
        <v>1</v>
      </c>
      <c r="G210" s="67">
        <v>1</v>
      </c>
      <c r="H210" s="67">
        <v>16</v>
      </c>
      <c r="I210" s="67">
        <v>3</v>
      </c>
      <c r="J210" s="67">
        <f>SUM(DataTbl[[#This Row],[Likes]:[Shares]])</f>
        <v>15</v>
      </c>
      <c r="K210" s="75">
        <f>DataTbl[[#This Row],[Engagement]]/DataTbl[[#This Row],[Views]]</f>
        <v>4.5592705167173252E-2</v>
      </c>
      <c r="L210" s="67">
        <f>SUM(DataTbl[[#This Row],[Profile Visits]:[New Followers]])</f>
        <v>19</v>
      </c>
    </row>
    <row r="211" spans="1:12" x14ac:dyDescent="0.3">
      <c r="A211" s="74">
        <v>45772</v>
      </c>
      <c r="B211" s="67">
        <v>320</v>
      </c>
      <c r="C211" s="67">
        <v>10240</v>
      </c>
      <c r="D211" s="67">
        <v>11</v>
      </c>
      <c r="E211" s="67">
        <v>4</v>
      </c>
      <c r="F211" s="67">
        <v>1</v>
      </c>
      <c r="G211" s="67">
        <v>1</v>
      </c>
      <c r="H211" s="67">
        <v>15</v>
      </c>
      <c r="I211" s="67">
        <v>2</v>
      </c>
      <c r="J211" s="67">
        <f>SUM(DataTbl[[#This Row],[Likes]:[Shares]])</f>
        <v>17</v>
      </c>
      <c r="K211" s="75">
        <f>DataTbl[[#This Row],[Engagement]]/DataTbl[[#This Row],[Views]]</f>
        <v>5.3124999999999999E-2</v>
      </c>
      <c r="L211" s="67">
        <f>SUM(DataTbl[[#This Row],[Profile Visits]:[New Followers]])</f>
        <v>17</v>
      </c>
    </row>
    <row r="212" spans="1:12" x14ac:dyDescent="0.3">
      <c r="A212" s="74">
        <v>45773</v>
      </c>
      <c r="B212" s="67">
        <v>362</v>
      </c>
      <c r="C212" s="67">
        <v>11584</v>
      </c>
      <c r="D212" s="67">
        <v>15</v>
      </c>
      <c r="E212" s="67">
        <v>6</v>
      </c>
      <c r="F212" s="67">
        <v>2</v>
      </c>
      <c r="G212" s="67">
        <v>2</v>
      </c>
      <c r="H212" s="67">
        <v>15</v>
      </c>
      <c r="I212" s="67">
        <v>2</v>
      </c>
      <c r="J212" s="67">
        <f>SUM(DataTbl[[#This Row],[Likes]:[Shares]])</f>
        <v>25</v>
      </c>
      <c r="K212" s="75">
        <f>DataTbl[[#This Row],[Engagement]]/DataTbl[[#This Row],[Views]]</f>
        <v>6.9060773480662987E-2</v>
      </c>
      <c r="L212" s="67">
        <f>SUM(DataTbl[[#This Row],[Profile Visits]:[New Followers]])</f>
        <v>17</v>
      </c>
    </row>
    <row r="213" spans="1:12" x14ac:dyDescent="0.3">
      <c r="A213" s="74">
        <v>45774</v>
      </c>
      <c r="B213" s="67">
        <v>363</v>
      </c>
      <c r="C213" s="67">
        <v>7260</v>
      </c>
      <c r="D213" s="67">
        <v>10</v>
      </c>
      <c r="E213" s="67">
        <v>4</v>
      </c>
      <c r="F213" s="67">
        <v>1</v>
      </c>
      <c r="G213" s="67">
        <v>1</v>
      </c>
      <c r="H213" s="67">
        <v>21</v>
      </c>
      <c r="I213" s="67">
        <v>3</v>
      </c>
      <c r="J213" s="67">
        <f>SUM(DataTbl[[#This Row],[Likes]:[Shares]])</f>
        <v>16</v>
      </c>
      <c r="K213" s="75">
        <f>DataTbl[[#This Row],[Engagement]]/DataTbl[[#This Row],[Views]]</f>
        <v>4.4077134986225897E-2</v>
      </c>
      <c r="L213" s="67">
        <f>SUM(DataTbl[[#This Row],[Profile Visits]:[New Followers]])</f>
        <v>24</v>
      </c>
    </row>
    <row r="214" spans="1:12" x14ac:dyDescent="0.3">
      <c r="A214" s="74">
        <v>45775</v>
      </c>
      <c r="B214" s="67">
        <v>325</v>
      </c>
      <c r="C214" s="67">
        <v>9750</v>
      </c>
      <c r="D214" s="67">
        <v>15</v>
      </c>
      <c r="E214" s="67">
        <v>6</v>
      </c>
      <c r="F214" s="67">
        <v>2</v>
      </c>
      <c r="G214" s="67">
        <v>2</v>
      </c>
      <c r="H214" s="67">
        <v>20</v>
      </c>
      <c r="I214" s="67">
        <v>3</v>
      </c>
      <c r="J214" s="67">
        <f>SUM(DataTbl[[#This Row],[Likes]:[Shares]])</f>
        <v>25</v>
      </c>
      <c r="K214" s="75">
        <f>DataTbl[[#This Row],[Engagement]]/DataTbl[[#This Row],[Views]]</f>
        <v>7.6923076923076927E-2</v>
      </c>
      <c r="L214" s="67">
        <f>SUM(DataTbl[[#This Row],[Profile Visits]:[New Followers]])</f>
        <v>23</v>
      </c>
    </row>
    <row r="215" spans="1:12" x14ac:dyDescent="0.3">
      <c r="A215" s="74">
        <v>45776</v>
      </c>
      <c r="B215" s="67">
        <v>482</v>
      </c>
      <c r="C215" s="67">
        <v>16388</v>
      </c>
      <c r="D215" s="67">
        <v>16</v>
      </c>
      <c r="E215" s="67">
        <v>6</v>
      </c>
      <c r="F215" s="67">
        <v>2</v>
      </c>
      <c r="G215" s="67">
        <v>2</v>
      </c>
      <c r="H215" s="67">
        <v>29</v>
      </c>
      <c r="I215" s="67">
        <v>11</v>
      </c>
      <c r="J215" s="67">
        <f>SUM(DataTbl[[#This Row],[Likes]:[Shares]])</f>
        <v>26</v>
      </c>
      <c r="K215" s="75">
        <f>DataTbl[[#This Row],[Engagement]]/DataTbl[[#This Row],[Views]]</f>
        <v>5.3941908713692949E-2</v>
      </c>
      <c r="L215" s="67">
        <f>SUM(DataTbl[[#This Row],[Profile Visits]:[New Followers]])</f>
        <v>40</v>
      </c>
    </row>
    <row r="216" spans="1:12" x14ac:dyDescent="0.3">
      <c r="A216" s="74">
        <v>45777</v>
      </c>
      <c r="B216" s="67">
        <v>685</v>
      </c>
      <c r="C216" s="67">
        <v>17125</v>
      </c>
      <c r="D216" s="67">
        <v>18</v>
      </c>
      <c r="E216" s="67">
        <v>7</v>
      </c>
      <c r="F216" s="67">
        <v>2</v>
      </c>
      <c r="G216" s="67">
        <v>2</v>
      </c>
      <c r="H216" s="67">
        <v>30</v>
      </c>
      <c r="I216" s="67">
        <v>5</v>
      </c>
      <c r="J216" s="67">
        <f>SUM(DataTbl[[#This Row],[Likes]:[Shares]])</f>
        <v>29</v>
      </c>
      <c r="K216" s="75">
        <f>DataTbl[[#This Row],[Engagement]]/DataTbl[[#This Row],[Views]]</f>
        <v>4.2335766423357665E-2</v>
      </c>
      <c r="L216" s="67">
        <f>SUM(DataTbl[[#This Row],[Profile Visits]:[New Followers]])</f>
        <v>35</v>
      </c>
    </row>
    <row r="217" spans="1:12" x14ac:dyDescent="0.3">
      <c r="A217" s="74">
        <v>45778</v>
      </c>
      <c r="B217" s="67">
        <v>579</v>
      </c>
      <c r="C217" s="67">
        <v>18528</v>
      </c>
      <c r="D217" s="67">
        <v>23</v>
      </c>
      <c r="E217" s="67">
        <v>10</v>
      </c>
      <c r="F217" s="67">
        <v>4</v>
      </c>
      <c r="G217" s="67">
        <v>3</v>
      </c>
      <c r="H217" s="67">
        <v>25</v>
      </c>
      <c r="I217" s="67">
        <v>11</v>
      </c>
      <c r="J217" s="67">
        <v>40</v>
      </c>
      <c r="K217" s="75">
        <v>6.9084628670120898E-2</v>
      </c>
      <c r="L217" s="67">
        <v>36</v>
      </c>
    </row>
    <row r="218" spans="1:12" x14ac:dyDescent="0.3">
      <c r="A218" s="74">
        <v>45779</v>
      </c>
      <c r="B218" s="67">
        <v>700</v>
      </c>
      <c r="C218" s="67">
        <v>15400</v>
      </c>
      <c r="D218" s="67">
        <v>27</v>
      </c>
      <c r="E218" s="67">
        <v>10</v>
      </c>
      <c r="F218" s="67">
        <v>5</v>
      </c>
      <c r="G218" s="67">
        <v>4</v>
      </c>
      <c r="H218" s="67">
        <v>53</v>
      </c>
      <c r="I218" s="67">
        <v>16</v>
      </c>
      <c r="J218" s="67">
        <v>46</v>
      </c>
      <c r="K218" s="75">
        <v>6.5714285714285711E-2</v>
      </c>
      <c r="L218" s="67">
        <v>69</v>
      </c>
    </row>
    <row r="219" spans="1:12" x14ac:dyDescent="0.3">
      <c r="A219" s="74">
        <v>45780</v>
      </c>
      <c r="B219" s="67">
        <v>748</v>
      </c>
      <c r="C219" s="67">
        <v>26180</v>
      </c>
      <c r="D219" s="67">
        <v>17</v>
      </c>
      <c r="E219" s="67">
        <v>8</v>
      </c>
      <c r="F219" s="67">
        <v>2</v>
      </c>
      <c r="G219" s="67">
        <v>3</v>
      </c>
      <c r="H219" s="67">
        <v>58</v>
      </c>
      <c r="I219" s="67">
        <v>13</v>
      </c>
      <c r="J219" s="67">
        <v>30</v>
      </c>
      <c r="K219" s="75">
        <v>4.0106951871657755E-2</v>
      </c>
      <c r="L219" s="67">
        <v>71</v>
      </c>
    </row>
    <row r="220" spans="1:12" x14ac:dyDescent="0.3">
      <c r="A220" s="74">
        <v>45781</v>
      </c>
      <c r="B220" s="67">
        <v>421</v>
      </c>
      <c r="C220" s="67">
        <v>7999</v>
      </c>
      <c r="D220" s="67">
        <v>13</v>
      </c>
      <c r="E220" s="67">
        <v>4</v>
      </c>
      <c r="F220" s="67">
        <v>1</v>
      </c>
      <c r="G220" s="67">
        <v>2</v>
      </c>
      <c r="H220" s="67">
        <v>34</v>
      </c>
      <c r="I220" s="67">
        <v>6</v>
      </c>
      <c r="J220" s="67">
        <v>20</v>
      </c>
      <c r="K220" s="75">
        <v>4.7505938242280284E-2</v>
      </c>
      <c r="L220" s="67">
        <v>40</v>
      </c>
    </row>
    <row r="221" spans="1:12" x14ac:dyDescent="0.3">
      <c r="A221" s="74">
        <v>45782</v>
      </c>
      <c r="B221" s="67">
        <v>368</v>
      </c>
      <c r="C221" s="67">
        <v>11776</v>
      </c>
      <c r="D221" s="67">
        <v>16</v>
      </c>
      <c r="E221" s="67">
        <v>6</v>
      </c>
      <c r="F221" s="67">
        <v>2</v>
      </c>
      <c r="G221" s="67">
        <v>2</v>
      </c>
      <c r="H221" s="67">
        <v>21</v>
      </c>
      <c r="I221" s="67">
        <v>4</v>
      </c>
      <c r="J221" s="67">
        <v>26</v>
      </c>
      <c r="K221" s="75">
        <v>7.0652173913043473E-2</v>
      </c>
      <c r="L221" s="67">
        <v>25</v>
      </c>
    </row>
    <row r="222" spans="1:12" x14ac:dyDescent="0.3">
      <c r="A222" s="74">
        <v>45783</v>
      </c>
      <c r="B222" s="67">
        <v>339</v>
      </c>
      <c r="C222" s="67">
        <v>6441</v>
      </c>
      <c r="D222" s="67">
        <v>9</v>
      </c>
      <c r="E222" s="67">
        <v>3</v>
      </c>
      <c r="F222" s="67">
        <v>1</v>
      </c>
      <c r="G222" s="67">
        <v>1</v>
      </c>
      <c r="H222" s="67">
        <v>22</v>
      </c>
      <c r="I222" s="67">
        <v>4</v>
      </c>
      <c r="J222" s="67">
        <v>14</v>
      </c>
      <c r="K222" s="75">
        <v>4.1297935103244837E-2</v>
      </c>
      <c r="L222" s="67">
        <v>26</v>
      </c>
    </row>
    <row r="223" spans="1:12" x14ac:dyDescent="0.3">
      <c r="A223" s="74">
        <v>45784</v>
      </c>
      <c r="B223" s="67">
        <v>281</v>
      </c>
      <c r="C223" s="67">
        <v>8992</v>
      </c>
      <c r="D223" s="67">
        <v>6</v>
      </c>
      <c r="E223" s="67">
        <v>3</v>
      </c>
      <c r="F223" s="67">
        <v>1</v>
      </c>
      <c r="G223" s="67">
        <v>1</v>
      </c>
      <c r="H223" s="67">
        <v>12</v>
      </c>
      <c r="I223" s="67">
        <v>1</v>
      </c>
      <c r="J223" s="67">
        <v>11</v>
      </c>
      <c r="K223" s="75">
        <v>3.9145907473309607E-2</v>
      </c>
      <c r="L223" s="67">
        <v>13</v>
      </c>
    </row>
    <row r="224" spans="1:12" x14ac:dyDescent="0.3">
      <c r="A224" s="74">
        <v>45785</v>
      </c>
      <c r="B224" s="67">
        <v>324</v>
      </c>
      <c r="C224" s="67">
        <v>6156</v>
      </c>
      <c r="D224" s="67">
        <v>14</v>
      </c>
      <c r="E224" s="67">
        <v>6</v>
      </c>
      <c r="F224" s="67">
        <v>1</v>
      </c>
      <c r="G224" s="67">
        <v>1</v>
      </c>
      <c r="H224" s="67">
        <v>17</v>
      </c>
      <c r="I224" s="67">
        <v>2</v>
      </c>
      <c r="J224" s="67">
        <v>22</v>
      </c>
      <c r="K224" s="75">
        <v>6.7901234567901231E-2</v>
      </c>
      <c r="L224" s="67">
        <v>19</v>
      </c>
    </row>
    <row r="225" spans="1:12" x14ac:dyDescent="0.3">
      <c r="A225" s="74">
        <v>45786</v>
      </c>
      <c r="B225" s="67">
        <v>390</v>
      </c>
      <c r="C225" s="67">
        <v>13260</v>
      </c>
      <c r="D225" s="67">
        <v>14</v>
      </c>
      <c r="E225" s="67">
        <v>6</v>
      </c>
      <c r="F225" s="67">
        <v>1</v>
      </c>
      <c r="G225" s="67">
        <v>1</v>
      </c>
      <c r="H225" s="67">
        <v>30</v>
      </c>
      <c r="I225" s="67">
        <v>4</v>
      </c>
      <c r="J225" s="67">
        <v>22</v>
      </c>
      <c r="K225" s="75">
        <v>5.6410256410256411E-2</v>
      </c>
      <c r="L225" s="67">
        <v>34</v>
      </c>
    </row>
    <row r="226" spans="1:12" x14ac:dyDescent="0.3">
      <c r="A226" s="74">
        <v>45787</v>
      </c>
      <c r="B226" s="67">
        <v>346</v>
      </c>
      <c r="C226" s="67">
        <v>6228</v>
      </c>
      <c r="D226" s="67">
        <v>8</v>
      </c>
      <c r="E226" s="67">
        <v>3</v>
      </c>
      <c r="F226" s="67">
        <v>1</v>
      </c>
      <c r="G226" s="67">
        <v>1</v>
      </c>
      <c r="H226" s="67">
        <v>21</v>
      </c>
      <c r="I226" s="67">
        <v>3</v>
      </c>
      <c r="J226" s="67">
        <v>13</v>
      </c>
      <c r="K226" s="75">
        <v>3.7572254335260118E-2</v>
      </c>
      <c r="L226" s="67">
        <v>24</v>
      </c>
    </row>
    <row r="227" spans="1:12" x14ac:dyDescent="0.3">
      <c r="A227" s="74">
        <v>45788</v>
      </c>
      <c r="B227" s="67">
        <v>383</v>
      </c>
      <c r="C227" s="67">
        <v>9958</v>
      </c>
      <c r="D227" s="67">
        <v>16</v>
      </c>
      <c r="E227" s="67">
        <v>7</v>
      </c>
      <c r="F227" s="67">
        <v>2</v>
      </c>
      <c r="G227" s="67">
        <v>2</v>
      </c>
      <c r="H227" s="67">
        <v>20</v>
      </c>
      <c r="I227" s="67">
        <v>2</v>
      </c>
      <c r="J227" s="67">
        <v>27</v>
      </c>
      <c r="K227" s="75">
        <v>7.0496083550913843E-2</v>
      </c>
      <c r="L227" s="67">
        <v>22</v>
      </c>
    </row>
    <row r="228" spans="1:12" x14ac:dyDescent="0.3">
      <c r="A228" s="74">
        <v>45789</v>
      </c>
      <c r="B228" s="67">
        <v>360</v>
      </c>
      <c r="C228" s="67">
        <v>12240</v>
      </c>
      <c r="D228" s="67">
        <v>10</v>
      </c>
      <c r="E228" s="67">
        <v>4</v>
      </c>
      <c r="F228" s="67">
        <v>1</v>
      </c>
      <c r="G228" s="67">
        <v>1</v>
      </c>
      <c r="H228" s="67">
        <v>18</v>
      </c>
      <c r="I228" s="67">
        <v>2</v>
      </c>
      <c r="J228" s="67">
        <v>16</v>
      </c>
      <c r="K228" s="75">
        <v>4.4444444444444446E-2</v>
      </c>
      <c r="L228" s="67">
        <v>20</v>
      </c>
    </row>
    <row r="229" spans="1:12" x14ac:dyDescent="0.3">
      <c r="A229" s="74">
        <v>45790</v>
      </c>
      <c r="B229" s="67">
        <v>383</v>
      </c>
      <c r="C229" s="67">
        <v>7277</v>
      </c>
      <c r="D229" s="67">
        <v>11</v>
      </c>
      <c r="E229" s="67">
        <v>4</v>
      </c>
      <c r="F229" s="67">
        <v>2</v>
      </c>
      <c r="G229" s="67">
        <v>1</v>
      </c>
      <c r="H229" s="67">
        <v>26</v>
      </c>
      <c r="I229" s="67">
        <v>4</v>
      </c>
      <c r="J229" s="67">
        <v>18</v>
      </c>
      <c r="K229" s="75">
        <v>4.6997389033942558E-2</v>
      </c>
      <c r="L229" s="67">
        <v>30</v>
      </c>
    </row>
    <row r="230" spans="1:12" x14ac:dyDescent="0.3">
      <c r="A230" s="74">
        <v>45791</v>
      </c>
      <c r="B230" s="67">
        <v>297</v>
      </c>
      <c r="C230" s="67">
        <v>6534</v>
      </c>
      <c r="D230" s="67">
        <v>9</v>
      </c>
      <c r="E230" s="67">
        <v>4</v>
      </c>
      <c r="F230" s="67">
        <v>1</v>
      </c>
      <c r="G230" s="67">
        <v>1</v>
      </c>
      <c r="H230" s="67">
        <v>13</v>
      </c>
      <c r="I230" s="67">
        <v>2</v>
      </c>
      <c r="J230" s="67">
        <v>15</v>
      </c>
      <c r="K230" s="75">
        <v>5.0505050505050504E-2</v>
      </c>
      <c r="L230" s="67">
        <v>15</v>
      </c>
    </row>
    <row r="231" spans="1:12" x14ac:dyDescent="0.3">
      <c r="A231" s="74">
        <v>45792</v>
      </c>
      <c r="B231" s="67">
        <v>371</v>
      </c>
      <c r="C231" s="67">
        <v>9275</v>
      </c>
      <c r="D231" s="67">
        <v>12</v>
      </c>
      <c r="E231" s="67">
        <v>4</v>
      </c>
      <c r="F231" s="67">
        <v>1</v>
      </c>
      <c r="G231" s="67">
        <v>1</v>
      </c>
      <c r="H231" s="67">
        <v>20</v>
      </c>
      <c r="I231" s="67">
        <v>2</v>
      </c>
      <c r="J231" s="67">
        <v>18</v>
      </c>
      <c r="K231" s="75">
        <v>4.8517520215633422E-2</v>
      </c>
      <c r="L231" s="67">
        <v>22</v>
      </c>
    </row>
    <row r="232" spans="1:12" x14ac:dyDescent="0.3">
      <c r="A232" s="74">
        <v>45793</v>
      </c>
      <c r="B232" s="67">
        <v>314</v>
      </c>
      <c r="C232" s="67">
        <v>5652</v>
      </c>
      <c r="D232" s="67">
        <v>12</v>
      </c>
      <c r="E232" s="67">
        <v>5</v>
      </c>
      <c r="F232" s="67">
        <v>2</v>
      </c>
      <c r="G232" s="67">
        <v>1</v>
      </c>
      <c r="H232" s="67">
        <v>13</v>
      </c>
      <c r="I232" s="67">
        <v>2</v>
      </c>
      <c r="J232" s="67">
        <v>20</v>
      </c>
      <c r="K232" s="75">
        <v>6.3694267515923567E-2</v>
      </c>
      <c r="L232" s="67">
        <v>15</v>
      </c>
    </row>
    <row r="233" spans="1:12" x14ac:dyDescent="0.3">
      <c r="A233" s="74">
        <v>45794</v>
      </c>
      <c r="B233" s="67">
        <v>401</v>
      </c>
      <c r="C233" s="67">
        <v>7218</v>
      </c>
      <c r="D233" s="67">
        <v>18</v>
      </c>
      <c r="E233" s="67">
        <v>6</v>
      </c>
      <c r="F233" s="67">
        <v>3</v>
      </c>
      <c r="G233" s="67">
        <v>3</v>
      </c>
      <c r="H233" s="67">
        <v>24</v>
      </c>
      <c r="I233" s="67">
        <v>3</v>
      </c>
      <c r="J233" s="67">
        <v>30</v>
      </c>
      <c r="K233" s="75">
        <v>7.4812967581047385E-2</v>
      </c>
      <c r="L233" s="67">
        <v>27</v>
      </c>
    </row>
    <row r="234" spans="1:12" x14ac:dyDescent="0.3">
      <c r="A234" s="74">
        <v>45795</v>
      </c>
      <c r="B234" s="67">
        <v>413</v>
      </c>
      <c r="C234" s="67">
        <v>13216</v>
      </c>
      <c r="D234" s="67">
        <v>18</v>
      </c>
      <c r="E234" s="67">
        <v>7</v>
      </c>
      <c r="F234" s="67">
        <v>2</v>
      </c>
      <c r="G234" s="67">
        <v>2</v>
      </c>
      <c r="H234" s="67">
        <v>32</v>
      </c>
      <c r="I234" s="67">
        <v>4</v>
      </c>
      <c r="J234" s="67">
        <v>29</v>
      </c>
      <c r="K234" s="75">
        <v>7.0217917675544791E-2</v>
      </c>
      <c r="L234" s="67">
        <v>36</v>
      </c>
    </row>
    <row r="235" spans="1:12" x14ac:dyDescent="0.3">
      <c r="A235" s="74">
        <v>45796</v>
      </c>
      <c r="B235" s="67">
        <v>708</v>
      </c>
      <c r="C235" s="67">
        <v>17700</v>
      </c>
      <c r="D235" s="67">
        <v>21</v>
      </c>
      <c r="E235" s="67">
        <v>8</v>
      </c>
      <c r="F235" s="67">
        <v>2</v>
      </c>
      <c r="G235" s="67">
        <v>3</v>
      </c>
      <c r="H235" s="67">
        <v>41</v>
      </c>
      <c r="I235" s="67">
        <v>11</v>
      </c>
      <c r="J235" s="67">
        <v>34</v>
      </c>
      <c r="K235" s="75">
        <v>4.8022598870056499E-2</v>
      </c>
      <c r="L235" s="67">
        <v>52</v>
      </c>
    </row>
    <row r="236" spans="1:12" x14ac:dyDescent="0.3">
      <c r="A236" s="74">
        <v>45797</v>
      </c>
      <c r="B236" s="67">
        <v>845</v>
      </c>
      <c r="C236" s="67">
        <v>17745</v>
      </c>
      <c r="D236" s="67">
        <v>18</v>
      </c>
      <c r="E236" s="67">
        <v>9</v>
      </c>
      <c r="F236" s="67">
        <v>3</v>
      </c>
      <c r="G236" s="67">
        <v>3</v>
      </c>
      <c r="H236" s="67">
        <v>38</v>
      </c>
      <c r="I236" s="67">
        <v>11</v>
      </c>
      <c r="J236" s="67">
        <v>33</v>
      </c>
      <c r="K236" s="75">
        <v>3.9053254437869819E-2</v>
      </c>
      <c r="L236" s="67">
        <v>49</v>
      </c>
    </row>
    <row r="237" spans="1:12" x14ac:dyDescent="0.3">
      <c r="A237" s="74">
        <v>45798</v>
      </c>
      <c r="B237" s="67">
        <v>795</v>
      </c>
      <c r="C237" s="67">
        <v>21465</v>
      </c>
      <c r="D237" s="67">
        <v>24</v>
      </c>
      <c r="E237" s="67">
        <v>9</v>
      </c>
      <c r="F237" s="67">
        <v>3</v>
      </c>
      <c r="G237" s="67">
        <v>4</v>
      </c>
      <c r="H237" s="67">
        <v>34</v>
      </c>
      <c r="I237" s="67">
        <v>6</v>
      </c>
      <c r="J237" s="67">
        <v>40</v>
      </c>
      <c r="K237" s="75">
        <v>5.0314465408805034E-2</v>
      </c>
      <c r="L237" s="67">
        <v>40</v>
      </c>
    </row>
    <row r="238" spans="1:12" x14ac:dyDescent="0.3">
      <c r="A238" s="74">
        <v>45799</v>
      </c>
      <c r="B238" s="67">
        <v>311</v>
      </c>
      <c r="C238" s="67">
        <v>6842</v>
      </c>
      <c r="D238" s="67">
        <v>7</v>
      </c>
      <c r="E238" s="67">
        <v>3</v>
      </c>
      <c r="F238" s="67">
        <v>1</v>
      </c>
      <c r="G238" s="67">
        <v>1</v>
      </c>
      <c r="H238" s="67">
        <v>20</v>
      </c>
      <c r="I238" s="67">
        <v>3</v>
      </c>
      <c r="J238" s="67">
        <v>12</v>
      </c>
      <c r="K238" s="75">
        <v>3.8585209003215437E-2</v>
      </c>
      <c r="L238" s="67">
        <v>23</v>
      </c>
    </row>
    <row r="239" spans="1:12" x14ac:dyDescent="0.3">
      <c r="A239" s="74">
        <v>45800</v>
      </c>
      <c r="B239" s="67">
        <v>308</v>
      </c>
      <c r="C239" s="67">
        <v>10164</v>
      </c>
      <c r="D239" s="67">
        <v>8</v>
      </c>
      <c r="E239" s="67">
        <v>3</v>
      </c>
      <c r="F239" s="67">
        <v>1</v>
      </c>
      <c r="G239" s="67">
        <v>1</v>
      </c>
      <c r="H239" s="67">
        <v>12</v>
      </c>
      <c r="I239" s="67">
        <v>2</v>
      </c>
      <c r="J239" s="67">
        <v>13</v>
      </c>
      <c r="K239" s="75">
        <v>4.2207792207792208E-2</v>
      </c>
      <c r="L239" s="67">
        <v>14</v>
      </c>
    </row>
    <row r="240" spans="1:12" x14ac:dyDescent="0.3">
      <c r="A240" s="74">
        <v>45801</v>
      </c>
      <c r="B240" s="67">
        <v>524</v>
      </c>
      <c r="C240" s="67">
        <v>13100</v>
      </c>
      <c r="D240" s="67">
        <v>19</v>
      </c>
      <c r="E240" s="67">
        <v>8</v>
      </c>
      <c r="F240" s="67">
        <v>3</v>
      </c>
      <c r="G240" s="67">
        <v>3</v>
      </c>
      <c r="H240" s="67">
        <v>41</v>
      </c>
      <c r="I240" s="67">
        <v>4</v>
      </c>
      <c r="J240" s="67">
        <v>33</v>
      </c>
      <c r="K240" s="75">
        <v>6.2977099236641215E-2</v>
      </c>
      <c r="L240" s="67">
        <v>45</v>
      </c>
    </row>
    <row r="241" spans="1:12" x14ac:dyDescent="0.3">
      <c r="A241" s="74">
        <v>45802</v>
      </c>
      <c r="B241" s="67">
        <v>374</v>
      </c>
      <c r="C241" s="67">
        <v>10098</v>
      </c>
      <c r="D241" s="67">
        <v>9</v>
      </c>
      <c r="E241" s="67">
        <v>4</v>
      </c>
      <c r="F241" s="67">
        <v>1</v>
      </c>
      <c r="G241" s="67">
        <v>1</v>
      </c>
      <c r="H241" s="67">
        <v>24</v>
      </c>
      <c r="I241" s="67">
        <v>3</v>
      </c>
      <c r="J241" s="67">
        <v>15</v>
      </c>
      <c r="K241" s="75">
        <v>4.0106951871657755E-2</v>
      </c>
      <c r="L241" s="67">
        <v>27</v>
      </c>
    </row>
    <row r="242" spans="1:12" x14ac:dyDescent="0.3">
      <c r="A242" s="74">
        <v>45803</v>
      </c>
      <c r="B242" s="67">
        <v>409</v>
      </c>
      <c r="C242" s="67">
        <v>11043</v>
      </c>
      <c r="D242" s="67">
        <v>18</v>
      </c>
      <c r="E242" s="67">
        <v>8</v>
      </c>
      <c r="F242" s="67">
        <v>3</v>
      </c>
      <c r="G242" s="67">
        <v>2</v>
      </c>
      <c r="H242" s="67">
        <v>17</v>
      </c>
      <c r="I242" s="67">
        <v>3</v>
      </c>
      <c r="J242" s="67">
        <v>31</v>
      </c>
      <c r="K242" s="75">
        <v>7.5794621026894868E-2</v>
      </c>
      <c r="L242" s="67">
        <v>20</v>
      </c>
    </row>
    <row r="243" spans="1:12" x14ac:dyDescent="0.3">
      <c r="A243" s="74">
        <v>45804</v>
      </c>
      <c r="B243" s="67">
        <v>316</v>
      </c>
      <c r="C243" s="67">
        <v>8216</v>
      </c>
      <c r="D243" s="67">
        <v>7</v>
      </c>
      <c r="E243" s="67">
        <v>4</v>
      </c>
      <c r="F243" s="67">
        <v>1</v>
      </c>
      <c r="G243" s="67">
        <v>1</v>
      </c>
      <c r="H243" s="67">
        <v>23</v>
      </c>
      <c r="I243" s="67">
        <v>4</v>
      </c>
      <c r="J243" s="67">
        <v>13</v>
      </c>
      <c r="K243" s="75">
        <v>4.1139240506329111E-2</v>
      </c>
      <c r="L243" s="67">
        <v>27</v>
      </c>
    </row>
    <row r="244" spans="1:12" x14ac:dyDescent="0.3">
      <c r="A244" s="74">
        <v>45805</v>
      </c>
      <c r="B244" s="67">
        <v>320</v>
      </c>
      <c r="C244" s="67">
        <v>6080</v>
      </c>
      <c r="D244" s="67">
        <v>11</v>
      </c>
      <c r="E244" s="67">
        <v>5</v>
      </c>
      <c r="F244" s="67">
        <v>2</v>
      </c>
      <c r="G244" s="67">
        <v>1</v>
      </c>
      <c r="H244" s="67">
        <v>13</v>
      </c>
      <c r="I244" s="67">
        <v>2</v>
      </c>
      <c r="J244" s="67">
        <v>19</v>
      </c>
      <c r="K244" s="75">
        <v>5.9374999999999997E-2</v>
      </c>
      <c r="L244" s="67">
        <v>15</v>
      </c>
    </row>
    <row r="245" spans="1:12" x14ac:dyDescent="0.3">
      <c r="A245" s="74">
        <v>45806</v>
      </c>
      <c r="B245" s="67">
        <v>378</v>
      </c>
      <c r="C245" s="67">
        <v>11340</v>
      </c>
      <c r="D245" s="67">
        <v>13</v>
      </c>
      <c r="E245" s="67">
        <v>5</v>
      </c>
      <c r="F245" s="67">
        <v>2</v>
      </c>
      <c r="G245" s="67">
        <v>2</v>
      </c>
      <c r="H245" s="67">
        <v>22</v>
      </c>
      <c r="I245" s="67">
        <v>4</v>
      </c>
      <c r="J245" s="67">
        <v>22</v>
      </c>
      <c r="K245" s="75">
        <v>5.8201058201058198E-2</v>
      </c>
      <c r="L245" s="67">
        <v>26</v>
      </c>
    </row>
    <row r="246" spans="1:12" x14ac:dyDescent="0.3">
      <c r="A246" s="74">
        <v>45807</v>
      </c>
      <c r="B246" s="67">
        <v>561</v>
      </c>
      <c r="C246" s="67">
        <v>10659</v>
      </c>
      <c r="D246" s="67">
        <v>15</v>
      </c>
      <c r="E246" s="67">
        <v>8</v>
      </c>
      <c r="F246" s="67">
        <v>2</v>
      </c>
      <c r="G246" s="67">
        <v>2</v>
      </c>
      <c r="H246" s="67">
        <v>26</v>
      </c>
      <c r="I246" s="67">
        <v>4</v>
      </c>
      <c r="J246" s="67">
        <v>27</v>
      </c>
      <c r="K246" s="75">
        <v>4.8128342245989303E-2</v>
      </c>
      <c r="L246" s="67">
        <v>30</v>
      </c>
    </row>
    <row r="247" spans="1:12" x14ac:dyDescent="0.3">
      <c r="A247" s="74">
        <v>45808</v>
      </c>
      <c r="B247" s="67">
        <v>784</v>
      </c>
      <c r="C247" s="67">
        <v>21952</v>
      </c>
      <c r="D247" s="67">
        <v>24</v>
      </c>
      <c r="E247" s="67">
        <v>12</v>
      </c>
      <c r="F247" s="67">
        <v>3</v>
      </c>
      <c r="G247" s="67">
        <v>4</v>
      </c>
      <c r="H247" s="67">
        <v>51</v>
      </c>
      <c r="I247" s="67">
        <v>16</v>
      </c>
      <c r="J247" s="67">
        <v>43</v>
      </c>
      <c r="K247" s="75">
        <v>5.4846938775510203E-2</v>
      </c>
      <c r="L247" s="67">
        <v>67</v>
      </c>
    </row>
    <row r="248" spans="1:12" x14ac:dyDescent="0.3">
      <c r="A248" s="74">
        <v>45809</v>
      </c>
      <c r="B248" s="67">
        <v>577</v>
      </c>
      <c r="C248" s="67">
        <v>10963</v>
      </c>
      <c r="D248" s="67">
        <v>15</v>
      </c>
      <c r="E248" s="67">
        <v>7</v>
      </c>
      <c r="F248" s="67">
        <v>2</v>
      </c>
      <c r="G248" s="67">
        <v>1</v>
      </c>
      <c r="H248" s="67">
        <v>35</v>
      </c>
      <c r="I248" s="67">
        <v>5</v>
      </c>
      <c r="J248" s="67">
        <v>25</v>
      </c>
      <c r="K248" s="75">
        <v>4.3327556325823226E-2</v>
      </c>
      <c r="L248" s="67">
        <v>40</v>
      </c>
    </row>
    <row r="249" spans="1:12" x14ac:dyDescent="0.3">
      <c r="A249" s="74">
        <v>45810</v>
      </c>
      <c r="B249" s="67">
        <v>403</v>
      </c>
      <c r="C249" s="67">
        <v>9269</v>
      </c>
      <c r="D249" s="67">
        <v>12</v>
      </c>
      <c r="E249" s="67">
        <v>5</v>
      </c>
      <c r="F249" s="67">
        <v>2</v>
      </c>
      <c r="G249" s="67">
        <v>2</v>
      </c>
      <c r="H249" s="67">
        <v>21</v>
      </c>
      <c r="I249" s="67">
        <v>4</v>
      </c>
      <c r="J249" s="67">
        <v>21</v>
      </c>
      <c r="K249" s="75">
        <v>5.2109181141439205E-2</v>
      </c>
      <c r="L249" s="67">
        <v>25</v>
      </c>
    </row>
    <row r="250" spans="1:12" x14ac:dyDescent="0.3">
      <c r="A250" s="74">
        <v>45811</v>
      </c>
      <c r="B250" s="67">
        <v>340</v>
      </c>
      <c r="C250" s="67">
        <v>11220</v>
      </c>
      <c r="D250" s="67">
        <v>15</v>
      </c>
      <c r="E250" s="67">
        <v>6</v>
      </c>
      <c r="F250" s="67">
        <v>1</v>
      </c>
      <c r="G250" s="67">
        <v>2</v>
      </c>
      <c r="H250" s="67">
        <v>25</v>
      </c>
      <c r="I250" s="67">
        <v>4</v>
      </c>
      <c r="J250" s="67">
        <v>24</v>
      </c>
      <c r="K250" s="75">
        <v>7.0588235294117646E-2</v>
      </c>
      <c r="L250" s="67">
        <v>29</v>
      </c>
    </row>
    <row r="251" spans="1:12" x14ac:dyDescent="0.3">
      <c r="A251" s="74">
        <v>45812</v>
      </c>
      <c r="B251" s="67">
        <v>328</v>
      </c>
      <c r="C251" s="67">
        <v>6560</v>
      </c>
      <c r="D251" s="67">
        <v>10</v>
      </c>
      <c r="E251" s="67">
        <v>4</v>
      </c>
      <c r="F251" s="67">
        <v>1</v>
      </c>
      <c r="G251" s="67">
        <v>1</v>
      </c>
      <c r="H251" s="67">
        <v>22</v>
      </c>
      <c r="I251" s="67">
        <v>3</v>
      </c>
      <c r="J251" s="67">
        <v>16</v>
      </c>
      <c r="K251" s="75">
        <v>4.878048780487805E-2</v>
      </c>
      <c r="L251" s="67">
        <v>25</v>
      </c>
    </row>
    <row r="252" spans="1:12" x14ac:dyDescent="0.3">
      <c r="A252" s="74">
        <v>45813</v>
      </c>
      <c r="B252" s="67">
        <v>1176</v>
      </c>
      <c r="C252" s="67">
        <v>24696</v>
      </c>
      <c r="D252" s="67">
        <v>39</v>
      </c>
      <c r="E252" s="67">
        <v>14</v>
      </c>
      <c r="F252" s="67">
        <v>5</v>
      </c>
      <c r="G252" s="67">
        <v>3</v>
      </c>
      <c r="H252" s="67">
        <v>72</v>
      </c>
      <c r="I252" s="67">
        <v>11</v>
      </c>
      <c r="J252" s="67">
        <v>61</v>
      </c>
      <c r="K252" s="75">
        <v>5.187074829931973E-2</v>
      </c>
      <c r="L252" s="67">
        <v>83</v>
      </c>
    </row>
    <row r="253" spans="1:12" x14ac:dyDescent="0.3">
      <c r="A253" s="74">
        <v>45814</v>
      </c>
      <c r="B253" s="67">
        <v>357</v>
      </c>
      <c r="C253" s="67">
        <v>9996</v>
      </c>
      <c r="D253" s="67">
        <v>14</v>
      </c>
      <c r="E253" s="67">
        <v>7</v>
      </c>
      <c r="F253" s="67">
        <v>2</v>
      </c>
      <c r="G253" s="67">
        <v>2</v>
      </c>
      <c r="H253" s="67">
        <v>16</v>
      </c>
      <c r="I253" s="67">
        <v>3</v>
      </c>
      <c r="J253" s="67">
        <v>25</v>
      </c>
      <c r="K253" s="75">
        <v>7.0028011204481794E-2</v>
      </c>
      <c r="L253" s="67">
        <v>19</v>
      </c>
    </row>
    <row r="254" spans="1:12" x14ac:dyDescent="0.3">
      <c r="A254" s="74">
        <v>45815</v>
      </c>
      <c r="B254" s="67">
        <v>501</v>
      </c>
      <c r="C254" s="67">
        <v>12024</v>
      </c>
      <c r="D254" s="67">
        <v>17</v>
      </c>
      <c r="E254" s="67">
        <v>7</v>
      </c>
      <c r="F254" s="67">
        <v>2</v>
      </c>
      <c r="G254" s="67">
        <v>2</v>
      </c>
      <c r="H254" s="67">
        <v>38</v>
      </c>
      <c r="I254" s="67">
        <v>5</v>
      </c>
      <c r="J254" s="67">
        <v>28</v>
      </c>
      <c r="K254" s="75">
        <v>5.588822355289421E-2</v>
      </c>
      <c r="L254" s="67">
        <v>43</v>
      </c>
    </row>
    <row r="255" spans="1:12" x14ac:dyDescent="0.3">
      <c r="A255" s="74">
        <v>45816</v>
      </c>
      <c r="B255" s="67">
        <v>509</v>
      </c>
      <c r="C255" s="67">
        <v>14252</v>
      </c>
      <c r="D255" s="67">
        <v>12</v>
      </c>
      <c r="E255" s="67">
        <v>5</v>
      </c>
      <c r="F255" s="67">
        <v>2</v>
      </c>
      <c r="G255" s="67">
        <v>1</v>
      </c>
      <c r="H255" s="67">
        <v>26</v>
      </c>
      <c r="I255" s="67">
        <v>5</v>
      </c>
      <c r="J255" s="67">
        <v>20</v>
      </c>
      <c r="K255" s="75">
        <v>3.9292730844793712E-2</v>
      </c>
      <c r="L255" s="67">
        <v>31</v>
      </c>
    </row>
    <row r="256" spans="1:12" x14ac:dyDescent="0.3">
      <c r="A256" s="74">
        <v>45817</v>
      </c>
      <c r="B256" s="67">
        <v>384</v>
      </c>
      <c r="C256" s="67">
        <v>11136</v>
      </c>
      <c r="D256" s="67">
        <v>15</v>
      </c>
      <c r="E256" s="67">
        <v>7</v>
      </c>
      <c r="F256" s="67">
        <v>3</v>
      </c>
      <c r="G256" s="67">
        <v>2</v>
      </c>
      <c r="H256" s="67">
        <v>28</v>
      </c>
      <c r="I256" s="67">
        <v>5</v>
      </c>
      <c r="J256" s="67">
        <v>27</v>
      </c>
      <c r="K256" s="75">
        <v>7.03125E-2</v>
      </c>
      <c r="L256" s="67">
        <v>33</v>
      </c>
    </row>
    <row r="257" spans="1:12" x14ac:dyDescent="0.3">
      <c r="A257" s="74">
        <v>45818</v>
      </c>
      <c r="B257" s="67">
        <v>419</v>
      </c>
      <c r="C257" s="67">
        <v>10056</v>
      </c>
      <c r="D257" s="67">
        <v>14</v>
      </c>
      <c r="E257" s="67">
        <v>5</v>
      </c>
      <c r="F257" s="67">
        <v>2</v>
      </c>
      <c r="G257" s="67">
        <v>1</v>
      </c>
      <c r="H257" s="67">
        <v>22</v>
      </c>
      <c r="I257" s="67">
        <v>3</v>
      </c>
      <c r="J257" s="67">
        <v>22</v>
      </c>
      <c r="K257" s="75">
        <v>5.2505966587112173E-2</v>
      </c>
      <c r="L257" s="67">
        <v>25</v>
      </c>
    </row>
    <row r="258" spans="1:12" x14ac:dyDescent="0.3">
      <c r="A258" s="74">
        <v>45819</v>
      </c>
      <c r="B258" s="67">
        <v>436</v>
      </c>
      <c r="C258" s="67">
        <v>10900</v>
      </c>
      <c r="D258" s="67">
        <v>9</v>
      </c>
      <c r="E258" s="67">
        <v>4</v>
      </c>
      <c r="F258" s="67">
        <v>1</v>
      </c>
      <c r="G258" s="67">
        <v>1</v>
      </c>
      <c r="H258" s="67">
        <v>17</v>
      </c>
      <c r="I258" s="67">
        <v>3</v>
      </c>
      <c r="J258" s="67">
        <v>15</v>
      </c>
      <c r="K258" s="75">
        <v>3.4403669724770644E-2</v>
      </c>
      <c r="L258" s="67">
        <v>20</v>
      </c>
    </row>
    <row r="259" spans="1:12" x14ac:dyDescent="0.3">
      <c r="A259" s="74">
        <v>45820</v>
      </c>
      <c r="B259" s="67">
        <v>431</v>
      </c>
      <c r="C259" s="67">
        <v>11637</v>
      </c>
      <c r="D259" s="67">
        <v>11</v>
      </c>
      <c r="E259" s="67">
        <v>6</v>
      </c>
      <c r="F259" s="67">
        <v>2</v>
      </c>
      <c r="G259" s="67">
        <v>1</v>
      </c>
      <c r="H259" s="67">
        <v>23</v>
      </c>
      <c r="I259" s="67">
        <v>4</v>
      </c>
      <c r="J259" s="67">
        <v>20</v>
      </c>
      <c r="K259" s="75">
        <v>4.6403712296983757E-2</v>
      </c>
      <c r="L259" s="67">
        <v>27</v>
      </c>
    </row>
    <row r="260" spans="1:12" x14ac:dyDescent="0.3">
      <c r="A260" s="74">
        <v>45821</v>
      </c>
      <c r="B260" s="67">
        <v>424</v>
      </c>
      <c r="C260" s="67">
        <v>10600</v>
      </c>
      <c r="D260" s="67">
        <v>10</v>
      </c>
      <c r="E260" s="67">
        <v>4</v>
      </c>
      <c r="F260" s="67">
        <v>1</v>
      </c>
      <c r="G260" s="67">
        <v>1</v>
      </c>
      <c r="H260" s="67">
        <v>24</v>
      </c>
      <c r="I260" s="67">
        <v>3</v>
      </c>
      <c r="J260" s="67">
        <v>16</v>
      </c>
      <c r="K260" s="75">
        <v>3.7735849056603772E-2</v>
      </c>
      <c r="L260" s="67">
        <v>27</v>
      </c>
    </row>
    <row r="261" spans="1:12" x14ac:dyDescent="0.3">
      <c r="A261" s="74">
        <v>45822</v>
      </c>
      <c r="B261" s="67">
        <v>501</v>
      </c>
      <c r="C261" s="67">
        <v>12024</v>
      </c>
      <c r="D261" s="67">
        <v>21</v>
      </c>
      <c r="E261" s="67">
        <v>10</v>
      </c>
      <c r="F261" s="67">
        <v>2</v>
      </c>
      <c r="G261" s="67">
        <v>2</v>
      </c>
      <c r="H261" s="67">
        <v>36</v>
      </c>
      <c r="I261" s="67">
        <v>5</v>
      </c>
      <c r="J261" s="67">
        <v>35</v>
      </c>
      <c r="K261" s="75">
        <v>6.9860279441117765E-2</v>
      </c>
      <c r="L261" s="67">
        <v>41</v>
      </c>
    </row>
    <row r="262" spans="1:12" x14ac:dyDescent="0.3">
      <c r="A262" s="74">
        <v>45823</v>
      </c>
      <c r="B262" s="67">
        <v>532</v>
      </c>
      <c r="C262" s="67">
        <v>13832</v>
      </c>
      <c r="D262" s="67">
        <v>22</v>
      </c>
      <c r="E262" s="67">
        <v>8</v>
      </c>
      <c r="F262" s="67">
        <v>2</v>
      </c>
      <c r="G262" s="67">
        <v>3</v>
      </c>
      <c r="H262" s="67">
        <v>25</v>
      </c>
      <c r="I262" s="67">
        <v>4</v>
      </c>
      <c r="J262" s="67">
        <v>35</v>
      </c>
      <c r="K262" s="75">
        <v>6.5789473684210523E-2</v>
      </c>
      <c r="L262" s="67">
        <v>29</v>
      </c>
    </row>
    <row r="263" spans="1:12" x14ac:dyDescent="0.3">
      <c r="A263" s="74">
        <v>45824</v>
      </c>
      <c r="B263" s="67">
        <v>985</v>
      </c>
      <c r="C263" s="67">
        <v>29550</v>
      </c>
      <c r="D263" s="67">
        <v>30</v>
      </c>
      <c r="E263" s="67">
        <v>13</v>
      </c>
      <c r="F263" s="67">
        <v>4</v>
      </c>
      <c r="G263" s="67">
        <v>3</v>
      </c>
      <c r="H263" s="67">
        <v>42</v>
      </c>
      <c r="I263" s="67">
        <v>11</v>
      </c>
      <c r="J263" s="67">
        <v>50</v>
      </c>
      <c r="K263" s="75">
        <v>5.0761421319796954E-2</v>
      </c>
      <c r="L263" s="67">
        <v>53</v>
      </c>
    </row>
    <row r="264" spans="1:12" x14ac:dyDescent="0.3">
      <c r="A264" s="74">
        <v>45825</v>
      </c>
      <c r="B264" s="67">
        <v>856</v>
      </c>
      <c r="C264" s="67">
        <v>18832</v>
      </c>
      <c r="D264" s="67">
        <v>28</v>
      </c>
      <c r="E264" s="67">
        <v>13</v>
      </c>
      <c r="F264" s="67">
        <v>3</v>
      </c>
      <c r="G264" s="67">
        <v>3</v>
      </c>
      <c r="H264" s="67">
        <v>42</v>
      </c>
      <c r="I264" s="67">
        <v>9</v>
      </c>
      <c r="J264" s="67">
        <v>47</v>
      </c>
      <c r="K264" s="75">
        <v>5.4906542056074766E-2</v>
      </c>
      <c r="L264" s="67">
        <v>51</v>
      </c>
    </row>
    <row r="265" spans="1:12" x14ac:dyDescent="0.3">
      <c r="A265" s="74">
        <v>45826</v>
      </c>
      <c r="B265" s="67">
        <v>1220</v>
      </c>
      <c r="C265" s="67">
        <v>29280</v>
      </c>
      <c r="D265" s="67">
        <v>30</v>
      </c>
      <c r="E265" s="67">
        <v>13</v>
      </c>
      <c r="F265" s="67">
        <v>3</v>
      </c>
      <c r="G265" s="67">
        <v>4</v>
      </c>
      <c r="H265" s="67">
        <v>82</v>
      </c>
      <c r="I265" s="67">
        <v>14</v>
      </c>
      <c r="J265" s="67">
        <v>50</v>
      </c>
      <c r="K265" s="75">
        <v>4.0983606557377046E-2</v>
      </c>
      <c r="L265" s="67">
        <v>96</v>
      </c>
    </row>
    <row r="266" spans="1:12" x14ac:dyDescent="0.3">
      <c r="A266" s="74">
        <v>45827</v>
      </c>
      <c r="B266" s="67">
        <v>859</v>
      </c>
      <c r="C266" s="67">
        <v>20616</v>
      </c>
      <c r="D266" s="67">
        <v>21</v>
      </c>
      <c r="E266" s="67">
        <v>9</v>
      </c>
      <c r="F266" s="67">
        <v>3</v>
      </c>
      <c r="G266" s="67">
        <v>3</v>
      </c>
      <c r="H266" s="67">
        <v>44</v>
      </c>
      <c r="I266" s="67">
        <v>6</v>
      </c>
      <c r="J266" s="67">
        <v>36</v>
      </c>
      <c r="K266" s="75">
        <v>4.190919674039581E-2</v>
      </c>
      <c r="L266" s="67">
        <v>50</v>
      </c>
    </row>
    <row r="267" spans="1:12" x14ac:dyDescent="0.3">
      <c r="A267" s="74">
        <v>45828</v>
      </c>
      <c r="B267" s="67">
        <v>464</v>
      </c>
      <c r="C267" s="67">
        <v>14848</v>
      </c>
      <c r="D267" s="67">
        <v>12</v>
      </c>
      <c r="E267" s="67">
        <v>6</v>
      </c>
      <c r="F267" s="67">
        <v>1</v>
      </c>
      <c r="G267" s="67">
        <v>2</v>
      </c>
      <c r="H267" s="67">
        <v>35</v>
      </c>
      <c r="I267" s="67">
        <v>6</v>
      </c>
      <c r="J267" s="67">
        <v>21</v>
      </c>
      <c r="K267" s="75">
        <v>4.5258620689655173E-2</v>
      </c>
      <c r="L267" s="67">
        <v>41</v>
      </c>
    </row>
    <row r="268" spans="1:12" x14ac:dyDescent="0.3">
      <c r="A268" s="74">
        <v>45829</v>
      </c>
      <c r="B268" s="67">
        <v>567</v>
      </c>
      <c r="C268" s="67">
        <v>13041</v>
      </c>
      <c r="D268" s="67">
        <v>18</v>
      </c>
      <c r="E268" s="67">
        <v>8</v>
      </c>
      <c r="F268" s="67">
        <v>3</v>
      </c>
      <c r="G268" s="67">
        <v>2</v>
      </c>
      <c r="H268" s="67">
        <v>36</v>
      </c>
      <c r="I268" s="67">
        <v>6</v>
      </c>
      <c r="J268" s="67">
        <v>31</v>
      </c>
      <c r="K268" s="75">
        <v>5.4673721340388004E-2</v>
      </c>
      <c r="L268" s="67">
        <v>42</v>
      </c>
    </row>
    <row r="269" spans="1:12" x14ac:dyDescent="0.3">
      <c r="A269" s="74">
        <v>45830</v>
      </c>
      <c r="B269" s="67">
        <v>479</v>
      </c>
      <c r="C269" s="67">
        <v>14849</v>
      </c>
      <c r="D269" s="67">
        <v>19</v>
      </c>
      <c r="E269" s="67">
        <v>10</v>
      </c>
      <c r="F269" s="67">
        <v>3</v>
      </c>
      <c r="G269" s="67">
        <v>2</v>
      </c>
      <c r="H269" s="67">
        <v>20</v>
      </c>
      <c r="I269" s="67">
        <v>2</v>
      </c>
      <c r="J269" s="67">
        <v>34</v>
      </c>
      <c r="K269" s="75">
        <v>7.0981210855949897E-2</v>
      </c>
      <c r="L269" s="67">
        <v>22</v>
      </c>
    </row>
    <row r="270" spans="1:12" x14ac:dyDescent="0.3">
      <c r="A270" s="74">
        <v>45831</v>
      </c>
      <c r="B270" s="67">
        <v>482</v>
      </c>
      <c r="C270" s="67">
        <v>13496</v>
      </c>
      <c r="D270" s="67">
        <v>20</v>
      </c>
      <c r="E270" s="67">
        <v>9</v>
      </c>
      <c r="F270" s="67">
        <v>3</v>
      </c>
      <c r="G270" s="67">
        <v>2</v>
      </c>
      <c r="H270" s="67">
        <v>19</v>
      </c>
      <c r="I270" s="67">
        <v>2</v>
      </c>
      <c r="J270" s="67">
        <v>34</v>
      </c>
      <c r="K270" s="75">
        <v>7.0539419087136929E-2</v>
      </c>
      <c r="L270" s="67">
        <v>21</v>
      </c>
    </row>
    <row r="271" spans="1:12" x14ac:dyDescent="0.3">
      <c r="A271" s="74">
        <v>45832</v>
      </c>
      <c r="B271" s="67">
        <v>413</v>
      </c>
      <c r="C271" s="67">
        <v>12390</v>
      </c>
      <c r="D271" s="67">
        <v>13</v>
      </c>
      <c r="E271" s="67">
        <v>6</v>
      </c>
      <c r="F271" s="67">
        <v>2</v>
      </c>
      <c r="G271" s="67">
        <v>1</v>
      </c>
      <c r="H271" s="67">
        <v>20</v>
      </c>
      <c r="I271" s="67">
        <v>3</v>
      </c>
      <c r="J271" s="67">
        <v>22</v>
      </c>
      <c r="K271" s="75">
        <v>5.3268765133171914E-2</v>
      </c>
      <c r="L271" s="67">
        <v>23</v>
      </c>
    </row>
    <row r="272" spans="1:12" x14ac:dyDescent="0.3">
      <c r="A272" s="74">
        <v>45833</v>
      </c>
      <c r="B272" s="67">
        <v>411</v>
      </c>
      <c r="C272" s="67">
        <v>11919</v>
      </c>
      <c r="D272" s="67">
        <v>17</v>
      </c>
      <c r="E272" s="67">
        <v>7</v>
      </c>
      <c r="F272" s="67">
        <v>2</v>
      </c>
      <c r="G272" s="67">
        <v>2</v>
      </c>
      <c r="H272" s="67">
        <v>22</v>
      </c>
      <c r="I272" s="67">
        <v>3</v>
      </c>
      <c r="J272" s="67">
        <v>28</v>
      </c>
      <c r="K272" s="75">
        <v>6.8126520681265207E-2</v>
      </c>
      <c r="L272" s="67">
        <v>25</v>
      </c>
    </row>
    <row r="273" spans="1:12" x14ac:dyDescent="0.3">
      <c r="A273" s="74">
        <v>45834</v>
      </c>
      <c r="B273" s="67">
        <v>495</v>
      </c>
      <c r="C273" s="67">
        <v>12375</v>
      </c>
      <c r="D273" s="67">
        <v>11</v>
      </c>
      <c r="E273" s="67">
        <v>6</v>
      </c>
      <c r="F273" s="67">
        <v>2</v>
      </c>
      <c r="G273" s="67">
        <v>1</v>
      </c>
      <c r="H273" s="67">
        <v>39</v>
      </c>
      <c r="I273" s="67">
        <v>4</v>
      </c>
      <c r="J273" s="67">
        <v>20</v>
      </c>
      <c r="K273" s="75">
        <v>4.0404040404040407E-2</v>
      </c>
      <c r="L273" s="67">
        <v>43</v>
      </c>
    </row>
    <row r="274" spans="1:12" x14ac:dyDescent="0.3">
      <c r="A274" s="74">
        <v>45835</v>
      </c>
      <c r="B274" s="67">
        <v>424</v>
      </c>
      <c r="C274" s="67">
        <v>11024</v>
      </c>
      <c r="D274" s="67">
        <v>15</v>
      </c>
      <c r="E274" s="67">
        <v>7</v>
      </c>
      <c r="F274" s="67">
        <v>2</v>
      </c>
      <c r="G274" s="67">
        <v>2</v>
      </c>
      <c r="H274" s="67">
        <v>21</v>
      </c>
      <c r="I274" s="67">
        <v>4</v>
      </c>
      <c r="J274" s="67">
        <v>26</v>
      </c>
      <c r="K274" s="75">
        <v>6.1320754716981132E-2</v>
      </c>
      <c r="L274" s="67">
        <v>25</v>
      </c>
    </row>
    <row r="275" spans="1:12" x14ac:dyDescent="0.3">
      <c r="A275" s="74">
        <v>45836</v>
      </c>
      <c r="B275" s="67">
        <v>558</v>
      </c>
      <c r="C275" s="67">
        <v>16182</v>
      </c>
      <c r="D275" s="67">
        <v>13</v>
      </c>
      <c r="E275" s="67">
        <v>6</v>
      </c>
      <c r="F275" s="67">
        <v>1</v>
      </c>
      <c r="G275" s="67">
        <v>1</v>
      </c>
      <c r="H275" s="67">
        <v>25</v>
      </c>
      <c r="I275" s="67">
        <v>4</v>
      </c>
      <c r="J275" s="67">
        <v>21</v>
      </c>
      <c r="K275" s="75">
        <v>3.7634408602150539E-2</v>
      </c>
      <c r="L275" s="67">
        <v>29</v>
      </c>
    </row>
    <row r="276" spans="1:12" x14ac:dyDescent="0.3">
      <c r="A276" s="74">
        <v>45837</v>
      </c>
      <c r="B276" s="67">
        <v>508</v>
      </c>
      <c r="C276" s="67">
        <v>14224</v>
      </c>
      <c r="D276" s="67">
        <v>18</v>
      </c>
      <c r="E276" s="67">
        <v>9</v>
      </c>
      <c r="F276" s="67">
        <v>3</v>
      </c>
      <c r="G276" s="67">
        <v>3</v>
      </c>
      <c r="H276" s="67">
        <v>29</v>
      </c>
      <c r="I276" s="67">
        <v>3</v>
      </c>
      <c r="J276" s="67">
        <v>33</v>
      </c>
      <c r="K276" s="75">
        <v>6.4960629921259838E-2</v>
      </c>
      <c r="L276" s="67">
        <v>32</v>
      </c>
    </row>
    <row r="277" spans="1:12" x14ac:dyDescent="0.3">
      <c r="A277" s="74">
        <v>45838</v>
      </c>
      <c r="B277" s="67">
        <v>387</v>
      </c>
      <c r="C277" s="67">
        <v>6966</v>
      </c>
      <c r="D277" s="67">
        <v>12</v>
      </c>
      <c r="E277" s="67">
        <v>5</v>
      </c>
      <c r="F277" s="67">
        <v>2</v>
      </c>
      <c r="G277" s="67">
        <v>1</v>
      </c>
      <c r="H277" s="67">
        <v>29</v>
      </c>
      <c r="I277" s="67">
        <v>3</v>
      </c>
      <c r="J277" s="67">
        <v>20</v>
      </c>
      <c r="K277" s="75">
        <v>5.1679586563307491E-2</v>
      </c>
      <c r="L277" s="67">
        <v>32</v>
      </c>
    </row>
    <row r="278" spans="1:12" x14ac:dyDescent="0.3">
      <c r="A278" s="74">
        <v>45839</v>
      </c>
      <c r="B278" s="67">
        <v>426</v>
      </c>
      <c r="C278" s="67">
        <v>11502</v>
      </c>
      <c r="D278" s="67">
        <v>19</v>
      </c>
      <c r="E278" s="67">
        <v>7</v>
      </c>
      <c r="F278" s="67">
        <v>2</v>
      </c>
      <c r="G278" s="67">
        <v>3</v>
      </c>
      <c r="H278" s="67">
        <v>28</v>
      </c>
      <c r="I278" s="67">
        <v>5</v>
      </c>
      <c r="J278" s="67">
        <v>31</v>
      </c>
      <c r="K278" s="75">
        <v>7.2769953051643188E-2</v>
      </c>
      <c r="L278" s="67">
        <v>33</v>
      </c>
    </row>
    <row r="279" spans="1:12" x14ac:dyDescent="0.3">
      <c r="A279" s="74">
        <v>45840</v>
      </c>
      <c r="B279" s="67">
        <v>409</v>
      </c>
      <c r="C279" s="67">
        <v>9816</v>
      </c>
      <c r="D279" s="67">
        <v>12</v>
      </c>
      <c r="E279" s="67">
        <v>5</v>
      </c>
      <c r="F279" s="67">
        <v>1</v>
      </c>
      <c r="G279" s="67">
        <v>1</v>
      </c>
      <c r="H279" s="67">
        <v>26</v>
      </c>
      <c r="I279" s="67">
        <v>5</v>
      </c>
      <c r="J279" s="67">
        <v>19</v>
      </c>
      <c r="K279" s="75">
        <v>4.6454767726161368E-2</v>
      </c>
      <c r="L279" s="67">
        <v>31</v>
      </c>
    </row>
    <row r="280" spans="1:12" x14ac:dyDescent="0.3">
      <c r="A280" s="74">
        <v>45841</v>
      </c>
      <c r="B280" s="67">
        <v>503</v>
      </c>
      <c r="C280" s="67">
        <v>16096</v>
      </c>
      <c r="D280" s="67">
        <v>18</v>
      </c>
      <c r="E280" s="67">
        <v>7</v>
      </c>
      <c r="F280" s="67">
        <v>3</v>
      </c>
      <c r="G280" s="67">
        <v>2</v>
      </c>
      <c r="H280" s="67">
        <v>36</v>
      </c>
      <c r="I280" s="67">
        <v>6</v>
      </c>
      <c r="J280" s="67">
        <v>30</v>
      </c>
      <c r="K280" s="75">
        <v>5.9642147117296221E-2</v>
      </c>
      <c r="L280" s="67">
        <v>42</v>
      </c>
    </row>
    <row r="281" spans="1:12" x14ac:dyDescent="0.3">
      <c r="A281" s="74">
        <v>45842</v>
      </c>
      <c r="B281" s="67">
        <v>485</v>
      </c>
      <c r="C281" s="67">
        <v>14550</v>
      </c>
      <c r="D281" s="67">
        <v>19</v>
      </c>
      <c r="E281" s="67">
        <v>10</v>
      </c>
      <c r="F281" s="67">
        <v>3</v>
      </c>
      <c r="G281" s="67">
        <v>2</v>
      </c>
      <c r="H281" s="67">
        <v>26</v>
      </c>
      <c r="I281" s="67">
        <v>4</v>
      </c>
      <c r="J281" s="67">
        <v>34</v>
      </c>
      <c r="K281" s="75">
        <v>7.0103092783505155E-2</v>
      </c>
      <c r="L281" s="67">
        <v>30</v>
      </c>
    </row>
    <row r="282" spans="1:12" x14ac:dyDescent="0.3">
      <c r="A282" s="74">
        <v>45843</v>
      </c>
      <c r="B282" s="67">
        <v>576</v>
      </c>
      <c r="C282" s="67">
        <v>17856</v>
      </c>
      <c r="D282" s="67">
        <v>22</v>
      </c>
      <c r="E282" s="67">
        <v>9</v>
      </c>
      <c r="F282" s="67">
        <v>3</v>
      </c>
      <c r="G282" s="67">
        <v>3</v>
      </c>
      <c r="H282" s="67">
        <v>29</v>
      </c>
      <c r="I282" s="67">
        <v>3</v>
      </c>
      <c r="J282" s="67">
        <v>37</v>
      </c>
      <c r="K282" s="75">
        <v>6.4236111111111105E-2</v>
      </c>
      <c r="L282" s="67">
        <v>32</v>
      </c>
    </row>
    <row r="283" spans="1:12" x14ac:dyDescent="0.3">
      <c r="A283" s="74">
        <v>45844</v>
      </c>
      <c r="B283" s="67">
        <v>534</v>
      </c>
      <c r="C283" s="67">
        <v>17622</v>
      </c>
      <c r="D283" s="67">
        <v>21</v>
      </c>
      <c r="E283" s="67">
        <v>8</v>
      </c>
      <c r="F283" s="67">
        <v>2</v>
      </c>
      <c r="G283" s="67">
        <v>3</v>
      </c>
      <c r="H283" s="67">
        <v>40</v>
      </c>
      <c r="I283" s="67">
        <v>7</v>
      </c>
      <c r="J283" s="67">
        <v>34</v>
      </c>
      <c r="K283" s="75">
        <v>6.3670411985018729E-2</v>
      </c>
      <c r="L283" s="67">
        <v>47</v>
      </c>
    </row>
    <row r="284" spans="1:12" x14ac:dyDescent="0.3">
      <c r="A284" s="74">
        <v>45845</v>
      </c>
      <c r="B284" s="67">
        <v>452</v>
      </c>
      <c r="C284" s="67">
        <v>8588</v>
      </c>
      <c r="D284" s="67">
        <v>11</v>
      </c>
      <c r="E284" s="67">
        <v>5</v>
      </c>
      <c r="F284" s="67">
        <v>1</v>
      </c>
      <c r="G284" s="67">
        <v>1</v>
      </c>
      <c r="H284" s="67">
        <v>24</v>
      </c>
      <c r="I284" s="67">
        <v>5</v>
      </c>
      <c r="J284" s="67">
        <v>18</v>
      </c>
      <c r="K284" s="75">
        <v>3.9823008849557522E-2</v>
      </c>
      <c r="L284" s="67">
        <v>29</v>
      </c>
    </row>
    <row r="285" spans="1:12" x14ac:dyDescent="0.3">
      <c r="A285" s="74">
        <v>45846</v>
      </c>
      <c r="B285" s="67">
        <v>389</v>
      </c>
      <c r="C285" s="67">
        <v>9336</v>
      </c>
      <c r="D285" s="67">
        <v>13</v>
      </c>
      <c r="E285" s="67">
        <v>6</v>
      </c>
      <c r="F285" s="67">
        <v>2</v>
      </c>
      <c r="G285" s="67">
        <v>1</v>
      </c>
      <c r="H285" s="67">
        <v>19</v>
      </c>
      <c r="I285" s="67">
        <v>2</v>
      </c>
      <c r="J285" s="67">
        <v>22</v>
      </c>
      <c r="K285" s="75">
        <v>5.6555269922879174E-2</v>
      </c>
      <c r="L285" s="67">
        <v>21</v>
      </c>
    </row>
    <row r="286" spans="1:12" x14ac:dyDescent="0.3">
      <c r="A286" s="74">
        <v>45847</v>
      </c>
      <c r="B286" s="67">
        <v>493</v>
      </c>
      <c r="C286" s="67">
        <v>11339</v>
      </c>
      <c r="D286" s="67">
        <v>16</v>
      </c>
      <c r="E286" s="67">
        <v>7</v>
      </c>
      <c r="F286" s="67">
        <v>2</v>
      </c>
      <c r="G286" s="67">
        <v>2</v>
      </c>
      <c r="H286" s="67">
        <v>34</v>
      </c>
      <c r="I286" s="67">
        <v>6</v>
      </c>
      <c r="J286" s="67">
        <v>27</v>
      </c>
      <c r="K286" s="75">
        <v>5.4766734279918863E-2</v>
      </c>
      <c r="L286" s="67">
        <v>40</v>
      </c>
    </row>
    <row r="287" spans="1:12" x14ac:dyDescent="0.3">
      <c r="A287" s="74">
        <v>45848</v>
      </c>
      <c r="B287" s="67">
        <v>455</v>
      </c>
      <c r="C287" s="67">
        <v>15470</v>
      </c>
      <c r="D287" s="67">
        <v>11</v>
      </c>
      <c r="E287" s="67">
        <v>5</v>
      </c>
      <c r="F287" s="67">
        <v>2</v>
      </c>
      <c r="G287" s="67">
        <v>2</v>
      </c>
      <c r="H287" s="67">
        <v>22</v>
      </c>
      <c r="I287" s="67">
        <v>2</v>
      </c>
      <c r="J287" s="67">
        <v>20</v>
      </c>
      <c r="K287" s="75">
        <v>4.3956043956043959E-2</v>
      </c>
      <c r="L287" s="67">
        <v>24</v>
      </c>
    </row>
    <row r="288" spans="1:12" x14ac:dyDescent="0.3">
      <c r="A288" s="74">
        <v>45849</v>
      </c>
      <c r="B288" s="67">
        <v>488</v>
      </c>
      <c r="C288" s="67">
        <v>14152</v>
      </c>
      <c r="D288" s="67">
        <v>19</v>
      </c>
      <c r="E288" s="67">
        <v>7</v>
      </c>
      <c r="F288" s="67">
        <v>2</v>
      </c>
      <c r="G288" s="67">
        <v>2</v>
      </c>
      <c r="H288" s="67">
        <v>31</v>
      </c>
      <c r="I288" s="67">
        <v>3</v>
      </c>
      <c r="J288" s="67">
        <v>30</v>
      </c>
      <c r="K288" s="75">
        <v>6.1475409836065573E-2</v>
      </c>
      <c r="L288" s="67">
        <v>34</v>
      </c>
    </row>
    <row r="289" spans="1:12" x14ac:dyDescent="0.3">
      <c r="A289" s="74">
        <v>45850</v>
      </c>
      <c r="B289" s="67">
        <v>586</v>
      </c>
      <c r="C289" s="67">
        <v>14064</v>
      </c>
      <c r="D289" s="67">
        <v>18</v>
      </c>
      <c r="E289" s="67">
        <v>8</v>
      </c>
      <c r="F289" s="67">
        <v>2</v>
      </c>
      <c r="G289" s="67">
        <v>2</v>
      </c>
      <c r="H289" s="67">
        <v>36</v>
      </c>
      <c r="I289" s="67">
        <v>7</v>
      </c>
      <c r="J289" s="67">
        <v>30</v>
      </c>
      <c r="K289" s="75">
        <v>5.1194539249146756E-2</v>
      </c>
      <c r="L289" s="67">
        <v>43</v>
      </c>
    </row>
    <row r="290" spans="1:12" x14ac:dyDescent="0.3">
      <c r="A290" s="74">
        <v>45851</v>
      </c>
      <c r="B290" s="67">
        <v>470</v>
      </c>
      <c r="C290" s="67">
        <v>8460</v>
      </c>
      <c r="D290" s="67">
        <v>16</v>
      </c>
      <c r="E290" s="67">
        <v>7</v>
      </c>
      <c r="F290" s="67">
        <v>3</v>
      </c>
      <c r="G290" s="67">
        <v>2</v>
      </c>
      <c r="H290" s="67">
        <v>19</v>
      </c>
      <c r="I290" s="67">
        <v>3</v>
      </c>
      <c r="J290" s="67">
        <v>28</v>
      </c>
      <c r="K290" s="75">
        <v>5.9574468085106386E-2</v>
      </c>
      <c r="L290" s="67">
        <v>22</v>
      </c>
    </row>
    <row r="291" spans="1:12" x14ac:dyDescent="0.3">
      <c r="A291" s="74">
        <v>45852</v>
      </c>
      <c r="B291" s="67">
        <v>518</v>
      </c>
      <c r="C291" s="67">
        <v>13986</v>
      </c>
      <c r="D291" s="67">
        <v>18</v>
      </c>
      <c r="E291" s="67">
        <v>6</v>
      </c>
      <c r="F291" s="67">
        <v>2</v>
      </c>
      <c r="G291" s="67">
        <v>3</v>
      </c>
      <c r="H291" s="67">
        <v>29</v>
      </c>
      <c r="I291" s="67">
        <v>4</v>
      </c>
      <c r="J291" s="67">
        <v>29</v>
      </c>
      <c r="K291" s="75">
        <v>5.5984555984555984E-2</v>
      </c>
      <c r="L291" s="67">
        <v>33</v>
      </c>
    </row>
    <row r="292" spans="1:12" x14ac:dyDescent="0.3">
      <c r="A292" s="74">
        <v>45853</v>
      </c>
      <c r="B292" s="67">
        <v>440</v>
      </c>
      <c r="C292" s="67">
        <v>10560</v>
      </c>
      <c r="D292" s="67">
        <v>12</v>
      </c>
      <c r="E292" s="67">
        <v>4</v>
      </c>
      <c r="F292" s="67">
        <v>2</v>
      </c>
      <c r="G292" s="67">
        <v>2</v>
      </c>
      <c r="H292" s="67">
        <v>24</v>
      </c>
      <c r="I292" s="67">
        <v>3</v>
      </c>
      <c r="J292" s="67">
        <v>20</v>
      </c>
      <c r="K292" s="75">
        <v>4.5454545454545456E-2</v>
      </c>
      <c r="L292" s="67">
        <v>27</v>
      </c>
    </row>
    <row r="293" spans="1:12" x14ac:dyDescent="0.3">
      <c r="A293" s="74">
        <v>45854</v>
      </c>
      <c r="B293" s="67">
        <v>452</v>
      </c>
      <c r="C293" s="67">
        <v>14012</v>
      </c>
      <c r="D293" s="67">
        <v>9</v>
      </c>
      <c r="E293" s="67">
        <v>3</v>
      </c>
      <c r="F293" s="67">
        <v>1</v>
      </c>
      <c r="G293" s="67">
        <v>1</v>
      </c>
      <c r="H293" s="67">
        <v>34</v>
      </c>
      <c r="I293" s="67">
        <v>5</v>
      </c>
      <c r="J293" s="67">
        <v>14</v>
      </c>
      <c r="K293" s="75">
        <v>3.0973451327433628E-2</v>
      </c>
      <c r="L293" s="67">
        <v>39</v>
      </c>
    </row>
    <row r="294" spans="1:12" x14ac:dyDescent="0.3">
      <c r="A294" s="74">
        <v>45855</v>
      </c>
      <c r="B294" s="67">
        <v>504</v>
      </c>
      <c r="C294" s="67">
        <v>14616</v>
      </c>
      <c r="D294" s="67">
        <v>22</v>
      </c>
      <c r="E294" s="67">
        <v>9</v>
      </c>
      <c r="F294" s="67">
        <v>3</v>
      </c>
      <c r="G294" s="67">
        <v>3</v>
      </c>
      <c r="H294" s="67">
        <v>22</v>
      </c>
      <c r="I294" s="67">
        <v>3</v>
      </c>
      <c r="J294" s="67">
        <v>37</v>
      </c>
      <c r="K294" s="75">
        <v>7.3412698412698416E-2</v>
      </c>
      <c r="L294" s="67">
        <v>25</v>
      </c>
    </row>
    <row r="295" spans="1:12" x14ac:dyDescent="0.3">
      <c r="A295" s="74">
        <v>45856</v>
      </c>
      <c r="B295" s="67">
        <v>417</v>
      </c>
      <c r="C295" s="67">
        <v>10842</v>
      </c>
      <c r="D295" s="67">
        <v>10</v>
      </c>
      <c r="E295" s="67">
        <v>3</v>
      </c>
      <c r="F295" s="67">
        <v>1</v>
      </c>
      <c r="G295" s="67">
        <v>1</v>
      </c>
      <c r="H295" s="67">
        <v>26</v>
      </c>
      <c r="I295" s="67">
        <v>4</v>
      </c>
      <c r="J295" s="67">
        <v>15</v>
      </c>
      <c r="K295" s="75">
        <v>3.5971223021582732E-2</v>
      </c>
      <c r="L295" s="67">
        <v>30</v>
      </c>
    </row>
    <row r="296" spans="1:12" x14ac:dyDescent="0.3">
      <c r="A296" s="74">
        <v>45857</v>
      </c>
      <c r="B296" s="67">
        <v>508</v>
      </c>
      <c r="C296" s="67">
        <v>10160</v>
      </c>
      <c r="D296" s="67">
        <v>11</v>
      </c>
      <c r="E296" s="67">
        <v>4</v>
      </c>
      <c r="F296" s="67">
        <v>2</v>
      </c>
      <c r="G296" s="67">
        <v>2</v>
      </c>
      <c r="H296" s="67">
        <v>23</v>
      </c>
      <c r="I296" s="67">
        <v>3</v>
      </c>
      <c r="J296" s="67">
        <v>19</v>
      </c>
      <c r="K296" s="75">
        <v>3.7401574803149609E-2</v>
      </c>
      <c r="L296" s="67">
        <v>26</v>
      </c>
    </row>
    <row r="297" spans="1:12" x14ac:dyDescent="0.3">
      <c r="A297" s="74">
        <v>45858</v>
      </c>
      <c r="B297" s="67">
        <v>634</v>
      </c>
      <c r="C297" s="67">
        <v>13948</v>
      </c>
      <c r="D297" s="67">
        <v>18</v>
      </c>
      <c r="E297" s="67">
        <v>8</v>
      </c>
      <c r="F297" s="67">
        <v>2</v>
      </c>
      <c r="G297" s="67">
        <v>3</v>
      </c>
      <c r="H297" s="67">
        <v>40</v>
      </c>
      <c r="I297" s="67">
        <v>7</v>
      </c>
      <c r="J297" s="67">
        <v>31</v>
      </c>
      <c r="K297" s="75">
        <v>4.8895899053627762E-2</v>
      </c>
      <c r="L297" s="67">
        <v>47</v>
      </c>
    </row>
    <row r="298" spans="1:12" x14ac:dyDescent="0.3">
      <c r="A298" s="74">
        <v>45859</v>
      </c>
      <c r="B298" s="67">
        <v>489</v>
      </c>
      <c r="C298" s="67">
        <v>10758</v>
      </c>
      <c r="D298" s="67">
        <v>21</v>
      </c>
      <c r="E298" s="67">
        <v>7</v>
      </c>
      <c r="F298" s="67">
        <v>2</v>
      </c>
      <c r="G298" s="67">
        <v>3</v>
      </c>
      <c r="H298" s="67">
        <v>22</v>
      </c>
      <c r="I298" s="67">
        <v>4</v>
      </c>
      <c r="J298" s="67">
        <v>33</v>
      </c>
      <c r="K298" s="75">
        <v>6.7484662576687116E-2</v>
      </c>
      <c r="L298" s="67">
        <v>26</v>
      </c>
    </row>
    <row r="299" spans="1:12" x14ac:dyDescent="0.3">
      <c r="A299" s="74">
        <v>45860</v>
      </c>
      <c r="B299" s="67">
        <v>543</v>
      </c>
      <c r="C299" s="67">
        <v>15747</v>
      </c>
      <c r="D299" s="67">
        <v>20</v>
      </c>
      <c r="E299" s="67">
        <v>9</v>
      </c>
      <c r="F299" s="67">
        <v>2</v>
      </c>
      <c r="G299" s="67">
        <v>3</v>
      </c>
      <c r="H299" s="67">
        <v>37</v>
      </c>
      <c r="I299" s="67">
        <v>4</v>
      </c>
      <c r="J299" s="67">
        <v>34</v>
      </c>
      <c r="K299" s="75">
        <v>6.2615101289134445E-2</v>
      </c>
      <c r="L299" s="67">
        <v>41</v>
      </c>
    </row>
    <row r="300" spans="1:12" x14ac:dyDescent="0.3">
      <c r="A300" s="74">
        <v>45861</v>
      </c>
      <c r="B300" s="67">
        <v>515</v>
      </c>
      <c r="C300" s="67">
        <v>14935</v>
      </c>
      <c r="D300" s="67">
        <v>17</v>
      </c>
      <c r="E300" s="67">
        <v>6</v>
      </c>
      <c r="F300" s="67">
        <v>2</v>
      </c>
      <c r="G300" s="67">
        <v>3</v>
      </c>
      <c r="H300" s="67">
        <v>24</v>
      </c>
      <c r="I300" s="67">
        <v>3</v>
      </c>
      <c r="J300" s="67">
        <v>28</v>
      </c>
      <c r="K300" s="75">
        <v>5.4368932038834951E-2</v>
      </c>
      <c r="L300" s="67">
        <v>27</v>
      </c>
    </row>
    <row r="301" spans="1:12" x14ac:dyDescent="0.3">
      <c r="A301" s="74">
        <v>45862</v>
      </c>
      <c r="B301" s="67">
        <v>531</v>
      </c>
      <c r="C301" s="67">
        <v>10089</v>
      </c>
      <c r="D301" s="67">
        <v>21</v>
      </c>
      <c r="E301" s="67">
        <v>7</v>
      </c>
      <c r="F301" s="67">
        <v>2</v>
      </c>
      <c r="G301" s="67">
        <v>2</v>
      </c>
      <c r="H301" s="67">
        <v>23</v>
      </c>
      <c r="I301" s="67">
        <v>4</v>
      </c>
      <c r="J301" s="67">
        <v>32</v>
      </c>
      <c r="K301" s="75">
        <v>6.0263653483992465E-2</v>
      </c>
      <c r="L301" s="67">
        <v>27</v>
      </c>
    </row>
    <row r="302" spans="1:12" x14ac:dyDescent="0.3">
      <c r="A302" s="74">
        <v>45863</v>
      </c>
      <c r="B302" s="67">
        <v>456</v>
      </c>
      <c r="C302" s="67">
        <v>12312</v>
      </c>
      <c r="D302" s="67">
        <v>19</v>
      </c>
      <c r="E302" s="67">
        <v>6</v>
      </c>
      <c r="F302" s="67">
        <v>3</v>
      </c>
      <c r="G302" s="67">
        <v>3</v>
      </c>
      <c r="H302" s="67">
        <v>26</v>
      </c>
      <c r="I302" s="67">
        <v>4</v>
      </c>
      <c r="J302" s="67">
        <v>31</v>
      </c>
      <c r="K302" s="75">
        <v>6.798245614035088E-2</v>
      </c>
      <c r="L302" s="67">
        <v>30</v>
      </c>
    </row>
    <row r="303" spans="1:12" x14ac:dyDescent="0.3">
      <c r="A303" s="74">
        <v>45864</v>
      </c>
      <c r="B303" s="67">
        <v>498</v>
      </c>
      <c r="C303" s="67">
        <v>17430</v>
      </c>
      <c r="D303" s="67">
        <v>21</v>
      </c>
      <c r="E303" s="67">
        <v>7</v>
      </c>
      <c r="F303" s="67">
        <v>2</v>
      </c>
      <c r="G303" s="67">
        <v>3</v>
      </c>
      <c r="H303" s="67">
        <v>23</v>
      </c>
      <c r="I303" s="67">
        <v>4</v>
      </c>
      <c r="J303" s="67">
        <v>33</v>
      </c>
      <c r="K303" s="75">
        <v>6.6265060240963861E-2</v>
      </c>
      <c r="L303" s="67">
        <v>27</v>
      </c>
    </row>
    <row r="304" spans="1:12" x14ac:dyDescent="0.3">
      <c r="A304" s="74">
        <v>45865</v>
      </c>
      <c r="B304" s="67">
        <v>624</v>
      </c>
      <c r="C304" s="67">
        <v>18720</v>
      </c>
      <c r="D304" s="67">
        <v>19</v>
      </c>
      <c r="E304" s="67">
        <v>8</v>
      </c>
      <c r="F304" s="67">
        <v>3</v>
      </c>
      <c r="G304" s="67">
        <v>3</v>
      </c>
      <c r="H304" s="67">
        <v>44</v>
      </c>
      <c r="I304" s="67">
        <v>7</v>
      </c>
      <c r="J304" s="67">
        <v>33</v>
      </c>
      <c r="K304" s="75">
        <v>5.2884615384615384E-2</v>
      </c>
      <c r="L304" s="67">
        <v>51</v>
      </c>
    </row>
    <row r="305" spans="1:12" x14ac:dyDescent="0.3">
      <c r="A305" s="74">
        <v>45866</v>
      </c>
      <c r="B305" s="67">
        <v>530</v>
      </c>
      <c r="C305" s="67">
        <v>17490</v>
      </c>
      <c r="D305" s="67">
        <v>19</v>
      </c>
      <c r="E305" s="67">
        <v>9</v>
      </c>
      <c r="F305" s="67">
        <v>3</v>
      </c>
      <c r="G305" s="67">
        <v>2</v>
      </c>
      <c r="H305" s="67">
        <v>26</v>
      </c>
      <c r="I305" s="67">
        <v>3</v>
      </c>
      <c r="J305" s="67">
        <v>33</v>
      </c>
      <c r="K305" s="75">
        <v>6.2264150943396226E-2</v>
      </c>
      <c r="L305" s="67">
        <v>29</v>
      </c>
    </row>
    <row r="306" spans="1:12" x14ac:dyDescent="0.3">
      <c r="A306" s="74">
        <v>45867</v>
      </c>
      <c r="B306" s="67">
        <v>571</v>
      </c>
      <c r="C306" s="67">
        <v>17701</v>
      </c>
      <c r="D306" s="67">
        <v>23</v>
      </c>
      <c r="E306" s="67">
        <v>11</v>
      </c>
      <c r="F306" s="67">
        <v>2</v>
      </c>
      <c r="G306" s="67">
        <v>2</v>
      </c>
      <c r="H306" s="67">
        <v>24</v>
      </c>
      <c r="I306" s="67">
        <v>4</v>
      </c>
      <c r="J306" s="67">
        <v>38</v>
      </c>
      <c r="K306" s="75">
        <v>6.6549912434325745E-2</v>
      </c>
      <c r="L306" s="67">
        <v>28</v>
      </c>
    </row>
    <row r="307" spans="1:12" x14ac:dyDescent="0.3">
      <c r="A307" s="74">
        <v>45868</v>
      </c>
      <c r="B307" s="67">
        <v>477</v>
      </c>
      <c r="C307" s="67">
        <v>14310</v>
      </c>
      <c r="D307" s="67">
        <v>10</v>
      </c>
      <c r="E307" s="67">
        <v>5</v>
      </c>
      <c r="F307" s="67">
        <v>1</v>
      </c>
      <c r="G307" s="67">
        <v>1</v>
      </c>
      <c r="H307" s="67">
        <v>38</v>
      </c>
      <c r="I307" s="67">
        <v>6</v>
      </c>
      <c r="J307" s="67">
        <v>17</v>
      </c>
      <c r="K307" s="75">
        <v>3.5639412997903561E-2</v>
      </c>
      <c r="L307" s="67">
        <v>44</v>
      </c>
    </row>
    <row r="308" spans="1:12" x14ac:dyDescent="0.3">
      <c r="A308" s="74">
        <v>45869</v>
      </c>
      <c r="B308" s="67">
        <v>562</v>
      </c>
      <c r="C308" s="67">
        <v>19108</v>
      </c>
      <c r="D308" s="67">
        <v>18</v>
      </c>
      <c r="E308" s="67">
        <v>8</v>
      </c>
      <c r="F308" s="67">
        <v>2</v>
      </c>
      <c r="G308" s="67">
        <v>3</v>
      </c>
      <c r="H308" s="67">
        <v>31</v>
      </c>
      <c r="I308" s="67">
        <v>4</v>
      </c>
      <c r="J308" s="67">
        <v>31</v>
      </c>
      <c r="K308" s="75">
        <v>5.5160142348754451E-2</v>
      </c>
      <c r="L308" s="67">
        <v>35</v>
      </c>
    </row>
    <row r="309" spans="1:12" x14ac:dyDescent="0.3">
      <c r="A309" s="74">
        <v>45870</v>
      </c>
      <c r="B309" s="67">
        <v>580</v>
      </c>
      <c r="C309" s="67">
        <v>15080</v>
      </c>
      <c r="D309" s="67">
        <v>17</v>
      </c>
      <c r="E309" s="67">
        <v>6</v>
      </c>
      <c r="F309" s="67">
        <v>2</v>
      </c>
      <c r="G309" s="67">
        <v>2</v>
      </c>
      <c r="H309" s="67">
        <v>29</v>
      </c>
      <c r="I309" s="67">
        <v>4</v>
      </c>
      <c r="J309" s="67">
        <v>27</v>
      </c>
      <c r="K309" s="75">
        <v>4.6551724137931037E-2</v>
      </c>
      <c r="L309" s="67">
        <v>33</v>
      </c>
    </row>
    <row r="310" spans="1:12" x14ac:dyDescent="0.3">
      <c r="A310" s="74">
        <v>45871</v>
      </c>
      <c r="B310" s="67">
        <v>593</v>
      </c>
      <c r="C310" s="67">
        <v>13639</v>
      </c>
      <c r="D310" s="67">
        <v>20</v>
      </c>
      <c r="E310" s="67">
        <v>10</v>
      </c>
      <c r="F310" s="67">
        <v>2</v>
      </c>
      <c r="G310" s="67">
        <v>3</v>
      </c>
      <c r="H310" s="67">
        <v>34</v>
      </c>
      <c r="I310" s="67">
        <v>4</v>
      </c>
      <c r="J310" s="67">
        <v>35</v>
      </c>
      <c r="K310" s="75">
        <v>5.9021922428330521E-2</v>
      </c>
      <c r="L310" s="67">
        <v>38</v>
      </c>
    </row>
    <row r="311" spans="1:12" x14ac:dyDescent="0.3">
      <c r="A311" s="74">
        <v>45872</v>
      </c>
      <c r="B311" s="67">
        <v>603</v>
      </c>
      <c r="C311" s="67">
        <v>13266</v>
      </c>
      <c r="D311" s="67">
        <v>26</v>
      </c>
      <c r="E311" s="67">
        <v>10</v>
      </c>
      <c r="F311" s="67">
        <v>4</v>
      </c>
      <c r="G311" s="67">
        <v>4</v>
      </c>
      <c r="H311" s="67">
        <v>27</v>
      </c>
      <c r="I311" s="67">
        <v>4</v>
      </c>
      <c r="J311" s="67">
        <v>44</v>
      </c>
      <c r="K311" s="75">
        <v>7.2968490878938641E-2</v>
      </c>
      <c r="L311" s="67">
        <v>31</v>
      </c>
    </row>
    <row r="312" spans="1:12" x14ac:dyDescent="0.3">
      <c r="A312" s="74">
        <v>45873</v>
      </c>
      <c r="B312" s="67">
        <v>475</v>
      </c>
      <c r="C312" s="67">
        <v>9500</v>
      </c>
      <c r="D312" s="67">
        <v>18</v>
      </c>
      <c r="E312" s="67">
        <v>8</v>
      </c>
      <c r="F312" s="67">
        <v>2</v>
      </c>
      <c r="G312" s="67">
        <v>2</v>
      </c>
      <c r="H312" s="67">
        <v>27</v>
      </c>
      <c r="I312" s="67">
        <v>4</v>
      </c>
      <c r="J312" s="67">
        <v>30</v>
      </c>
      <c r="K312" s="75">
        <v>6.3157894736842107E-2</v>
      </c>
      <c r="L312" s="67">
        <v>31</v>
      </c>
    </row>
    <row r="313" spans="1:12" x14ac:dyDescent="0.3">
      <c r="A313" s="74">
        <v>45874</v>
      </c>
      <c r="B313" s="67">
        <v>535</v>
      </c>
      <c r="C313" s="67">
        <v>18190</v>
      </c>
      <c r="D313" s="67">
        <v>22</v>
      </c>
      <c r="E313" s="67">
        <v>9</v>
      </c>
      <c r="F313" s="67">
        <v>2</v>
      </c>
      <c r="G313" s="67">
        <v>3</v>
      </c>
      <c r="H313" s="67">
        <v>24</v>
      </c>
      <c r="I313" s="67">
        <v>3</v>
      </c>
      <c r="J313" s="67">
        <v>36</v>
      </c>
      <c r="K313" s="75">
        <v>6.7289719626168226E-2</v>
      </c>
      <c r="L313" s="67">
        <v>27</v>
      </c>
    </row>
    <row r="314" spans="1:12" x14ac:dyDescent="0.3">
      <c r="A314" s="74">
        <v>45875</v>
      </c>
      <c r="B314" s="67">
        <v>588</v>
      </c>
      <c r="C314" s="67">
        <v>15876</v>
      </c>
      <c r="D314" s="67">
        <v>16</v>
      </c>
      <c r="E314" s="67">
        <v>8</v>
      </c>
      <c r="F314" s="67">
        <v>2</v>
      </c>
      <c r="G314" s="67">
        <v>2</v>
      </c>
      <c r="H314" s="67">
        <v>27</v>
      </c>
      <c r="I314" s="67">
        <v>3</v>
      </c>
      <c r="J314" s="67">
        <v>28</v>
      </c>
      <c r="K314" s="75">
        <v>4.7619047619047616E-2</v>
      </c>
      <c r="L314" s="67">
        <v>30</v>
      </c>
    </row>
    <row r="315" spans="1:12" x14ac:dyDescent="0.3">
      <c r="A315" s="74">
        <v>45876</v>
      </c>
      <c r="B315" s="67">
        <v>463</v>
      </c>
      <c r="C315" s="67">
        <v>12038</v>
      </c>
      <c r="D315" s="67">
        <v>14</v>
      </c>
      <c r="E315" s="67">
        <v>5</v>
      </c>
      <c r="F315" s="67">
        <v>2</v>
      </c>
      <c r="G315" s="67">
        <v>2</v>
      </c>
      <c r="H315" s="67">
        <v>22</v>
      </c>
      <c r="I315" s="67">
        <v>4</v>
      </c>
      <c r="J315" s="67">
        <v>23</v>
      </c>
      <c r="K315" s="75">
        <v>4.9676025917926567E-2</v>
      </c>
      <c r="L315" s="67">
        <v>26</v>
      </c>
    </row>
    <row r="316" spans="1:12" x14ac:dyDescent="0.3">
      <c r="A316" s="74">
        <v>45877</v>
      </c>
      <c r="B316" s="67">
        <v>608</v>
      </c>
      <c r="C316" s="67">
        <v>12160</v>
      </c>
      <c r="D316" s="67">
        <v>27</v>
      </c>
      <c r="E316" s="67">
        <v>12</v>
      </c>
      <c r="F316" s="67">
        <v>3</v>
      </c>
      <c r="G316" s="67">
        <v>2</v>
      </c>
      <c r="H316" s="67">
        <v>47</v>
      </c>
      <c r="I316" s="67">
        <v>6</v>
      </c>
      <c r="J316" s="67">
        <v>44</v>
      </c>
      <c r="K316" s="75">
        <v>7.2368421052631582E-2</v>
      </c>
      <c r="L316" s="67">
        <v>53</v>
      </c>
    </row>
    <row r="317" spans="1:12" x14ac:dyDescent="0.3">
      <c r="A317" s="74">
        <v>45878</v>
      </c>
      <c r="B317" s="67">
        <v>580</v>
      </c>
      <c r="C317" s="67">
        <v>11020</v>
      </c>
      <c r="D317" s="67">
        <v>18</v>
      </c>
      <c r="E317" s="67">
        <v>7</v>
      </c>
      <c r="F317" s="67">
        <v>1</v>
      </c>
      <c r="G317" s="67">
        <v>3</v>
      </c>
      <c r="H317" s="67">
        <v>46</v>
      </c>
      <c r="I317" s="67">
        <v>5</v>
      </c>
      <c r="J317" s="67">
        <v>29</v>
      </c>
      <c r="K317" s="75">
        <v>0.05</v>
      </c>
      <c r="L317" s="67">
        <v>51</v>
      </c>
    </row>
    <row r="318" spans="1:12" x14ac:dyDescent="0.3">
      <c r="A318" s="74">
        <v>45879</v>
      </c>
      <c r="B318" s="67">
        <v>620</v>
      </c>
      <c r="C318" s="67">
        <v>16740</v>
      </c>
      <c r="D318" s="67">
        <v>15</v>
      </c>
      <c r="E318" s="67">
        <v>7</v>
      </c>
      <c r="F318" s="67">
        <v>2</v>
      </c>
      <c r="G318" s="67">
        <v>2</v>
      </c>
      <c r="H318" s="67">
        <v>42</v>
      </c>
      <c r="I318" s="67">
        <v>7</v>
      </c>
      <c r="J318" s="67">
        <v>26</v>
      </c>
      <c r="K318" s="75">
        <v>4.1935483870967745E-2</v>
      </c>
      <c r="L318" s="67">
        <v>49</v>
      </c>
    </row>
    <row r="319" spans="1:12" x14ac:dyDescent="0.3">
      <c r="A319" s="74">
        <v>45880</v>
      </c>
      <c r="B319" s="67">
        <v>609</v>
      </c>
      <c r="C319" s="67">
        <v>15834</v>
      </c>
      <c r="D319" s="67">
        <v>28</v>
      </c>
      <c r="E319" s="67">
        <v>12</v>
      </c>
      <c r="F319" s="67">
        <v>4</v>
      </c>
      <c r="G319" s="67">
        <v>3</v>
      </c>
      <c r="H319" s="67">
        <v>46</v>
      </c>
      <c r="I319" s="67">
        <v>8</v>
      </c>
      <c r="J319" s="67">
        <v>47</v>
      </c>
      <c r="K319" s="75">
        <v>7.7175697865353041E-2</v>
      </c>
      <c r="L319" s="67">
        <v>54</v>
      </c>
    </row>
    <row r="320" spans="1:12" x14ac:dyDescent="0.3">
      <c r="A320" s="74">
        <v>45881</v>
      </c>
      <c r="B320" s="67">
        <v>463</v>
      </c>
      <c r="C320" s="67">
        <v>9260</v>
      </c>
      <c r="D320" s="67">
        <v>17</v>
      </c>
      <c r="E320" s="67">
        <v>7</v>
      </c>
      <c r="F320" s="67">
        <v>2</v>
      </c>
      <c r="G320" s="67">
        <v>3</v>
      </c>
      <c r="H320" s="67">
        <v>19</v>
      </c>
      <c r="I320" s="67">
        <v>3</v>
      </c>
      <c r="J320" s="67">
        <v>29</v>
      </c>
      <c r="K320" s="75">
        <v>6.2634989200863925E-2</v>
      </c>
      <c r="L320" s="67">
        <v>22</v>
      </c>
    </row>
    <row r="321" spans="1:12" x14ac:dyDescent="0.3">
      <c r="A321" s="74">
        <v>45882</v>
      </c>
      <c r="B321" s="67">
        <v>461</v>
      </c>
      <c r="C321" s="67">
        <v>9220</v>
      </c>
      <c r="D321" s="67">
        <v>15</v>
      </c>
      <c r="E321" s="67">
        <v>8</v>
      </c>
      <c r="F321" s="67">
        <v>3</v>
      </c>
      <c r="G321" s="67">
        <v>2</v>
      </c>
      <c r="H321" s="67">
        <v>30</v>
      </c>
      <c r="I321" s="67">
        <v>4</v>
      </c>
      <c r="J321" s="67">
        <v>28</v>
      </c>
      <c r="K321" s="75">
        <v>6.0737527114967459E-2</v>
      </c>
      <c r="L321" s="67">
        <v>34</v>
      </c>
    </row>
    <row r="322" spans="1:12" x14ac:dyDescent="0.3">
      <c r="A322" s="74">
        <v>45883</v>
      </c>
      <c r="B322" s="67">
        <v>473</v>
      </c>
      <c r="C322" s="67">
        <v>13717</v>
      </c>
      <c r="D322" s="67">
        <v>17</v>
      </c>
      <c r="E322" s="67">
        <v>7</v>
      </c>
      <c r="F322" s="67">
        <v>2</v>
      </c>
      <c r="G322" s="67">
        <v>2</v>
      </c>
      <c r="H322" s="67">
        <v>32</v>
      </c>
      <c r="I322" s="67">
        <v>4</v>
      </c>
      <c r="J322" s="67">
        <v>28</v>
      </c>
      <c r="K322" s="75">
        <v>5.9196617336152217E-2</v>
      </c>
      <c r="L322" s="67">
        <v>36</v>
      </c>
    </row>
    <row r="323" spans="1:12" x14ac:dyDescent="0.3">
      <c r="A323" s="74">
        <v>45884</v>
      </c>
      <c r="B323" s="67">
        <v>451</v>
      </c>
      <c r="C323" s="67">
        <v>9020</v>
      </c>
      <c r="D323" s="67">
        <v>11</v>
      </c>
      <c r="E323" s="67">
        <v>5</v>
      </c>
      <c r="F323" s="67">
        <v>2</v>
      </c>
      <c r="G323" s="67">
        <v>1</v>
      </c>
      <c r="H323" s="67">
        <v>28</v>
      </c>
      <c r="I323" s="67">
        <v>5</v>
      </c>
      <c r="J323" s="67">
        <v>19</v>
      </c>
      <c r="K323" s="75">
        <v>4.2128603104212861E-2</v>
      </c>
      <c r="L323" s="67">
        <v>33</v>
      </c>
    </row>
    <row r="324" spans="1:12" x14ac:dyDescent="0.3">
      <c r="A324" s="74">
        <v>45885</v>
      </c>
      <c r="B324" s="67">
        <v>702</v>
      </c>
      <c r="C324" s="67">
        <v>14742</v>
      </c>
      <c r="D324" s="67">
        <v>29</v>
      </c>
      <c r="E324" s="67">
        <v>13</v>
      </c>
      <c r="F324" s="67">
        <v>4</v>
      </c>
      <c r="G324" s="67">
        <v>3</v>
      </c>
      <c r="H324" s="67">
        <v>28</v>
      </c>
      <c r="I324" s="67">
        <v>4</v>
      </c>
      <c r="J324" s="67">
        <v>49</v>
      </c>
      <c r="K324" s="75">
        <v>6.9800569800569798E-2</v>
      </c>
      <c r="L324" s="67">
        <v>32</v>
      </c>
    </row>
    <row r="325" spans="1:12" x14ac:dyDescent="0.3">
      <c r="A325" s="74">
        <v>45886</v>
      </c>
      <c r="B325" s="67">
        <v>699</v>
      </c>
      <c r="C325" s="67">
        <v>23766</v>
      </c>
      <c r="D325" s="67">
        <v>26</v>
      </c>
      <c r="E325" s="67">
        <v>10</v>
      </c>
      <c r="F325" s="67">
        <v>4</v>
      </c>
      <c r="G325" s="67">
        <v>4</v>
      </c>
      <c r="H325" s="67">
        <v>36</v>
      </c>
      <c r="I325" s="67">
        <v>7</v>
      </c>
      <c r="J325" s="67">
        <v>44</v>
      </c>
      <c r="K325" s="75">
        <v>6.2947067238912732E-2</v>
      </c>
      <c r="L325" s="67">
        <v>43</v>
      </c>
    </row>
    <row r="326" spans="1:12" x14ac:dyDescent="0.3">
      <c r="A326" s="74">
        <v>45887</v>
      </c>
      <c r="B326" s="67">
        <v>512</v>
      </c>
      <c r="C326" s="67">
        <v>11264</v>
      </c>
      <c r="D326" s="67">
        <v>19</v>
      </c>
      <c r="E326" s="67">
        <v>9</v>
      </c>
      <c r="F326" s="67">
        <v>2</v>
      </c>
      <c r="G326" s="67">
        <v>2</v>
      </c>
      <c r="H326" s="67">
        <v>22</v>
      </c>
      <c r="I326" s="67">
        <v>4</v>
      </c>
      <c r="J326" s="67">
        <v>32</v>
      </c>
      <c r="K326" s="75">
        <v>6.25E-2</v>
      </c>
      <c r="L326" s="67">
        <v>26</v>
      </c>
    </row>
    <row r="327" spans="1:12" x14ac:dyDescent="0.3">
      <c r="A327" s="74">
        <v>45888</v>
      </c>
      <c r="B327" s="67">
        <v>564</v>
      </c>
      <c r="C327" s="67">
        <v>12972</v>
      </c>
      <c r="D327" s="67">
        <v>15</v>
      </c>
      <c r="E327" s="67">
        <v>6</v>
      </c>
      <c r="F327" s="67">
        <v>1</v>
      </c>
      <c r="G327" s="67">
        <v>2</v>
      </c>
      <c r="H327" s="67">
        <v>23</v>
      </c>
      <c r="I327" s="67">
        <v>4</v>
      </c>
      <c r="J327" s="67">
        <v>24</v>
      </c>
      <c r="K327" s="75">
        <v>4.2553191489361701E-2</v>
      </c>
      <c r="L327" s="67">
        <v>27</v>
      </c>
    </row>
    <row r="328" spans="1:12" x14ac:dyDescent="0.3">
      <c r="A328" s="74">
        <v>45889</v>
      </c>
      <c r="B328" s="67">
        <v>531</v>
      </c>
      <c r="C328" s="67">
        <v>17523</v>
      </c>
      <c r="D328" s="67">
        <v>15</v>
      </c>
      <c r="E328" s="67">
        <v>5</v>
      </c>
      <c r="F328" s="67">
        <v>2</v>
      </c>
      <c r="G328" s="67">
        <v>2</v>
      </c>
      <c r="H328" s="67">
        <v>40</v>
      </c>
      <c r="I328" s="67">
        <v>6</v>
      </c>
      <c r="J328" s="67">
        <v>24</v>
      </c>
      <c r="K328" s="75">
        <v>4.519774011299435E-2</v>
      </c>
      <c r="L328" s="67">
        <v>46</v>
      </c>
    </row>
    <row r="329" spans="1:12" x14ac:dyDescent="0.3">
      <c r="A329" s="74">
        <v>45890</v>
      </c>
      <c r="B329" s="67">
        <v>615</v>
      </c>
      <c r="C329" s="67">
        <v>11070</v>
      </c>
      <c r="D329" s="67">
        <v>17</v>
      </c>
      <c r="E329" s="67">
        <v>9</v>
      </c>
      <c r="F329" s="67">
        <v>2</v>
      </c>
      <c r="G329" s="67">
        <v>2</v>
      </c>
      <c r="H329" s="67">
        <v>44</v>
      </c>
      <c r="I329" s="67">
        <v>5</v>
      </c>
      <c r="J329" s="67">
        <v>30</v>
      </c>
      <c r="K329" s="75">
        <v>4.878048780487805E-2</v>
      </c>
      <c r="L329" s="67">
        <v>49</v>
      </c>
    </row>
    <row r="330" spans="1:12" x14ac:dyDescent="0.3">
      <c r="A330" s="74">
        <v>45891</v>
      </c>
      <c r="B330" s="67">
        <v>543</v>
      </c>
      <c r="C330" s="67">
        <v>17376</v>
      </c>
      <c r="D330" s="67">
        <v>16</v>
      </c>
      <c r="E330" s="67">
        <v>5</v>
      </c>
      <c r="F330" s="67">
        <v>2</v>
      </c>
      <c r="G330" s="67">
        <v>2</v>
      </c>
      <c r="H330" s="67">
        <v>35</v>
      </c>
      <c r="I330" s="67">
        <v>6</v>
      </c>
      <c r="J330" s="67">
        <v>25</v>
      </c>
      <c r="K330" s="75">
        <v>4.6040515653775323E-2</v>
      </c>
      <c r="L330" s="67">
        <v>41</v>
      </c>
    </row>
    <row r="331" spans="1:12" x14ac:dyDescent="0.3">
      <c r="A331" s="74">
        <v>45892</v>
      </c>
      <c r="B331" s="67">
        <v>733</v>
      </c>
      <c r="C331" s="67">
        <v>18325</v>
      </c>
      <c r="D331" s="67">
        <v>16</v>
      </c>
      <c r="E331" s="67">
        <v>7</v>
      </c>
      <c r="F331" s="67">
        <v>2</v>
      </c>
      <c r="G331" s="67">
        <v>2</v>
      </c>
      <c r="H331" s="67">
        <v>31</v>
      </c>
      <c r="I331" s="67">
        <v>5</v>
      </c>
      <c r="J331" s="67">
        <v>27</v>
      </c>
      <c r="K331" s="75">
        <v>3.6834924965893585E-2</v>
      </c>
      <c r="L331" s="67">
        <v>36</v>
      </c>
    </row>
    <row r="332" spans="1:12" x14ac:dyDescent="0.3">
      <c r="A332" s="74">
        <v>45893</v>
      </c>
      <c r="B332" s="67">
        <v>556</v>
      </c>
      <c r="C332" s="67">
        <v>18904</v>
      </c>
      <c r="D332" s="67">
        <v>12</v>
      </c>
      <c r="E332" s="67">
        <v>6</v>
      </c>
      <c r="F332" s="67">
        <v>2</v>
      </c>
      <c r="G332" s="67">
        <v>1</v>
      </c>
      <c r="H332" s="67">
        <v>34</v>
      </c>
      <c r="I332" s="67">
        <v>5</v>
      </c>
      <c r="J332" s="67">
        <v>21</v>
      </c>
      <c r="K332" s="75">
        <v>3.7769784172661872E-2</v>
      </c>
      <c r="L332" s="67">
        <v>39</v>
      </c>
    </row>
    <row r="333" spans="1:12" x14ac:dyDescent="0.3">
      <c r="A333" s="74">
        <v>45894</v>
      </c>
      <c r="B333" s="67">
        <v>591</v>
      </c>
      <c r="C333" s="67">
        <v>17730</v>
      </c>
      <c r="D333" s="67">
        <v>22</v>
      </c>
      <c r="E333" s="67">
        <v>10</v>
      </c>
      <c r="F333" s="67">
        <v>2</v>
      </c>
      <c r="G333" s="67">
        <v>2</v>
      </c>
      <c r="H333" s="67">
        <v>30</v>
      </c>
      <c r="I333" s="67">
        <v>5</v>
      </c>
      <c r="J333" s="67">
        <v>36</v>
      </c>
      <c r="K333" s="75">
        <v>6.0913705583756347E-2</v>
      </c>
      <c r="L333" s="67">
        <v>35</v>
      </c>
    </row>
    <row r="334" spans="1:12" x14ac:dyDescent="0.3">
      <c r="A334" s="74">
        <v>45895</v>
      </c>
      <c r="B334" s="67">
        <v>539</v>
      </c>
      <c r="C334" s="67">
        <v>14553</v>
      </c>
      <c r="D334" s="67">
        <v>15</v>
      </c>
      <c r="E334" s="67">
        <v>5</v>
      </c>
      <c r="F334" s="67">
        <v>2</v>
      </c>
      <c r="G334" s="67">
        <v>1</v>
      </c>
      <c r="H334" s="67">
        <v>27</v>
      </c>
      <c r="I334" s="67">
        <v>4</v>
      </c>
      <c r="J334" s="67">
        <v>23</v>
      </c>
      <c r="K334" s="75">
        <v>4.267161410018553E-2</v>
      </c>
      <c r="L334" s="67">
        <v>31</v>
      </c>
    </row>
    <row r="335" spans="1:12" x14ac:dyDescent="0.3">
      <c r="A335" s="74">
        <v>45896</v>
      </c>
      <c r="B335" s="67">
        <v>623</v>
      </c>
      <c r="C335" s="67">
        <v>11837</v>
      </c>
      <c r="D335" s="67">
        <v>24</v>
      </c>
      <c r="E335" s="67">
        <v>10</v>
      </c>
      <c r="F335" s="67">
        <v>3</v>
      </c>
      <c r="G335" s="67">
        <v>2</v>
      </c>
      <c r="H335" s="67">
        <v>36</v>
      </c>
      <c r="I335" s="67">
        <v>6</v>
      </c>
      <c r="J335" s="67">
        <v>39</v>
      </c>
      <c r="K335" s="75">
        <v>6.2600321027287326E-2</v>
      </c>
      <c r="L335" s="67">
        <v>42</v>
      </c>
    </row>
    <row r="336" spans="1:12" x14ac:dyDescent="0.3">
      <c r="A336" s="74">
        <v>45897</v>
      </c>
      <c r="B336" s="67">
        <v>1016</v>
      </c>
      <c r="C336" s="67">
        <v>24384</v>
      </c>
      <c r="D336" s="67">
        <v>23</v>
      </c>
      <c r="E336" s="67">
        <v>11</v>
      </c>
      <c r="F336" s="67">
        <v>2</v>
      </c>
      <c r="G336" s="67">
        <v>3</v>
      </c>
      <c r="H336" s="67">
        <v>45</v>
      </c>
      <c r="I336" s="67">
        <v>13</v>
      </c>
      <c r="J336" s="67">
        <v>39</v>
      </c>
      <c r="K336" s="75">
        <v>3.8385826771653545E-2</v>
      </c>
      <c r="L336" s="67">
        <v>58</v>
      </c>
    </row>
    <row r="337" spans="1:12" x14ac:dyDescent="0.3">
      <c r="A337" s="74">
        <v>45898</v>
      </c>
      <c r="B337" s="67">
        <v>928</v>
      </c>
      <c r="C337" s="67">
        <v>26912</v>
      </c>
      <c r="D337" s="67">
        <v>35</v>
      </c>
      <c r="E337" s="67">
        <v>15</v>
      </c>
      <c r="F337" s="67">
        <v>4</v>
      </c>
      <c r="G337" s="67">
        <v>5</v>
      </c>
      <c r="H337" s="67">
        <v>50</v>
      </c>
      <c r="I337" s="67">
        <v>13</v>
      </c>
      <c r="J337" s="67">
        <v>59</v>
      </c>
      <c r="K337" s="75">
        <v>6.3577586206896547E-2</v>
      </c>
      <c r="L337" s="67">
        <v>63</v>
      </c>
    </row>
    <row r="338" spans="1:12" x14ac:dyDescent="0.3">
      <c r="A338" s="74">
        <v>45899</v>
      </c>
      <c r="B338" s="67">
        <v>574</v>
      </c>
      <c r="C338" s="67">
        <v>17794</v>
      </c>
      <c r="D338" s="67">
        <v>13</v>
      </c>
      <c r="E338" s="67">
        <v>5</v>
      </c>
      <c r="F338" s="67">
        <v>2</v>
      </c>
      <c r="G338" s="67">
        <v>2</v>
      </c>
      <c r="H338" s="67">
        <v>38</v>
      </c>
      <c r="I338" s="67">
        <v>8</v>
      </c>
      <c r="J338" s="67">
        <v>22</v>
      </c>
      <c r="K338" s="75">
        <v>3.8327526132404179E-2</v>
      </c>
      <c r="L338" s="67">
        <v>46</v>
      </c>
    </row>
    <row r="339" spans="1:12" x14ac:dyDescent="0.3">
      <c r="A339" s="74">
        <v>45900</v>
      </c>
      <c r="B339" s="67">
        <v>627</v>
      </c>
      <c r="C339" s="67">
        <v>18810</v>
      </c>
      <c r="D339" s="67">
        <v>20</v>
      </c>
      <c r="E339" s="67">
        <v>9</v>
      </c>
      <c r="F339" s="67">
        <v>2</v>
      </c>
      <c r="G339" s="67">
        <v>3</v>
      </c>
      <c r="H339" s="67">
        <v>28</v>
      </c>
      <c r="I339" s="67">
        <v>5</v>
      </c>
      <c r="J339" s="67">
        <v>34</v>
      </c>
      <c r="K339" s="75">
        <v>5.4226475279106859E-2</v>
      </c>
      <c r="L339" s="67">
        <v>33</v>
      </c>
    </row>
    <row r="340" spans="1:12" x14ac:dyDescent="0.3">
      <c r="A340" s="74">
        <v>45901</v>
      </c>
      <c r="B340" s="67">
        <v>627</v>
      </c>
      <c r="C340" s="67">
        <v>17556</v>
      </c>
      <c r="D340" s="67">
        <v>23</v>
      </c>
      <c r="E340" s="67">
        <v>10</v>
      </c>
      <c r="F340" s="67">
        <v>3</v>
      </c>
      <c r="G340" s="67">
        <v>3</v>
      </c>
      <c r="H340" s="67">
        <v>25</v>
      </c>
      <c r="I340" s="67">
        <v>4</v>
      </c>
      <c r="J340" s="67">
        <v>39</v>
      </c>
      <c r="K340" s="75">
        <v>6.2200956937799042E-2</v>
      </c>
      <c r="L340" s="67">
        <v>29</v>
      </c>
    </row>
    <row r="341" spans="1:12" x14ac:dyDescent="0.3">
      <c r="A341" s="74">
        <v>45902</v>
      </c>
      <c r="B341" s="67">
        <v>639</v>
      </c>
      <c r="C341" s="67">
        <v>22365</v>
      </c>
      <c r="D341" s="67">
        <v>25</v>
      </c>
      <c r="E341" s="67">
        <v>12</v>
      </c>
      <c r="F341" s="67">
        <v>3</v>
      </c>
      <c r="G341" s="67">
        <v>4</v>
      </c>
      <c r="H341" s="67">
        <v>36</v>
      </c>
      <c r="I341" s="67">
        <v>5</v>
      </c>
      <c r="J341" s="67">
        <v>44</v>
      </c>
      <c r="K341" s="75">
        <v>6.8857589984350542E-2</v>
      </c>
      <c r="L341" s="67">
        <v>41</v>
      </c>
    </row>
    <row r="342" spans="1:12" x14ac:dyDescent="0.3">
      <c r="A342" s="74">
        <v>45903</v>
      </c>
      <c r="B342" s="67">
        <v>575</v>
      </c>
      <c r="C342" s="67">
        <v>16675</v>
      </c>
      <c r="D342" s="67">
        <v>15</v>
      </c>
      <c r="E342" s="67">
        <v>7</v>
      </c>
      <c r="F342" s="67">
        <v>1</v>
      </c>
      <c r="G342" s="67">
        <v>2</v>
      </c>
      <c r="H342" s="67">
        <v>46</v>
      </c>
      <c r="I342" s="67">
        <v>5</v>
      </c>
      <c r="J342" s="67">
        <v>25</v>
      </c>
      <c r="K342" s="75">
        <v>4.3478260869565216E-2</v>
      </c>
      <c r="L342" s="67">
        <v>51</v>
      </c>
    </row>
    <row r="343" spans="1:12" x14ac:dyDescent="0.3">
      <c r="A343" s="74">
        <v>45904</v>
      </c>
      <c r="B343" s="67">
        <v>648</v>
      </c>
      <c r="C343" s="67">
        <v>17496</v>
      </c>
      <c r="D343" s="67">
        <v>17</v>
      </c>
      <c r="E343" s="67">
        <v>8</v>
      </c>
      <c r="F343" s="67">
        <v>2</v>
      </c>
      <c r="G343" s="67">
        <v>1</v>
      </c>
      <c r="H343" s="67">
        <v>44</v>
      </c>
      <c r="I343" s="67">
        <v>8</v>
      </c>
      <c r="J343" s="67">
        <v>28</v>
      </c>
      <c r="K343" s="75">
        <v>4.3209876543209874E-2</v>
      </c>
      <c r="L343" s="67">
        <v>52</v>
      </c>
    </row>
    <row r="344" spans="1:12" x14ac:dyDescent="0.3">
      <c r="A344" s="74">
        <v>45905</v>
      </c>
      <c r="B344" s="67">
        <v>484</v>
      </c>
      <c r="C344" s="67">
        <v>15972</v>
      </c>
      <c r="D344" s="67">
        <v>17</v>
      </c>
      <c r="E344" s="67">
        <v>7</v>
      </c>
      <c r="F344" s="67">
        <v>1</v>
      </c>
      <c r="G344" s="67">
        <v>2</v>
      </c>
      <c r="H344" s="67">
        <v>30</v>
      </c>
      <c r="I344" s="67">
        <v>4</v>
      </c>
      <c r="J344" s="67">
        <v>27</v>
      </c>
      <c r="K344" s="75">
        <v>5.578512396694215E-2</v>
      </c>
      <c r="L344" s="67">
        <v>34</v>
      </c>
    </row>
    <row r="345" spans="1:12" x14ac:dyDescent="0.3">
      <c r="A345" s="74">
        <v>45906</v>
      </c>
      <c r="B345" s="67">
        <v>670</v>
      </c>
      <c r="C345" s="67">
        <v>17420</v>
      </c>
      <c r="D345" s="67">
        <v>18</v>
      </c>
      <c r="E345" s="67">
        <v>6</v>
      </c>
      <c r="F345" s="67">
        <v>2</v>
      </c>
      <c r="G345" s="67">
        <v>2</v>
      </c>
      <c r="H345" s="67">
        <v>40</v>
      </c>
      <c r="I345" s="67">
        <v>5</v>
      </c>
      <c r="J345" s="67">
        <v>28</v>
      </c>
      <c r="K345" s="75">
        <v>4.1791044776119404E-2</v>
      </c>
      <c r="L345" s="67">
        <v>45</v>
      </c>
    </row>
    <row r="346" spans="1:12" x14ac:dyDescent="0.3">
      <c r="A346" s="74">
        <v>45907</v>
      </c>
      <c r="B346" s="67">
        <v>596</v>
      </c>
      <c r="C346" s="67">
        <v>18476</v>
      </c>
      <c r="D346" s="67">
        <v>22</v>
      </c>
      <c r="E346" s="67">
        <v>8</v>
      </c>
      <c r="F346" s="67">
        <v>3</v>
      </c>
      <c r="G346" s="67">
        <v>2</v>
      </c>
      <c r="H346" s="67">
        <v>28</v>
      </c>
      <c r="I346" s="67">
        <v>5</v>
      </c>
      <c r="J346" s="67">
        <v>35</v>
      </c>
      <c r="K346" s="75">
        <v>5.8724832214765099E-2</v>
      </c>
      <c r="L346" s="67">
        <v>33</v>
      </c>
    </row>
    <row r="347" spans="1:12" x14ac:dyDescent="0.3">
      <c r="A347" s="74">
        <v>45908</v>
      </c>
      <c r="B347" s="67">
        <v>507</v>
      </c>
      <c r="C347" s="67">
        <v>17745</v>
      </c>
      <c r="D347" s="67">
        <v>18</v>
      </c>
      <c r="E347" s="67">
        <v>7</v>
      </c>
      <c r="F347" s="67">
        <v>2</v>
      </c>
      <c r="G347" s="67">
        <v>2</v>
      </c>
      <c r="H347" s="67">
        <v>29</v>
      </c>
      <c r="I347" s="67">
        <v>4</v>
      </c>
      <c r="J347" s="67">
        <v>29</v>
      </c>
      <c r="K347" s="75">
        <v>5.7199211045364892E-2</v>
      </c>
      <c r="L347" s="67">
        <v>33</v>
      </c>
    </row>
    <row r="348" spans="1:12" x14ac:dyDescent="0.3">
      <c r="A348" s="74">
        <v>45909</v>
      </c>
      <c r="B348" s="67">
        <v>663</v>
      </c>
      <c r="C348" s="67">
        <v>19227</v>
      </c>
      <c r="D348" s="67">
        <v>26</v>
      </c>
      <c r="E348" s="67">
        <v>13</v>
      </c>
      <c r="F348" s="67">
        <v>3</v>
      </c>
      <c r="G348" s="67">
        <v>4</v>
      </c>
      <c r="H348" s="67">
        <v>47</v>
      </c>
      <c r="I348" s="67">
        <v>5</v>
      </c>
      <c r="J348" s="67">
        <v>46</v>
      </c>
      <c r="K348" s="75">
        <v>6.9381598793363503E-2</v>
      </c>
      <c r="L348" s="67">
        <v>52</v>
      </c>
    </row>
    <row r="349" spans="1:12" x14ac:dyDescent="0.3">
      <c r="A349" s="74">
        <v>45910</v>
      </c>
      <c r="B349" s="67">
        <v>630</v>
      </c>
      <c r="C349" s="67">
        <v>13230</v>
      </c>
      <c r="D349" s="67">
        <v>23</v>
      </c>
      <c r="E349" s="67">
        <v>9</v>
      </c>
      <c r="F349" s="67">
        <v>3</v>
      </c>
      <c r="G349" s="67">
        <v>3</v>
      </c>
      <c r="H349" s="67">
        <v>30</v>
      </c>
      <c r="I349" s="67">
        <v>4</v>
      </c>
      <c r="J349" s="67">
        <v>38</v>
      </c>
      <c r="K349" s="75">
        <v>6.0317460317460318E-2</v>
      </c>
      <c r="L349" s="67">
        <v>34</v>
      </c>
    </row>
    <row r="350" spans="1:12" x14ac:dyDescent="0.3">
      <c r="A350" s="74">
        <v>45911</v>
      </c>
      <c r="B350" s="67">
        <v>525</v>
      </c>
      <c r="C350" s="67">
        <v>15225</v>
      </c>
      <c r="D350" s="67">
        <v>17</v>
      </c>
      <c r="E350" s="67">
        <v>8</v>
      </c>
      <c r="F350" s="67">
        <v>2</v>
      </c>
      <c r="G350" s="67">
        <v>3</v>
      </c>
      <c r="H350" s="67">
        <v>31</v>
      </c>
      <c r="I350" s="67">
        <v>5</v>
      </c>
      <c r="J350" s="67">
        <v>30</v>
      </c>
      <c r="K350" s="75">
        <v>5.7142857142857141E-2</v>
      </c>
      <c r="L350" s="67">
        <v>36</v>
      </c>
    </row>
    <row r="351" spans="1:12" x14ac:dyDescent="0.3">
      <c r="A351" s="74">
        <v>45912</v>
      </c>
      <c r="B351" s="67">
        <v>557</v>
      </c>
      <c r="C351" s="67">
        <v>18938</v>
      </c>
      <c r="D351" s="67">
        <v>19</v>
      </c>
      <c r="E351" s="67">
        <v>7</v>
      </c>
      <c r="F351" s="67">
        <v>2</v>
      </c>
      <c r="G351" s="67">
        <v>2</v>
      </c>
      <c r="H351" s="67">
        <v>35</v>
      </c>
      <c r="I351" s="67">
        <v>6</v>
      </c>
      <c r="J351" s="67">
        <v>30</v>
      </c>
      <c r="K351" s="75">
        <v>5.385996409335727E-2</v>
      </c>
      <c r="L351" s="67">
        <v>41</v>
      </c>
    </row>
    <row r="352" spans="1:12" x14ac:dyDescent="0.3">
      <c r="A352" s="74">
        <v>45913</v>
      </c>
      <c r="B352" s="67">
        <v>646</v>
      </c>
      <c r="C352" s="67">
        <v>12274</v>
      </c>
      <c r="D352" s="67">
        <v>16</v>
      </c>
      <c r="E352" s="67">
        <v>7</v>
      </c>
      <c r="F352" s="67">
        <v>3</v>
      </c>
      <c r="G352" s="67">
        <v>2</v>
      </c>
      <c r="H352" s="67">
        <v>41</v>
      </c>
      <c r="I352" s="67">
        <v>4</v>
      </c>
      <c r="J352" s="67">
        <v>28</v>
      </c>
      <c r="K352" s="75">
        <v>4.3343653250773995E-2</v>
      </c>
      <c r="L352" s="67">
        <v>45</v>
      </c>
    </row>
    <row r="353" spans="1:12" x14ac:dyDescent="0.3">
      <c r="A353" s="74">
        <v>45914</v>
      </c>
      <c r="B353" s="67">
        <v>739</v>
      </c>
      <c r="C353" s="67">
        <v>19953</v>
      </c>
      <c r="D353" s="67">
        <v>28</v>
      </c>
      <c r="E353" s="67">
        <v>12</v>
      </c>
      <c r="F353" s="67">
        <v>3</v>
      </c>
      <c r="G353" s="67">
        <v>5</v>
      </c>
      <c r="H353" s="67">
        <v>33</v>
      </c>
      <c r="I353" s="67">
        <v>4</v>
      </c>
      <c r="J353" s="67">
        <v>48</v>
      </c>
      <c r="K353" s="75">
        <v>6.4952638700947224E-2</v>
      </c>
      <c r="L353" s="67">
        <v>37</v>
      </c>
    </row>
    <row r="354" spans="1:12" x14ac:dyDescent="0.3">
      <c r="A354" s="74">
        <v>45915</v>
      </c>
      <c r="B354" s="67">
        <v>628</v>
      </c>
      <c r="C354" s="67">
        <v>20096</v>
      </c>
      <c r="D354" s="67">
        <v>25</v>
      </c>
      <c r="E354" s="67">
        <v>9</v>
      </c>
      <c r="F354" s="67">
        <v>3</v>
      </c>
      <c r="G354" s="67">
        <v>3</v>
      </c>
      <c r="H354" s="67">
        <v>48</v>
      </c>
      <c r="I354" s="67">
        <v>5</v>
      </c>
      <c r="J354" s="67">
        <v>40</v>
      </c>
      <c r="K354" s="75">
        <v>6.3694267515923567E-2</v>
      </c>
      <c r="L354" s="67">
        <v>53</v>
      </c>
    </row>
    <row r="355" spans="1:12" x14ac:dyDescent="0.3">
      <c r="A355" s="74">
        <v>45916</v>
      </c>
      <c r="B355" s="67">
        <v>591</v>
      </c>
      <c r="C355" s="67">
        <v>13002</v>
      </c>
      <c r="D355" s="67">
        <v>24</v>
      </c>
      <c r="E355" s="67">
        <v>10</v>
      </c>
      <c r="F355" s="67">
        <v>3</v>
      </c>
      <c r="G355" s="67">
        <v>2</v>
      </c>
      <c r="H355" s="67">
        <v>44</v>
      </c>
      <c r="I355" s="67">
        <v>6</v>
      </c>
      <c r="J355" s="67">
        <v>39</v>
      </c>
      <c r="K355" s="75">
        <v>6.5989847715736044E-2</v>
      </c>
      <c r="L355" s="67">
        <v>50</v>
      </c>
    </row>
    <row r="356" spans="1:12" x14ac:dyDescent="0.3">
      <c r="A356" s="74">
        <v>45917</v>
      </c>
      <c r="B356" s="67">
        <v>598</v>
      </c>
      <c r="C356" s="67">
        <v>15548</v>
      </c>
      <c r="D356" s="67">
        <v>20</v>
      </c>
      <c r="E356" s="67">
        <v>8</v>
      </c>
      <c r="F356" s="67">
        <v>2</v>
      </c>
      <c r="G356" s="67">
        <v>3</v>
      </c>
      <c r="H356" s="67">
        <v>30</v>
      </c>
      <c r="I356" s="67">
        <v>5</v>
      </c>
      <c r="J356" s="67">
        <v>33</v>
      </c>
      <c r="K356" s="75">
        <v>5.5183946488294312E-2</v>
      </c>
      <c r="L356" s="67">
        <v>35</v>
      </c>
    </row>
    <row r="357" spans="1:12" x14ac:dyDescent="0.3">
      <c r="A357" s="74">
        <v>45918</v>
      </c>
      <c r="B357" s="67">
        <v>564</v>
      </c>
      <c r="C357" s="67">
        <v>10716</v>
      </c>
      <c r="D357" s="67">
        <v>20</v>
      </c>
      <c r="E357" s="67">
        <v>8</v>
      </c>
      <c r="F357" s="67">
        <v>2</v>
      </c>
      <c r="G357" s="67">
        <v>2</v>
      </c>
      <c r="H357" s="67">
        <v>39</v>
      </c>
      <c r="I357" s="67">
        <v>7</v>
      </c>
      <c r="J357" s="67">
        <v>32</v>
      </c>
      <c r="K357" s="75">
        <v>5.6737588652482268E-2</v>
      </c>
      <c r="L357" s="67">
        <v>46</v>
      </c>
    </row>
    <row r="358" spans="1:12" x14ac:dyDescent="0.3">
      <c r="A358" s="74">
        <v>45919</v>
      </c>
      <c r="B358" s="67">
        <v>677</v>
      </c>
      <c r="C358" s="67">
        <v>19633</v>
      </c>
      <c r="D358" s="67">
        <v>20</v>
      </c>
      <c r="E358" s="67">
        <v>9</v>
      </c>
      <c r="F358" s="67">
        <v>3</v>
      </c>
      <c r="G358" s="67">
        <v>3</v>
      </c>
      <c r="H358" s="67">
        <v>27</v>
      </c>
      <c r="I358" s="67">
        <v>5</v>
      </c>
      <c r="J358" s="67">
        <v>35</v>
      </c>
      <c r="K358" s="75">
        <v>5.1698670605612999E-2</v>
      </c>
      <c r="L358" s="67">
        <v>32</v>
      </c>
    </row>
    <row r="359" spans="1:12" x14ac:dyDescent="0.3">
      <c r="A359" s="74">
        <v>45920</v>
      </c>
      <c r="B359" s="67">
        <v>764</v>
      </c>
      <c r="C359" s="67">
        <v>24448</v>
      </c>
      <c r="D359" s="67">
        <v>17</v>
      </c>
      <c r="E359" s="67">
        <v>6</v>
      </c>
      <c r="F359" s="67">
        <v>2</v>
      </c>
      <c r="G359" s="67">
        <v>3</v>
      </c>
      <c r="H359" s="67">
        <v>31</v>
      </c>
      <c r="I359" s="67">
        <v>4</v>
      </c>
      <c r="J359" s="67">
        <v>28</v>
      </c>
      <c r="K359" s="75">
        <v>3.6649214659685861E-2</v>
      </c>
      <c r="L359" s="67">
        <v>35</v>
      </c>
    </row>
    <row r="360" spans="1:12" x14ac:dyDescent="0.3">
      <c r="A360" s="74">
        <v>45921</v>
      </c>
      <c r="B360" s="67">
        <v>764</v>
      </c>
      <c r="C360" s="67">
        <v>22156</v>
      </c>
      <c r="D360" s="67">
        <v>27</v>
      </c>
      <c r="E360" s="67">
        <v>10</v>
      </c>
      <c r="F360" s="67">
        <v>2</v>
      </c>
      <c r="G360" s="67">
        <v>3</v>
      </c>
      <c r="H360" s="67">
        <v>60</v>
      </c>
      <c r="I360" s="67">
        <v>11</v>
      </c>
      <c r="J360" s="67">
        <v>42</v>
      </c>
      <c r="K360" s="75">
        <v>5.4973821989528798E-2</v>
      </c>
      <c r="L360" s="67">
        <v>71</v>
      </c>
    </row>
    <row r="361" spans="1:12" x14ac:dyDescent="0.3">
      <c r="A361" s="74">
        <v>45922</v>
      </c>
      <c r="B361" s="67">
        <v>523</v>
      </c>
      <c r="C361" s="67">
        <v>12029</v>
      </c>
      <c r="D361" s="67">
        <v>18</v>
      </c>
      <c r="E361" s="67">
        <v>8</v>
      </c>
      <c r="F361" s="67">
        <v>2</v>
      </c>
      <c r="G361" s="67">
        <v>3</v>
      </c>
      <c r="H361" s="67">
        <v>23</v>
      </c>
      <c r="I361" s="67">
        <v>4</v>
      </c>
      <c r="J361" s="67">
        <v>31</v>
      </c>
      <c r="K361" s="75">
        <v>5.9273422562141492E-2</v>
      </c>
      <c r="L361" s="67">
        <v>27</v>
      </c>
    </row>
    <row r="362" spans="1:12" x14ac:dyDescent="0.3">
      <c r="A362" s="74">
        <v>45923</v>
      </c>
      <c r="B362" s="67">
        <v>514</v>
      </c>
      <c r="C362" s="67">
        <v>10794</v>
      </c>
      <c r="D362" s="67">
        <v>11</v>
      </c>
      <c r="E362" s="67">
        <v>4</v>
      </c>
      <c r="F362" s="67">
        <v>2</v>
      </c>
      <c r="G362" s="67">
        <v>1</v>
      </c>
      <c r="H362" s="67">
        <v>28</v>
      </c>
      <c r="I362" s="67">
        <v>5</v>
      </c>
      <c r="J362" s="67">
        <v>18</v>
      </c>
      <c r="K362" s="75">
        <v>3.5019455252918288E-2</v>
      </c>
      <c r="L362" s="67">
        <v>33</v>
      </c>
    </row>
    <row r="363" spans="1:12" x14ac:dyDescent="0.3">
      <c r="A363" s="74">
        <v>45924</v>
      </c>
      <c r="B363" s="67">
        <v>568</v>
      </c>
      <c r="C363" s="67">
        <v>10792</v>
      </c>
      <c r="D363" s="67">
        <v>19</v>
      </c>
      <c r="E363" s="67">
        <v>7</v>
      </c>
      <c r="F363" s="67">
        <v>3</v>
      </c>
      <c r="G363" s="67">
        <v>2</v>
      </c>
      <c r="H363" s="67">
        <v>32</v>
      </c>
      <c r="I363" s="67">
        <v>5</v>
      </c>
      <c r="J363" s="67">
        <v>31</v>
      </c>
      <c r="K363" s="75">
        <v>5.4577464788732391E-2</v>
      </c>
      <c r="L363" s="67">
        <v>37</v>
      </c>
    </row>
    <row r="364" spans="1:12" x14ac:dyDescent="0.3">
      <c r="A364" s="74">
        <v>45925</v>
      </c>
      <c r="B364" s="67">
        <v>494</v>
      </c>
      <c r="C364" s="67">
        <v>17290</v>
      </c>
      <c r="D364" s="67">
        <v>14</v>
      </c>
      <c r="E364" s="67">
        <v>6</v>
      </c>
      <c r="F364" s="67">
        <v>2</v>
      </c>
      <c r="G364" s="67">
        <v>2</v>
      </c>
      <c r="H364" s="67">
        <v>29</v>
      </c>
      <c r="I364" s="67">
        <v>3</v>
      </c>
      <c r="J364" s="67">
        <v>24</v>
      </c>
      <c r="K364" s="75">
        <v>4.8582995951417005E-2</v>
      </c>
      <c r="L364" s="67">
        <v>32</v>
      </c>
    </row>
    <row r="365" spans="1:12" x14ac:dyDescent="0.3">
      <c r="A365" s="74">
        <v>45926</v>
      </c>
      <c r="B365" s="67">
        <v>515</v>
      </c>
      <c r="C365" s="67">
        <v>15965</v>
      </c>
      <c r="D365" s="67">
        <v>23</v>
      </c>
      <c r="E365" s="67">
        <v>9</v>
      </c>
      <c r="F365" s="67">
        <v>3</v>
      </c>
      <c r="G365" s="67">
        <v>2</v>
      </c>
      <c r="H365" s="67">
        <v>41</v>
      </c>
      <c r="I365" s="67">
        <v>4</v>
      </c>
      <c r="J365" s="67">
        <v>37</v>
      </c>
      <c r="K365" s="75">
        <v>7.184466019417475E-2</v>
      </c>
      <c r="L365" s="67">
        <v>45</v>
      </c>
    </row>
    <row r="366" spans="1:12" x14ac:dyDescent="0.3">
      <c r="A366" s="74">
        <v>45927</v>
      </c>
      <c r="B366" s="67">
        <v>618</v>
      </c>
      <c r="C366" s="67">
        <v>16068</v>
      </c>
      <c r="D366" s="67">
        <v>21</v>
      </c>
      <c r="E366" s="67">
        <v>9</v>
      </c>
      <c r="F366" s="67">
        <v>3</v>
      </c>
      <c r="G366" s="67">
        <v>3</v>
      </c>
      <c r="H366" s="67">
        <v>27</v>
      </c>
      <c r="I366" s="67">
        <v>4</v>
      </c>
      <c r="J366" s="67">
        <v>36</v>
      </c>
      <c r="K366" s="75">
        <v>5.8252427184466021E-2</v>
      </c>
      <c r="L366" s="67">
        <v>31</v>
      </c>
    </row>
    <row r="367" spans="1:12" x14ac:dyDescent="0.3">
      <c r="A367" s="74">
        <v>45928</v>
      </c>
      <c r="B367" s="67">
        <v>1335</v>
      </c>
      <c r="C367" s="67">
        <v>32040</v>
      </c>
      <c r="D367" s="67">
        <v>32</v>
      </c>
      <c r="E367" s="67">
        <v>13</v>
      </c>
      <c r="F367" s="67">
        <v>4</v>
      </c>
      <c r="G367" s="67">
        <v>3</v>
      </c>
      <c r="H367" s="67">
        <v>71</v>
      </c>
      <c r="I367" s="67">
        <v>10</v>
      </c>
      <c r="J367" s="67">
        <v>52</v>
      </c>
      <c r="K367" s="75">
        <v>3.895131086142322E-2</v>
      </c>
      <c r="L367" s="67">
        <v>81</v>
      </c>
    </row>
    <row r="368" spans="1:12" x14ac:dyDescent="0.3">
      <c r="A368" s="74">
        <v>45929</v>
      </c>
      <c r="B368" s="67">
        <v>1069</v>
      </c>
      <c r="C368" s="67">
        <v>32070</v>
      </c>
      <c r="D368" s="67">
        <v>25</v>
      </c>
      <c r="E368" s="67">
        <v>10</v>
      </c>
      <c r="F368" s="67">
        <v>3</v>
      </c>
      <c r="G368" s="67">
        <v>2</v>
      </c>
      <c r="H368" s="67">
        <v>79</v>
      </c>
      <c r="I368" s="67">
        <v>15</v>
      </c>
      <c r="J368" s="67">
        <v>40</v>
      </c>
      <c r="K368" s="75">
        <v>3.7418147801683815E-2</v>
      </c>
      <c r="L368" s="67">
        <v>94</v>
      </c>
    </row>
    <row r="369" spans="1:12" x14ac:dyDescent="0.3">
      <c r="A369" s="74">
        <v>45930</v>
      </c>
      <c r="B369" s="67">
        <v>1370</v>
      </c>
      <c r="C369" s="67">
        <v>36990</v>
      </c>
      <c r="D369" s="67">
        <v>51</v>
      </c>
      <c r="E369" s="67">
        <v>26</v>
      </c>
      <c r="F369" s="67">
        <v>9</v>
      </c>
      <c r="G369" s="67">
        <v>8</v>
      </c>
      <c r="H369" s="67">
        <v>85</v>
      </c>
      <c r="I369" s="67">
        <v>14</v>
      </c>
      <c r="J369" s="67">
        <v>94</v>
      </c>
      <c r="K369" s="75">
        <v>6.8613138686131392E-2</v>
      </c>
      <c r="L369" s="67">
        <v>99</v>
      </c>
    </row>
    <row r="370" spans="1:12" x14ac:dyDescent="0.3">
      <c r="A370" s="74">
        <v>45931</v>
      </c>
      <c r="B370" s="67">
        <v>1276</v>
      </c>
      <c r="C370" s="67">
        <v>26796</v>
      </c>
      <c r="D370" s="67">
        <v>60</v>
      </c>
      <c r="E370" s="67">
        <v>25</v>
      </c>
      <c r="F370" s="67">
        <v>6</v>
      </c>
      <c r="G370" s="67">
        <v>6</v>
      </c>
      <c r="H370" s="67">
        <v>66</v>
      </c>
      <c r="I370" s="67">
        <v>15</v>
      </c>
      <c r="J370" s="67">
        <v>97</v>
      </c>
      <c r="K370" s="75">
        <v>7.6018808777429461E-2</v>
      </c>
      <c r="L370" s="67">
        <v>81</v>
      </c>
    </row>
    <row r="371" spans="1:12" x14ac:dyDescent="0.3">
      <c r="A371" s="74">
        <v>45932</v>
      </c>
      <c r="B371" s="67">
        <v>1180</v>
      </c>
      <c r="C371" s="67">
        <v>40120</v>
      </c>
      <c r="D371" s="67">
        <v>43</v>
      </c>
      <c r="E371" s="67">
        <v>15</v>
      </c>
      <c r="F371" s="67">
        <v>7</v>
      </c>
      <c r="G371" s="67">
        <v>4</v>
      </c>
      <c r="H371" s="67">
        <v>76</v>
      </c>
      <c r="I371" s="67">
        <v>14</v>
      </c>
      <c r="J371" s="67">
        <v>69</v>
      </c>
      <c r="K371" s="75">
        <v>5.8474576271186442E-2</v>
      </c>
      <c r="L371" s="67">
        <v>90</v>
      </c>
    </row>
    <row r="372" spans="1:12" x14ac:dyDescent="0.3">
      <c r="A372" s="74">
        <v>45933</v>
      </c>
      <c r="B372" s="67">
        <v>1443</v>
      </c>
      <c r="C372" s="67">
        <v>40404</v>
      </c>
      <c r="D372" s="67">
        <v>50</v>
      </c>
      <c r="E372" s="67">
        <v>26</v>
      </c>
      <c r="F372" s="67">
        <v>5</v>
      </c>
      <c r="G372" s="67">
        <v>5</v>
      </c>
      <c r="H372" s="67">
        <v>85</v>
      </c>
      <c r="I372" s="67">
        <v>16</v>
      </c>
      <c r="J372" s="67">
        <v>86</v>
      </c>
      <c r="K372" s="75">
        <v>5.9598059598059597E-2</v>
      </c>
      <c r="L372" s="67">
        <v>101</v>
      </c>
    </row>
    <row r="373" spans="1:12" x14ac:dyDescent="0.3">
      <c r="A373" s="74">
        <v>45934</v>
      </c>
      <c r="B373" s="67">
        <v>1598</v>
      </c>
      <c r="C373" s="67">
        <v>51136</v>
      </c>
      <c r="D373" s="67">
        <v>76</v>
      </c>
      <c r="E373" s="67">
        <v>31</v>
      </c>
      <c r="F373" s="67">
        <v>8</v>
      </c>
      <c r="G373" s="67">
        <v>6</v>
      </c>
      <c r="H373" s="67">
        <v>84</v>
      </c>
      <c r="I373" s="67">
        <v>17</v>
      </c>
      <c r="J373" s="67">
        <v>121</v>
      </c>
      <c r="K373" s="75">
        <v>7.5719649561952443E-2</v>
      </c>
      <c r="L373" s="67">
        <v>101</v>
      </c>
    </row>
    <row r="374" spans="1:12" x14ac:dyDescent="0.3">
      <c r="A374" s="74">
        <v>45935</v>
      </c>
      <c r="B374" s="67">
        <v>1178</v>
      </c>
      <c r="C374" s="67">
        <v>30628</v>
      </c>
      <c r="D374" s="67">
        <v>45</v>
      </c>
      <c r="E374" s="67">
        <v>16</v>
      </c>
      <c r="F374" s="67">
        <v>6</v>
      </c>
      <c r="G374" s="67">
        <v>7</v>
      </c>
      <c r="H374" s="67">
        <v>74</v>
      </c>
      <c r="I374" s="67">
        <v>14</v>
      </c>
      <c r="J374" s="67">
        <v>74</v>
      </c>
      <c r="K374" s="75">
        <v>6.2818336162988112E-2</v>
      </c>
      <c r="L374" s="67">
        <v>88</v>
      </c>
    </row>
    <row r="375" spans="1:12" x14ac:dyDescent="0.3">
      <c r="A375" s="74">
        <v>45936</v>
      </c>
      <c r="B375" s="67">
        <v>1400</v>
      </c>
      <c r="C375" s="67">
        <v>32200</v>
      </c>
      <c r="D375" s="67">
        <v>62</v>
      </c>
      <c r="E375" s="67">
        <v>21</v>
      </c>
      <c r="F375" s="67">
        <v>5</v>
      </c>
      <c r="G375" s="67">
        <v>7</v>
      </c>
      <c r="H375" s="67">
        <v>82</v>
      </c>
      <c r="I375" s="67">
        <v>21</v>
      </c>
      <c r="J375" s="67">
        <v>95</v>
      </c>
      <c r="K375" s="75">
        <v>6.7857142857142852E-2</v>
      </c>
      <c r="L375" s="67">
        <v>103</v>
      </c>
    </row>
    <row r="376" spans="1:12" x14ac:dyDescent="0.3">
      <c r="A376" s="74">
        <v>45937</v>
      </c>
      <c r="B376" s="67">
        <v>1350</v>
      </c>
      <c r="C376" s="67">
        <v>39150</v>
      </c>
      <c r="D376" s="67">
        <v>31</v>
      </c>
      <c r="E376" s="67">
        <v>12</v>
      </c>
      <c r="F376" s="67">
        <v>4</v>
      </c>
      <c r="G376" s="67">
        <v>3</v>
      </c>
      <c r="H376" s="67">
        <v>80</v>
      </c>
      <c r="I376" s="67">
        <v>16</v>
      </c>
      <c r="J376" s="67">
        <v>50</v>
      </c>
      <c r="K376" s="75">
        <v>3.7037037037037035E-2</v>
      </c>
      <c r="L376" s="67">
        <v>96</v>
      </c>
    </row>
    <row r="377" spans="1:12" x14ac:dyDescent="0.3">
      <c r="A377" s="74">
        <v>45938</v>
      </c>
      <c r="B377" s="67">
        <v>665</v>
      </c>
      <c r="C377" s="67">
        <v>13300</v>
      </c>
      <c r="D377" s="67">
        <v>21</v>
      </c>
      <c r="E377" s="67">
        <v>10</v>
      </c>
      <c r="F377" s="67">
        <v>2</v>
      </c>
      <c r="G377" s="67">
        <v>2</v>
      </c>
      <c r="H377" s="67">
        <v>34</v>
      </c>
      <c r="I377" s="67">
        <v>6</v>
      </c>
      <c r="J377" s="67">
        <v>35</v>
      </c>
      <c r="K377" s="75">
        <v>5.2631578947368418E-2</v>
      </c>
      <c r="L377" s="67">
        <v>40</v>
      </c>
    </row>
    <row r="378" spans="1:12" x14ac:dyDescent="0.3">
      <c r="A378" s="74">
        <v>45939</v>
      </c>
      <c r="B378" s="67">
        <v>583</v>
      </c>
      <c r="C378" s="67">
        <v>18073</v>
      </c>
      <c r="D378" s="67">
        <v>17</v>
      </c>
      <c r="E378" s="67">
        <v>8</v>
      </c>
      <c r="F378" s="67">
        <v>2</v>
      </c>
      <c r="G378" s="67">
        <v>2</v>
      </c>
      <c r="H378" s="67">
        <v>44</v>
      </c>
      <c r="I378" s="67">
        <v>6</v>
      </c>
      <c r="J378" s="67">
        <v>29</v>
      </c>
      <c r="K378" s="75">
        <v>4.974271012006861E-2</v>
      </c>
      <c r="L378" s="67">
        <v>50</v>
      </c>
    </row>
    <row r="379" spans="1:12" x14ac:dyDescent="0.3">
      <c r="A379" s="74">
        <v>45940</v>
      </c>
      <c r="B379" s="67">
        <v>514</v>
      </c>
      <c r="C379" s="67">
        <v>12850</v>
      </c>
      <c r="D379" s="67">
        <v>16</v>
      </c>
      <c r="E379" s="67">
        <v>6</v>
      </c>
      <c r="F379" s="67">
        <v>2</v>
      </c>
      <c r="G379" s="67">
        <v>2</v>
      </c>
      <c r="H379" s="67">
        <v>33</v>
      </c>
      <c r="I379" s="67">
        <v>4</v>
      </c>
      <c r="J379" s="67">
        <v>26</v>
      </c>
      <c r="K379" s="75">
        <v>5.0583657587548639E-2</v>
      </c>
      <c r="L379" s="67">
        <v>37</v>
      </c>
    </row>
    <row r="380" spans="1:12" x14ac:dyDescent="0.3">
      <c r="A380" s="74">
        <v>45941</v>
      </c>
      <c r="B380" s="67">
        <v>675</v>
      </c>
      <c r="C380" s="67">
        <v>13500</v>
      </c>
      <c r="D380" s="67">
        <v>18</v>
      </c>
      <c r="E380" s="67">
        <v>8</v>
      </c>
      <c r="F380" s="67">
        <v>2</v>
      </c>
      <c r="G380" s="67">
        <v>2</v>
      </c>
      <c r="H380" s="67">
        <v>49</v>
      </c>
      <c r="I380" s="67">
        <v>8</v>
      </c>
      <c r="J380" s="67">
        <v>30</v>
      </c>
      <c r="K380" s="75">
        <v>4.4444444444444446E-2</v>
      </c>
      <c r="L380" s="67">
        <v>57</v>
      </c>
    </row>
    <row r="381" spans="1:12" x14ac:dyDescent="0.3">
      <c r="A381" s="74">
        <v>45942</v>
      </c>
      <c r="B381" s="67">
        <v>739</v>
      </c>
      <c r="C381" s="67">
        <v>18475</v>
      </c>
      <c r="D381" s="67">
        <v>19</v>
      </c>
      <c r="E381" s="67">
        <v>8</v>
      </c>
      <c r="F381" s="67">
        <v>2</v>
      </c>
      <c r="G381" s="67">
        <v>2</v>
      </c>
      <c r="H381" s="67">
        <v>35</v>
      </c>
      <c r="I381" s="67">
        <v>4</v>
      </c>
      <c r="J381" s="67">
        <v>31</v>
      </c>
      <c r="K381" s="75">
        <v>4.1948579161028419E-2</v>
      </c>
      <c r="L381" s="67">
        <v>39</v>
      </c>
    </row>
    <row r="382" spans="1:12" x14ac:dyDescent="0.3">
      <c r="A382" s="74">
        <v>45943</v>
      </c>
      <c r="B382" s="67">
        <v>716</v>
      </c>
      <c r="C382" s="67">
        <v>20048</v>
      </c>
      <c r="D382" s="67">
        <v>27</v>
      </c>
      <c r="E382" s="67">
        <v>11</v>
      </c>
      <c r="F382" s="67">
        <v>2</v>
      </c>
      <c r="G382" s="67">
        <v>2</v>
      </c>
      <c r="H382" s="67">
        <v>53</v>
      </c>
      <c r="I382" s="67">
        <v>8</v>
      </c>
      <c r="J382" s="67">
        <v>42</v>
      </c>
      <c r="K382" s="75">
        <v>5.8659217877094973E-2</v>
      </c>
      <c r="L382" s="67">
        <v>61</v>
      </c>
    </row>
    <row r="383" spans="1:12" x14ac:dyDescent="0.3">
      <c r="A383" s="74">
        <v>45944</v>
      </c>
      <c r="B383" s="67">
        <v>638</v>
      </c>
      <c r="C383" s="67">
        <v>16588</v>
      </c>
      <c r="D383" s="67">
        <v>17</v>
      </c>
      <c r="E383" s="67">
        <v>5</v>
      </c>
      <c r="F383" s="67">
        <v>3</v>
      </c>
      <c r="G383" s="67">
        <v>2</v>
      </c>
      <c r="H383" s="67">
        <v>28</v>
      </c>
      <c r="I383" s="67">
        <v>3</v>
      </c>
      <c r="J383" s="67">
        <v>27</v>
      </c>
      <c r="K383" s="75">
        <v>4.2319749216300939E-2</v>
      </c>
      <c r="L383" s="67">
        <v>31</v>
      </c>
    </row>
    <row r="384" spans="1:12" x14ac:dyDescent="0.3">
      <c r="A384" s="74">
        <v>45945</v>
      </c>
      <c r="B384" s="67">
        <v>1328</v>
      </c>
      <c r="C384" s="67">
        <v>43824</v>
      </c>
      <c r="D384" s="67">
        <v>57</v>
      </c>
      <c r="E384" s="67">
        <v>28</v>
      </c>
      <c r="F384" s="67">
        <v>9</v>
      </c>
      <c r="G384" s="67">
        <v>9</v>
      </c>
      <c r="H384" s="67">
        <v>76</v>
      </c>
      <c r="I384" s="67">
        <v>12</v>
      </c>
      <c r="J384" s="67">
        <v>103</v>
      </c>
      <c r="K384" s="75">
        <v>7.7560240963855429E-2</v>
      </c>
      <c r="L384" s="67">
        <v>88</v>
      </c>
    </row>
    <row r="385" spans="1:12" x14ac:dyDescent="0.3">
      <c r="A385" s="74">
        <v>45946</v>
      </c>
      <c r="B385" s="67">
        <v>701</v>
      </c>
      <c r="C385" s="67">
        <v>23834</v>
      </c>
      <c r="D385" s="67">
        <v>18</v>
      </c>
      <c r="E385" s="67">
        <v>6</v>
      </c>
      <c r="F385" s="67">
        <v>2</v>
      </c>
      <c r="G385" s="67">
        <v>2</v>
      </c>
      <c r="H385" s="67">
        <v>40</v>
      </c>
      <c r="I385" s="67">
        <v>4</v>
      </c>
      <c r="J385" s="67">
        <v>28</v>
      </c>
      <c r="K385" s="75">
        <v>3.9942938659058486E-2</v>
      </c>
      <c r="L385" s="67">
        <v>44</v>
      </c>
    </row>
    <row r="386" spans="1:12" x14ac:dyDescent="0.3">
      <c r="A386" s="74">
        <v>45947</v>
      </c>
      <c r="B386" s="67">
        <v>537</v>
      </c>
      <c r="C386" s="67">
        <v>17184</v>
      </c>
      <c r="D386" s="67">
        <v>15</v>
      </c>
      <c r="E386" s="67">
        <v>5</v>
      </c>
      <c r="F386" s="67">
        <v>2</v>
      </c>
      <c r="G386" s="67">
        <v>2</v>
      </c>
      <c r="H386" s="67">
        <v>29</v>
      </c>
      <c r="I386" s="67">
        <v>5</v>
      </c>
      <c r="J386" s="67">
        <v>24</v>
      </c>
      <c r="K386" s="75">
        <v>4.4692737430167599E-2</v>
      </c>
      <c r="L386" s="67">
        <v>34</v>
      </c>
    </row>
    <row r="387" spans="1:12" x14ac:dyDescent="0.3">
      <c r="A387" s="74">
        <v>45948</v>
      </c>
      <c r="B387" s="67">
        <v>845</v>
      </c>
      <c r="C387" s="67">
        <v>20280</v>
      </c>
      <c r="D387" s="67">
        <v>34</v>
      </c>
      <c r="E387" s="67">
        <v>11</v>
      </c>
      <c r="F387" s="67">
        <v>5</v>
      </c>
      <c r="G387" s="67">
        <v>5</v>
      </c>
      <c r="H387" s="67">
        <v>57</v>
      </c>
      <c r="I387" s="67">
        <v>9</v>
      </c>
      <c r="J387" s="67">
        <v>55</v>
      </c>
      <c r="K387" s="75">
        <v>6.5088757396449703E-2</v>
      </c>
      <c r="L387" s="67">
        <v>66</v>
      </c>
    </row>
    <row r="388" spans="1:12" x14ac:dyDescent="0.3">
      <c r="A388" s="74">
        <v>45949</v>
      </c>
      <c r="B388" s="67">
        <v>635</v>
      </c>
      <c r="C388" s="67">
        <v>13335</v>
      </c>
      <c r="D388" s="67">
        <v>17</v>
      </c>
      <c r="E388" s="67">
        <v>7</v>
      </c>
      <c r="F388" s="67">
        <v>2</v>
      </c>
      <c r="G388" s="67">
        <v>2</v>
      </c>
      <c r="H388" s="67">
        <v>34</v>
      </c>
      <c r="I388" s="67">
        <v>6</v>
      </c>
      <c r="J388" s="67">
        <v>28</v>
      </c>
      <c r="K388" s="75">
        <v>4.4094488188976377E-2</v>
      </c>
      <c r="L388" s="67">
        <v>40</v>
      </c>
    </row>
    <row r="389" spans="1:12" x14ac:dyDescent="0.3">
      <c r="A389" s="74">
        <v>45950</v>
      </c>
      <c r="B389" s="67">
        <v>580</v>
      </c>
      <c r="C389" s="67">
        <v>13340</v>
      </c>
      <c r="D389" s="67">
        <v>22</v>
      </c>
      <c r="E389" s="67">
        <v>8</v>
      </c>
      <c r="F389" s="67">
        <v>2</v>
      </c>
      <c r="G389" s="67">
        <v>3</v>
      </c>
      <c r="H389" s="67">
        <v>30</v>
      </c>
      <c r="I389" s="67">
        <v>6</v>
      </c>
      <c r="J389" s="67">
        <v>35</v>
      </c>
      <c r="K389" s="75">
        <v>6.0344827586206899E-2</v>
      </c>
      <c r="L389" s="67">
        <v>36</v>
      </c>
    </row>
    <row r="390" spans="1:12" x14ac:dyDescent="0.3">
      <c r="A390" s="74">
        <v>45951</v>
      </c>
      <c r="B390" s="67">
        <v>530</v>
      </c>
      <c r="C390" s="67">
        <v>12720</v>
      </c>
      <c r="D390" s="67">
        <v>22</v>
      </c>
      <c r="E390" s="67">
        <v>10</v>
      </c>
      <c r="F390" s="67">
        <v>3</v>
      </c>
      <c r="G390" s="67">
        <v>4</v>
      </c>
      <c r="H390" s="67">
        <v>34</v>
      </c>
      <c r="I390" s="67">
        <v>6</v>
      </c>
      <c r="J390" s="67">
        <v>39</v>
      </c>
      <c r="K390" s="75">
        <v>7.3584905660377356E-2</v>
      </c>
      <c r="L390" s="67">
        <v>40</v>
      </c>
    </row>
    <row r="391" spans="1:12" x14ac:dyDescent="0.3">
      <c r="A391" s="74">
        <v>45952</v>
      </c>
      <c r="B391" s="67">
        <v>687</v>
      </c>
      <c r="C391" s="67">
        <v>17862</v>
      </c>
      <c r="D391" s="67">
        <v>25</v>
      </c>
      <c r="E391" s="67">
        <v>10</v>
      </c>
      <c r="F391" s="67">
        <v>2</v>
      </c>
      <c r="G391" s="67">
        <v>4</v>
      </c>
      <c r="H391" s="67">
        <v>52</v>
      </c>
      <c r="I391" s="67">
        <v>8</v>
      </c>
      <c r="J391" s="67">
        <v>41</v>
      </c>
      <c r="K391" s="75">
        <v>5.9679767103347887E-2</v>
      </c>
      <c r="L391" s="67">
        <v>60</v>
      </c>
    </row>
    <row r="392" spans="1:12" x14ac:dyDescent="0.3">
      <c r="A392" s="74">
        <v>45953</v>
      </c>
      <c r="B392" s="67">
        <v>634</v>
      </c>
      <c r="C392" s="67">
        <v>17752</v>
      </c>
      <c r="D392" s="67">
        <v>22</v>
      </c>
      <c r="E392" s="67">
        <v>8</v>
      </c>
      <c r="F392" s="67">
        <v>3</v>
      </c>
      <c r="G392" s="67">
        <v>2</v>
      </c>
      <c r="H392" s="67">
        <v>41</v>
      </c>
      <c r="I392" s="67">
        <v>8</v>
      </c>
      <c r="J392" s="67">
        <v>35</v>
      </c>
      <c r="K392" s="75">
        <v>5.5205047318611984E-2</v>
      </c>
      <c r="L392" s="67">
        <v>49</v>
      </c>
    </row>
    <row r="393" spans="1:12" x14ac:dyDescent="0.3">
      <c r="A393" s="74">
        <v>45954</v>
      </c>
      <c r="B393" s="67">
        <v>693</v>
      </c>
      <c r="C393" s="67">
        <v>18018</v>
      </c>
      <c r="D393" s="67">
        <v>30</v>
      </c>
      <c r="E393" s="67">
        <v>14</v>
      </c>
      <c r="F393" s="67">
        <v>4</v>
      </c>
      <c r="G393" s="67">
        <v>4</v>
      </c>
      <c r="H393" s="67">
        <v>34</v>
      </c>
      <c r="I393" s="67">
        <v>6</v>
      </c>
      <c r="J393" s="67">
        <v>52</v>
      </c>
      <c r="K393" s="75">
        <v>7.5036075036075039E-2</v>
      </c>
      <c r="L393" s="67">
        <v>40</v>
      </c>
    </row>
    <row r="394" spans="1:12" x14ac:dyDescent="0.3">
      <c r="A394" s="74">
        <v>45955</v>
      </c>
      <c r="B394" s="67">
        <v>856</v>
      </c>
      <c r="C394" s="67">
        <v>19688</v>
      </c>
      <c r="D394" s="67">
        <v>36</v>
      </c>
      <c r="E394" s="67">
        <v>18</v>
      </c>
      <c r="F394" s="67">
        <v>4</v>
      </c>
      <c r="G394" s="67">
        <v>5</v>
      </c>
      <c r="H394" s="67">
        <v>53</v>
      </c>
      <c r="I394" s="67">
        <v>10</v>
      </c>
      <c r="J394" s="67">
        <v>63</v>
      </c>
      <c r="K394" s="75">
        <v>7.359813084112149E-2</v>
      </c>
      <c r="L394" s="67">
        <v>63</v>
      </c>
    </row>
    <row r="395" spans="1:12" x14ac:dyDescent="0.3">
      <c r="A395" s="74">
        <v>45956</v>
      </c>
      <c r="B395" s="67">
        <v>788</v>
      </c>
      <c r="C395" s="67">
        <v>21276</v>
      </c>
      <c r="D395" s="67">
        <v>20</v>
      </c>
      <c r="E395" s="67">
        <v>10</v>
      </c>
      <c r="F395" s="67">
        <v>2</v>
      </c>
      <c r="G395" s="67">
        <v>3</v>
      </c>
      <c r="H395" s="67">
        <v>60</v>
      </c>
      <c r="I395" s="67">
        <v>11</v>
      </c>
      <c r="J395" s="67">
        <v>35</v>
      </c>
      <c r="K395" s="75">
        <v>4.4416243654822336E-2</v>
      </c>
      <c r="L395" s="67">
        <v>71</v>
      </c>
    </row>
    <row r="396" spans="1:12" x14ac:dyDescent="0.3">
      <c r="A396" s="74">
        <v>45957</v>
      </c>
      <c r="B396" s="67">
        <v>566</v>
      </c>
      <c r="C396" s="67">
        <v>15848</v>
      </c>
      <c r="D396" s="67">
        <v>20</v>
      </c>
      <c r="E396" s="67">
        <v>8</v>
      </c>
      <c r="F396" s="67">
        <v>3</v>
      </c>
      <c r="G396" s="67">
        <v>3</v>
      </c>
      <c r="H396" s="67">
        <v>25</v>
      </c>
      <c r="I396" s="67">
        <v>3</v>
      </c>
      <c r="J396" s="67">
        <v>34</v>
      </c>
      <c r="K396" s="75">
        <v>6.0070671378091869E-2</v>
      </c>
      <c r="L396" s="67">
        <v>28</v>
      </c>
    </row>
    <row r="397" spans="1:12" x14ac:dyDescent="0.3">
      <c r="A397" s="74">
        <v>45958</v>
      </c>
      <c r="B397" s="67">
        <v>638</v>
      </c>
      <c r="C397" s="67">
        <v>18502</v>
      </c>
      <c r="D397" s="67">
        <v>13</v>
      </c>
      <c r="E397" s="67">
        <v>6</v>
      </c>
      <c r="F397" s="67">
        <v>1</v>
      </c>
      <c r="G397" s="67">
        <v>1</v>
      </c>
      <c r="H397" s="67">
        <v>35</v>
      </c>
      <c r="I397" s="67">
        <v>5</v>
      </c>
      <c r="J397" s="67">
        <v>21</v>
      </c>
      <c r="K397" s="75">
        <v>3.2915360501567396E-2</v>
      </c>
      <c r="L397" s="67">
        <v>40</v>
      </c>
    </row>
    <row r="398" spans="1:12" x14ac:dyDescent="0.3">
      <c r="A398" s="74">
        <v>45959</v>
      </c>
      <c r="B398" s="67">
        <v>648</v>
      </c>
      <c r="C398" s="67">
        <v>18792</v>
      </c>
      <c r="D398" s="67">
        <v>29</v>
      </c>
      <c r="E398" s="67">
        <v>10</v>
      </c>
      <c r="F398" s="67">
        <v>3</v>
      </c>
      <c r="G398" s="67">
        <v>4</v>
      </c>
      <c r="H398" s="67">
        <v>32</v>
      </c>
      <c r="I398" s="67">
        <v>4</v>
      </c>
      <c r="J398" s="67">
        <v>46</v>
      </c>
      <c r="K398" s="75">
        <v>7.098765432098765E-2</v>
      </c>
      <c r="L398" s="67">
        <v>36</v>
      </c>
    </row>
    <row r="399" spans="1:12" x14ac:dyDescent="0.3">
      <c r="A399" s="74">
        <v>45960</v>
      </c>
      <c r="B399" s="67">
        <v>592</v>
      </c>
      <c r="C399" s="67">
        <v>20720</v>
      </c>
      <c r="D399" s="67">
        <v>19</v>
      </c>
      <c r="E399" s="67">
        <v>7</v>
      </c>
      <c r="F399" s="67">
        <v>2</v>
      </c>
      <c r="G399" s="67">
        <v>2</v>
      </c>
      <c r="H399" s="67">
        <v>38</v>
      </c>
      <c r="I399" s="67">
        <v>6</v>
      </c>
      <c r="J399" s="67">
        <v>30</v>
      </c>
      <c r="K399" s="75">
        <v>5.0675675675675678E-2</v>
      </c>
      <c r="L399" s="67">
        <v>44</v>
      </c>
    </row>
    <row r="400" spans="1:12" x14ac:dyDescent="0.3">
      <c r="A400" s="74">
        <v>45961</v>
      </c>
      <c r="B400" s="67">
        <v>561</v>
      </c>
      <c r="C400" s="67">
        <v>11220</v>
      </c>
      <c r="D400" s="67">
        <v>13</v>
      </c>
      <c r="E400" s="67">
        <v>6</v>
      </c>
      <c r="F400" s="67">
        <v>2</v>
      </c>
      <c r="G400" s="67">
        <v>1</v>
      </c>
      <c r="H400" s="67">
        <v>41</v>
      </c>
      <c r="I400" s="67">
        <v>6</v>
      </c>
      <c r="J400" s="67">
        <v>22</v>
      </c>
      <c r="K400" s="75">
        <v>3.9215686274509803E-2</v>
      </c>
      <c r="L400" s="67">
        <v>47</v>
      </c>
    </row>
    <row r="401" spans="1:12" x14ac:dyDescent="0.3">
      <c r="A401" s="74">
        <v>45962</v>
      </c>
      <c r="B401" s="67">
        <v>743</v>
      </c>
      <c r="C401" s="67">
        <v>14117</v>
      </c>
      <c r="D401" s="67">
        <v>22</v>
      </c>
      <c r="E401" s="67">
        <v>9</v>
      </c>
      <c r="F401" s="67">
        <v>4</v>
      </c>
      <c r="G401" s="67">
        <v>2</v>
      </c>
      <c r="H401" s="67">
        <v>31</v>
      </c>
      <c r="I401" s="67">
        <v>5</v>
      </c>
      <c r="J401" s="67">
        <v>37</v>
      </c>
      <c r="K401" s="75">
        <v>4.9798115746971738E-2</v>
      </c>
      <c r="L401" s="67">
        <v>36</v>
      </c>
    </row>
    <row r="402" spans="1:12" x14ac:dyDescent="0.3">
      <c r="A402" s="74">
        <v>45963</v>
      </c>
      <c r="B402" s="67">
        <v>655</v>
      </c>
      <c r="C402" s="67">
        <v>17685</v>
      </c>
      <c r="D402" s="67">
        <v>22</v>
      </c>
      <c r="E402" s="67">
        <v>8</v>
      </c>
      <c r="F402" s="67">
        <v>2</v>
      </c>
      <c r="G402" s="67">
        <v>3</v>
      </c>
      <c r="H402" s="67">
        <v>38</v>
      </c>
      <c r="I402" s="67">
        <v>6</v>
      </c>
      <c r="J402" s="67">
        <v>35</v>
      </c>
      <c r="K402" s="75">
        <v>5.3435114503816793E-2</v>
      </c>
      <c r="L402" s="67">
        <v>44</v>
      </c>
    </row>
    <row r="403" spans="1:12" x14ac:dyDescent="0.3">
      <c r="A403" s="74">
        <v>45964</v>
      </c>
      <c r="B403" s="67">
        <v>640</v>
      </c>
      <c r="C403" s="67">
        <v>20480</v>
      </c>
      <c r="D403" s="67">
        <v>24</v>
      </c>
      <c r="E403" s="67">
        <v>9</v>
      </c>
      <c r="F403" s="67">
        <v>3</v>
      </c>
      <c r="G403" s="67">
        <v>3</v>
      </c>
      <c r="H403" s="67">
        <v>44</v>
      </c>
      <c r="I403" s="67">
        <v>6</v>
      </c>
      <c r="J403" s="67">
        <v>39</v>
      </c>
      <c r="K403" s="75">
        <v>6.0937499999999999E-2</v>
      </c>
      <c r="L403" s="67">
        <v>50</v>
      </c>
    </row>
    <row r="404" spans="1:12" x14ac:dyDescent="0.3">
      <c r="A404" s="74">
        <v>45965</v>
      </c>
      <c r="B404" s="67">
        <v>741</v>
      </c>
      <c r="C404" s="67">
        <v>15561</v>
      </c>
      <c r="D404" s="67">
        <v>26</v>
      </c>
      <c r="E404" s="67">
        <v>12</v>
      </c>
      <c r="F404" s="67">
        <v>3</v>
      </c>
      <c r="G404" s="67">
        <v>4</v>
      </c>
      <c r="H404" s="67">
        <v>39</v>
      </c>
      <c r="I404" s="67">
        <v>6</v>
      </c>
      <c r="J404" s="67">
        <v>45</v>
      </c>
      <c r="K404" s="75">
        <v>6.0728744939271252E-2</v>
      </c>
      <c r="L404" s="67">
        <v>45</v>
      </c>
    </row>
    <row r="405" spans="1:12" x14ac:dyDescent="0.3">
      <c r="A405" s="74">
        <v>45966</v>
      </c>
      <c r="B405" s="67">
        <v>566</v>
      </c>
      <c r="C405" s="67">
        <v>13584</v>
      </c>
      <c r="D405" s="67">
        <v>23</v>
      </c>
      <c r="E405" s="67">
        <v>9</v>
      </c>
      <c r="F405" s="67">
        <v>3</v>
      </c>
      <c r="G405" s="67">
        <v>3</v>
      </c>
      <c r="H405" s="67">
        <v>40</v>
      </c>
      <c r="I405" s="67">
        <v>5</v>
      </c>
      <c r="J405" s="67">
        <v>38</v>
      </c>
      <c r="K405" s="75">
        <v>6.7137809187279157E-2</v>
      </c>
      <c r="L405" s="67">
        <v>45</v>
      </c>
    </row>
    <row r="406" spans="1:12" x14ac:dyDescent="0.3">
      <c r="A406" s="74">
        <v>45967</v>
      </c>
      <c r="B406" s="67">
        <v>577</v>
      </c>
      <c r="C406" s="67">
        <v>20195</v>
      </c>
      <c r="D406" s="67">
        <v>26</v>
      </c>
      <c r="E406" s="67">
        <v>9</v>
      </c>
      <c r="F406" s="67">
        <v>3</v>
      </c>
      <c r="G406" s="67">
        <v>4</v>
      </c>
      <c r="H406" s="67">
        <v>27</v>
      </c>
      <c r="I406" s="67">
        <v>5</v>
      </c>
      <c r="J406" s="67">
        <v>42</v>
      </c>
      <c r="K406" s="75">
        <v>7.2790294627383012E-2</v>
      </c>
      <c r="L406" s="67">
        <v>32</v>
      </c>
    </row>
    <row r="407" spans="1:12" x14ac:dyDescent="0.3">
      <c r="A407" s="74">
        <v>45968</v>
      </c>
      <c r="B407" s="67">
        <v>733</v>
      </c>
      <c r="C407" s="67">
        <v>18325</v>
      </c>
      <c r="D407" s="67">
        <v>29</v>
      </c>
      <c r="E407" s="67">
        <v>14</v>
      </c>
      <c r="F407" s="67">
        <v>3</v>
      </c>
      <c r="G407" s="67">
        <v>3</v>
      </c>
      <c r="H407" s="67">
        <v>45</v>
      </c>
      <c r="I407" s="67">
        <v>5</v>
      </c>
      <c r="J407" s="67">
        <v>49</v>
      </c>
      <c r="K407" s="75">
        <v>6.6848567530695777E-2</v>
      </c>
      <c r="L407" s="67">
        <v>50</v>
      </c>
    </row>
    <row r="408" spans="1:12" x14ac:dyDescent="0.3">
      <c r="A408" s="74">
        <v>45969</v>
      </c>
      <c r="B408" s="67">
        <v>803</v>
      </c>
      <c r="C408" s="67">
        <v>26499</v>
      </c>
      <c r="D408" s="67">
        <v>37</v>
      </c>
      <c r="E408" s="67">
        <v>16</v>
      </c>
      <c r="F408" s="67">
        <v>5</v>
      </c>
      <c r="G408" s="67">
        <v>6</v>
      </c>
      <c r="H408" s="67">
        <v>38</v>
      </c>
      <c r="I408" s="67">
        <v>4</v>
      </c>
      <c r="J408" s="67">
        <v>64</v>
      </c>
      <c r="K408" s="75">
        <v>7.9701120797011207E-2</v>
      </c>
      <c r="L408" s="67">
        <v>42</v>
      </c>
    </row>
    <row r="409" spans="1:12" x14ac:dyDescent="0.3">
      <c r="A409" s="74">
        <v>45970</v>
      </c>
      <c r="B409" s="67">
        <v>1562</v>
      </c>
      <c r="C409" s="67">
        <v>45298</v>
      </c>
      <c r="D409" s="67">
        <v>67</v>
      </c>
      <c r="E409" s="67">
        <v>30</v>
      </c>
      <c r="F409" s="67">
        <v>7</v>
      </c>
      <c r="G409" s="67">
        <v>6</v>
      </c>
      <c r="H409" s="67">
        <v>74</v>
      </c>
      <c r="I409" s="67">
        <v>10</v>
      </c>
      <c r="J409" s="67">
        <v>110</v>
      </c>
      <c r="K409" s="75">
        <v>7.0422535211267609E-2</v>
      </c>
      <c r="L409" s="67">
        <v>84</v>
      </c>
    </row>
    <row r="410" spans="1:12" x14ac:dyDescent="0.3">
      <c r="A410" s="74">
        <v>45971</v>
      </c>
      <c r="B410" s="67">
        <v>1857</v>
      </c>
      <c r="C410" s="67">
        <v>33426</v>
      </c>
      <c r="D410" s="67">
        <v>64</v>
      </c>
      <c r="E410" s="67">
        <v>28</v>
      </c>
      <c r="F410" s="67">
        <v>11</v>
      </c>
      <c r="G410" s="67">
        <v>8</v>
      </c>
      <c r="H410" s="67">
        <v>128</v>
      </c>
      <c r="I410" s="67">
        <v>30</v>
      </c>
      <c r="J410" s="67">
        <v>111</v>
      </c>
      <c r="K410" s="75">
        <v>5.9773828756058162E-2</v>
      </c>
      <c r="L410" s="67">
        <v>158</v>
      </c>
    </row>
    <row r="411" spans="1:12" x14ac:dyDescent="0.3">
      <c r="A411" s="74">
        <v>45972</v>
      </c>
      <c r="B411" s="67">
        <v>1584</v>
      </c>
      <c r="C411" s="67">
        <v>49104</v>
      </c>
      <c r="D411" s="67">
        <v>59</v>
      </c>
      <c r="E411" s="67">
        <v>26</v>
      </c>
      <c r="F411" s="67">
        <v>5</v>
      </c>
      <c r="G411" s="67">
        <v>8</v>
      </c>
      <c r="H411" s="67">
        <v>101</v>
      </c>
      <c r="I411" s="67">
        <v>15</v>
      </c>
      <c r="J411" s="67">
        <v>98</v>
      </c>
      <c r="K411" s="75">
        <v>6.1868686868686872E-2</v>
      </c>
      <c r="L411" s="67">
        <v>116</v>
      </c>
    </row>
    <row r="412" spans="1:12" x14ac:dyDescent="0.3">
      <c r="A412" s="74">
        <v>45973</v>
      </c>
      <c r="B412" s="67">
        <v>1980</v>
      </c>
      <c r="C412" s="67">
        <v>55440</v>
      </c>
      <c r="D412" s="67">
        <v>83</v>
      </c>
      <c r="E412" s="67">
        <v>32</v>
      </c>
      <c r="F412" s="67">
        <v>12</v>
      </c>
      <c r="G412" s="67">
        <v>9</v>
      </c>
      <c r="H412" s="67">
        <v>82</v>
      </c>
      <c r="I412" s="67">
        <v>22</v>
      </c>
      <c r="J412" s="67">
        <v>136</v>
      </c>
      <c r="K412" s="75">
        <v>6.8686868686868685E-2</v>
      </c>
      <c r="L412" s="67">
        <v>104</v>
      </c>
    </row>
    <row r="413" spans="1:12" x14ac:dyDescent="0.3">
      <c r="A413" s="74">
        <v>45974</v>
      </c>
      <c r="B413" s="67">
        <v>1689</v>
      </c>
      <c r="C413" s="67">
        <v>42225</v>
      </c>
      <c r="D413" s="67">
        <v>39</v>
      </c>
      <c r="E413" s="67">
        <v>17</v>
      </c>
      <c r="F413" s="67">
        <v>6</v>
      </c>
      <c r="G413" s="67">
        <v>4</v>
      </c>
      <c r="H413" s="67">
        <v>102</v>
      </c>
      <c r="I413" s="67">
        <v>18</v>
      </c>
      <c r="J413" s="67">
        <v>66</v>
      </c>
      <c r="K413" s="75">
        <v>3.9076376554174071E-2</v>
      </c>
      <c r="L413" s="67">
        <v>120</v>
      </c>
    </row>
    <row r="414" spans="1:12" x14ac:dyDescent="0.3">
      <c r="A414" s="74">
        <v>45975</v>
      </c>
      <c r="B414" s="67">
        <v>773</v>
      </c>
      <c r="C414" s="67">
        <v>22417</v>
      </c>
      <c r="D414" s="67">
        <v>27</v>
      </c>
      <c r="E414" s="67">
        <v>11</v>
      </c>
      <c r="F414" s="67">
        <v>4</v>
      </c>
      <c r="G414" s="67">
        <v>4</v>
      </c>
      <c r="H414" s="67">
        <v>41</v>
      </c>
      <c r="I414" s="67">
        <v>6</v>
      </c>
      <c r="J414" s="67">
        <v>46</v>
      </c>
      <c r="K414" s="75">
        <v>5.9508408796895215E-2</v>
      </c>
      <c r="L414" s="67">
        <v>47</v>
      </c>
    </row>
    <row r="415" spans="1:12" x14ac:dyDescent="0.3">
      <c r="A415" s="74">
        <v>45976</v>
      </c>
      <c r="B415" s="67">
        <v>730</v>
      </c>
      <c r="C415" s="67">
        <v>15330</v>
      </c>
      <c r="D415" s="67">
        <v>17</v>
      </c>
      <c r="E415" s="67">
        <v>6</v>
      </c>
      <c r="F415" s="67">
        <v>1</v>
      </c>
      <c r="G415" s="67">
        <v>1</v>
      </c>
      <c r="H415" s="67">
        <v>35</v>
      </c>
      <c r="I415" s="67">
        <v>5</v>
      </c>
      <c r="J415" s="67">
        <v>25</v>
      </c>
      <c r="K415" s="75">
        <v>3.4246575342465752E-2</v>
      </c>
      <c r="L415" s="67">
        <v>40</v>
      </c>
    </row>
    <row r="416" spans="1:12" x14ac:dyDescent="0.3">
      <c r="A416" s="74">
        <v>45977</v>
      </c>
      <c r="B416" s="67">
        <v>746</v>
      </c>
      <c r="C416" s="67">
        <v>17904</v>
      </c>
      <c r="D416" s="67">
        <v>20</v>
      </c>
      <c r="E416" s="67">
        <v>8</v>
      </c>
      <c r="F416" s="67">
        <v>3</v>
      </c>
      <c r="G416" s="67">
        <v>3</v>
      </c>
      <c r="H416" s="67">
        <v>54</v>
      </c>
      <c r="I416" s="67">
        <v>8</v>
      </c>
      <c r="J416" s="67">
        <v>34</v>
      </c>
      <c r="K416" s="75">
        <v>4.5576407506702415E-2</v>
      </c>
      <c r="L416" s="67">
        <v>62</v>
      </c>
    </row>
    <row r="417" spans="1:12" x14ac:dyDescent="0.3">
      <c r="A417" s="74">
        <v>45978</v>
      </c>
      <c r="B417" s="67">
        <v>671</v>
      </c>
      <c r="C417" s="67">
        <v>17446</v>
      </c>
      <c r="D417" s="67">
        <v>33</v>
      </c>
      <c r="E417" s="67">
        <v>11</v>
      </c>
      <c r="F417" s="67">
        <v>3</v>
      </c>
      <c r="G417" s="67">
        <v>5</v>
      </c>
      <c r="H417" s="67">
        <v>41</v>
      </c>
      <c r="I417" s="67">
        <v>7</v>
      </c>
      <c r="J417" s="67">
        <v>52</v>
      </c>
      <c r="K417" s="75">
        <v>7.7496274217585689E-2</v>
      </c>
      <c r="L417" s="67">
        <v>48</v>
      </c>
    </row>
    <row r="418" spans="1:12" x14ac:dyDescent="0.3">
      <c r="A418" s="74">
        <v>45979</v>
      </c>
      <c r="B418" s="67">
        <v>768</v>
      </c>
      <c r="C418" s="67">
        <v>22272</v>
      </c>
      <c r="D418" s="67">
        <v>23</v>
      </c>
      <c r="E418" s="67">
        <v>10</v>
      </c>
      <c r="F418" s="67">
        <v>2</v>
      </c>
      <c r="G418" s="67">
        <v>3</v>
      </c>
      <c r="H418" s="67">
        <v>49</v>
      </c>
      <c r="I418" s="67">
        <v>6</v>
      </c>
      <c r="J418" s="67">
        <v>38</v>
      </c>
      <c r="K418" s="75">
        <v>4.9479166666666664E-2</v>
      </c>
      <c r="L418" s="67">
        <v>55</v>
      </c>
    </row>
    <row r="419" spans="1:12" x14ac:dyDescent="0.3">
      <c r="A419" s="74">
        <v>45980</v>
      </c>
      <c r="B419" s="67">
        <v>563</v>
      </c>
      <c r="C419" s="67">
        <v>15201</v>
      </c>
      <c r="D419" s="67">
        <v>22</v>
      </c>
      <c r="E419" s="67">
        <v>9</v>
      </c>
      <c r="F419" s="67">
        <v>2</v>
      </c>
      <c r="G419" s="67">
        <v>3</v>
      </c>
      <c r="H419" s="67">
        <v>25</v>
      </c>
      <c r="I419" s="67">
        <v>3</v>
      </c>
      <c r="J419" s="67">
        <v>36</v>
      </c>
      <c r="K419" s="75">
        <v>6.3943161634103018E-2</v>
      </c>
      <c r="L419" s="67">
        <v>28</v>
      </c>
    </row>
    <row r="420" spans="1:12" x14ac:dyDescent="0.3">
      <c r="A420" s="74">
        <v>45981</v>
      </c>
      <c r="B420" s="67">
        <v>655</v>
      </c>
      <c r="C420" s="67">
        <v>13100</v>
      </c>
      <c r="D420" s="67">
        <v>27</v>
      </c>
      <c r="E420" s="67">
        <v>11</v>
      </c>
      <c r="F420" s="67">
        <v>3</v>
      </c>
      <c r="G420" s="67">
        <v>2</v>
      </c>
      <c r="H420" s="67">
        <v>32</v>
      </c>
      <c r="I420" s="67">
        <v>6</v>
      </c>
      <c r="J420" s="67">
        <v>43</v>
      </c>
      <c r="K420" s="75">
        <v>6.5648854961832065E-2</v>
      </c>
      <c r="L420" s="67">
        <v>38</v>
      </c>
    </row>
    <row r="421" spans="1:12" x14ac:dyDescent="0.3">
      <c r="A421" s="74">
        <v>45982</v>
      </c>
      <c r="B421" s="67">
        <v>658</v>
      </c>
      <c r="C421" s="67">
        <v>23030</v>
      </c>
      <c r="D421" s="67">
        <v>24</v>
      </c>
      <c r="E421" s="67">
        <v>8</v>
      </c>
      <c r="F421" s="67">
        <v>3</v>
      </c>
      <c r="G421" s="67">
        <v>3</v>
      </c>
      <c r="H421" s="67">
        <v>38</v>
      </c>
      <c r="I421" s="67">
        <v>5</v>
      </c>
      <c r="J421" s="67">
        <v>38</v>
      </c>
      <c r="K421" s="75">
        <v>5.7750759878419454E-2</v>
      </c>
      <c r="L421" s="67">
        <v>43</v>
      </c>
    </row>
    <row r="422" spans="1:12" x14ac:dyDescent="0.3">
      <c r="A422" s="74">
        <v>45983</v>
      </c>
      <c r="B422" s="67">
        <v>692</v>
      </c>
      <c r="C422" s="67">
        <v>18684</v>
      </c>
      <c r="D422" s="67">
        <v>29</v>
      </c>
      <c r="E422" s="67">
        <v>10</v>
      </c>
      <c r="F422" s="67">
        <v>3</v>
      </c>
      <c r="G422" s="67">
        <v>4</v>
      </c>
      <c r="H422" s="67">
        <v>34</v>
      </c>
      <c r="I422" s="67">
        <v>6</v>
      </c>
      <c r="J422" s="67">
        <v>46</v>
      </c>
      <c r="K422" s="75">
        <v>6.6473988439306353E-2</v>
      </c>
      <c r="L422" s="67">
        <v>40</v>
      </c>
    </row>
    <row r="423" spans="1:12" x14ac:dyDescent="0.3">
      <c r="A423" s="74">
        <v>45984</v>
      </c>
      <c r="B423" s="67">
        <v>889</v>
      </c>
      <c r="C423" s="67">
        <v>18669</v>
      </c>
      <c r="D423" s="67">
        <v>23</v>
      </c>
      <c r="E423" s="67">
        <v>9</v>
      </c>
      <c r="F423" s="67">
        <v>3</v>
      </c>
      <c r="G423" s="67">
        <v>3</v>
      </c>
      <c r="H423" s="67">
        <v>59</v>
      </c>
      <c r="I423" s="67">
        <v>6</v>
      </c>
      <c r="J423" s="67">
        <v>38</v>
      </c>
      <c r="K423" s="75">
        <v>4.2744656917885267E-2</v>
      </c>
      <c r="L423" s="67">
        <v>65</v>
      </c>
    </row>
    <row r="424" spans="1:12" x14ac:dyDescent="0.3">
      <c r="A424" s="74">
        <v>45985</v>
      </c>
      <c r="B424" s="67">
        <v>742</v>
      </c>
      <c r="C424" s="67">
        <v>23002</v>
      </c>
      <c r="D424" s="67">
        <v>31</v>
      </c>
      <c r="E424" s="67">
        <v>12</v>
      </c>
      <c r="F424" s="67">
        <v>4</v>
      </c>
      <c r="G424" s="67">
        <v>3</v>
      </c>
      <c r="H424" s="67">
        <v>36</v>
      </c>
      <c r="I424" s="67">
        <v>6</v>
      </c>
      <c r="J424" s="67">
        <v>50</v>
      </c>
      <c r="K424" s="75">
        <v>6.7385444743935305E-2</v>
      </c>
      <c r="L424" s="67">
        <v>42</v>
      </c>
    </row>
    <row r="425" spans="1:12" x14ac:dyDescent="0.3">
      <c r="A425" s="74">
        <v>45986</v>
      </c>
      <c r="B425" s="67">
        <v>780</v>
      </c>
      <c r="C425" s="67">
        <v>24180</v>
      </c>
      <c r="D425" s="67">
        <v>31</v>
      </c>
      <c r="E425" s="67">
        <v>11</v>
      </c>
      <c r="F425" s="67">
        <v>5</v>
      </c>
      <c r="G425" s="67">
        <v>3</v>
      </c>
      <c r="H425" s="67">
        <v>54</v>
      </c>
      <c r="I425" s="67">
        <v>9</v>
      </c>
      <c r="J425" s="67">
        <v>50</v>
      </c>
      <c r="K425" s="75">
        <v>6.4102564102564097E-2</v>
      </c>
      <c r="L425" s="67">
        <v>63</v>
      </c>
    </row>
    <row r="426" spans="1:12" x14ac:dyDescent="0.3">
      <c r="A426" s="74">
        <v>45987</v>
      </c>
      <c r="B426" s="67">
        <v>1665</v>
      </c>
      <c r="C426" s="67">
        <v>41625</v>
      </c>
      <c r="D426" s="67">
        <v>60</v>
      </c>
      <c r="E426" s="67">
        <v>23</v>
      </c>
      <c r="F426" s="67">
        <v>9</v>
      </c>
      <c r="G426" s="67">
        <v>10</v>
      </c>
      <c r="H426" s="67">
        <v>112</v>
      </c>
      <c r="I426" s="67">
        <v>17</v>
      </c>
      <c r="J426" s="67">
        <v>102</v>
      </c>
      <c r="K426" s="75">
        <v>6.126126126126126E-2</v>
      </c>
      <c r="L426" s="67">
        <v>129</v>
      </c>
    </row>
    <row r="427" spans="1:12" x14ac:dyDescent="0.3">
      <c r="A427" s="74">
        <v>45988</v>
      </c>
      <c r="B427" s="67">
        <v>684</v>
      </c>
      <c r="C427" s="67">
        <v>21888</v>
      </c>
      <c r="D427" s="67">
        <v>23</v>
      </c>
      <c r="E427" s="67">
        <v>11</v>
      </c>
      <c r="F427" s="67">
        <v>2</v>
      </c>
      <c r="G427" s="67">
        <v>4</v>
      </c>
      <c r="H427" s="67">
        <v>33</v>
      </c>
      <c r="I427" s="67">
        <v>5</v>
      </c>
      <c r="J427" s="67">
        <v>40</v>
      </c>
      <c r="K427" s="75">
        <v>5.8479532163742687E-2</v>
      </c>
      <c r="L427" s="67">
        <v>38</v>
      </c>
    </row>
    <row r="428" spans="1:12" x14ac:dyDescent="0.3">
      <c r="A428" s="74">
        <v>45989</v>
      </c>
      <c r="B428" s="67">
        <v>793</v>
      </c>
      <c r="C428" s="67">
        <v>25376</v>
      </c>
      <c r="D428" s="67">
        <v>25</v>
      </c>
      <c r="E428" s="67">
        <v>8</v>
      </c>
      <c r="F428" s="67">
        <v>3</v>
      </c>
      <c r="G428" s="67">
        <v>4</v>
      </c>
      <c r="H428" s="67">
        <v>39</v>
      </c>
      <c r="I428" s="67">
        <v>6</v>
      </c>
      <c r="J428" s="67">
        <v>40</v>
      </c>
      <c r="K428" s="75">
        <v>5.0441361916771753E-2</v>
      </c>
      <c r="L428" s="67">
        <v>45</v>
      </c>
    </row>
    <row r="429" spans="1:12" x14ac:dyDescent="0.3">
      <c r="A429" s="74">
        <v>45990</v>
      </c>
      <c r="B429" s="67">
        <v>820</v>
      </c>
      <c r="C429" s="67">
        <v>21320</v>
      </c>
      <c r="D429" s="67">
        <v>30</v>
      </c>
      <c r="E429" s="67">
        <v>15</v>
      </c>
      <c r="F429" s="67">
        <v>4</v>
      </c>
      <c r="G429" s="67">
        <v>5</v>
      </c>
      <c r="H429" s="67">
        <v>64</v>
      </c>
      <c r="I429" s="67">
        <v>11</v>
      </c>
      <c r="J429" s="67">
        <v>54</v>
      </c>
      <c r="K429" s="75">
        <v>6.5853658536585369E-2</v>
      </c>
      <c r="L429" s="67">
        <v>75</v>
      </c>
    </row>
    <row r="430" spans="1:12" x14ac:dyDescent="0.3">
      <c r="A430" s="74">
        <v>45991</v>
      </c>
      <c r="B430" s="67">
        <v>682</v>
      </c>
      <c r="C430" s="67">
        <v>13640</v>
      </c>
      <c r="D430" s="67">
        <v>26</v>
      </c>
      <c r="E430" s="67">
        <v>11</v>
      </c>
      <c r="F430" s="67">
        <v>3</v>
      </c>
      <c r="G430" s="67">
        <v>3</v>
      </c>
      <c r="H430" s="67">
        <v>33</v>
      </c>
      <c r="I430" s="67">
        <v>6</v>
      </c>
      <c r="J430" s="67">
        <v>43</v>
      </c>
      <c r="K430" s="75">
        <v>6.3049853372434017E-2</v>
      </c>
      <c r="L430" s="67">
        <v>39</v>
      </c>
    </row>
    <row r="431" spans="1:12" x14ac:dyDescent="0.3">
      <c r="A431" s="74">
        <v>45992</v>
      </c>
      <c r="B431" s="67">
        <v>586</v>
      </c>
      <c r="C431" s="67">
        <v>15822</v>
      </c>
      <c r="D431" s="67">
        <v>20</v>
      </c>
      <c r="E431" s="67">
        <v>8</v>
      </c>
      <c r="F431" s="67">
        <v>2</v>
      </c>
      <c r="G431" s="67">
        <v>2</v>
      </c>
      <c r="H431" s="67">
        <v>24</v>
      </c>
      <c r="I431" s="67">
        <v>5</v>
      </c>
      <c r="J431" s="67">
        <v>32</v>
      </c>
      <c r="K431" s="75">
        <v>5.4607508532423209E-2</v>
      </c>
      <c r="L431" s="67">
        <v>29</v>
      </c>
    </row>
    <row r="432" spans="1:12" x14ac:dyDescent="0.3">
      <c r="A432" s="74">
        <v>45993</v>
      </c>
      <c r="B432" s="67">
        <v>696</v>
      </c>
      <c r="C432" s="67">
        <v>22968</v>
      </c>
      <c r="D432" s="67">
        <v>30</v>
      </c>
      <c r="E432" s="67">
        <v>14</v>
      </c>
      <c r="F432" s="67">
        <v>3</v>
      </c>
      <c r="G432" s="67">
        <v>3</v>
      </c>
      <c r="H432" s="67">
        <v>38</v>
      </c>
      <c r="I432" s="67">
        <v>4</v>
      </c>
      <c r="J432" s="67">
        <v>50</v>
      </c>
      <c r="K432" s="75">
        <v>7.183908045977011E-2</v>
      </c>
      <c r="L432" s="67">
        <v>42</v>
      </c>
    </row>
    <row r="433" spans="1:12" x14ac:dyDescent="0.3">
      <c r="A433" s="74">
        <v>45994</v>
      </c>
      <c r="B433" s="67">
        <v>589</v>
      </c>
      <c r="C433" s="67">
        <v>11780</v>
      </c>
      <c r="D433" s="67">
        <v>26</v>
      </c>
      <c r="E433" s="67">
        <v>9</v>
      </c>
      <c r="F433" s="67">
        <v>3</v>
      </c>
      <c r="G433" s="67">
        <v>3</v>
      </c>
      <c r="H433" s="67">
        <v>33</v>
      </c>
      <c r="I433" s="67">
        <v>5</v>
      </c>
      <c r="J433" s="67">
        <v>41</v>
      </c>
      <c r="K433" s="75">
        <v>6.9609507640067916E-2</v>
      </c>
      <c r="L433" s="67">
        <v>38</v>
      </c>
    </row>
    <row r="434" spans="1:12" x14ac:dyDescent="0.3">
      <c r="A434" s="74">
        <v>45995</v>
      </c>
      <c r="B434" s="67">
        <v>695</v>
      </c>
      <c r="C434" s="67">
        <v>15985</v>
      </c>
      <c r="D434" s="67">
        <v>18</v>
      </c>
      <c r="E434" s="67">
        <v>7</v>
      </c>
      <c r="F434" s="67">
        <v>2</v>
      </c>
      <c r="G434" s="67">
        <v>2</v>
      </c>
      <c r="H434" s="67">
        <v>50</v>
      </c>
      <c r="I434" s="67">
        <v>8</v>
      </c>
      <c r="J434" s="67">
        <v>29</v>
      </c>
      <c r="K434" s="75">
        <v>4.1726618705035974E-2</v>
      </c>
      <c r="L434" s="67">
        <v>58</v>
      </c>
    </row>
    <row r="435" spans="1:12" x14ac:dyDescent="0.3">
      <c r="A435" s="74">
        <v>45996</v>
      </c>
      <c r="B435" s="67">
        <v>698</v>
      </c>
      <c r="C435" s="67">
        <v>14658</v>
      </c>
      <c r="D435" s="67">
        <v>24</v>
      </c>
      <c r="E435" s="67">
        <v>10</v>
      </c>
      <c r="F435" s="67">
        <v>3</v>
      </c>
      <c r="G435" s="67">
        <v>4</v>
      </c>
      <c r="H435" s="67">
        <v>45</v>
      </c>
      <c r="I435" s="67">
        <v>7</v>
      </c>
      <c r="J435" s="67">
        <v>41</v>
      </c>
      <c r="K435" s="75">
        <v>5.8739255014326648E-2</v>
      </c>
      <c r="L435" s="67">
        <v>52</v>
      </c>
    </row>
    <row r="436" spans="1:12" x14ac:dyDescent="0.3">
      <c r="A436" s="74">
        <v>45997</v>
      </c>
      <c r="B436" s="67">
        <v>3571</v>
      </c>
      <c r="C436" s="67">
        <v>92846</v>
      </c>
      <c r="D436" s="67">
        <v>111</v>
      </c>
      <c r="E436" s="67">
        <v>58</v>
      </c>
      <c r="F436" s="67">
        <v>13</v>
      </c>
      <c r="G436" s="67">
        <v>12</v>
      </c>
      <c r="H436" s="67">
        <v>199</v>
      </c>
      <c r="I436" s="67">
        <v>29</v>
      </c>
      <c r="J436" s="67">
        <v>194</v>
      </c>
      <c r="K436" s="75">
        <v>5.4326519182301879E-2</v>
      </c>
      <c r="L436" s="67">
        <v>228</v>
      </c>
    </row>
    <row r="437" spans="1:12" x14ac:dyDescent="0.3">
      <c r="A437" s="74">
        <v>45998</v>
      </c>
      <c r="B437" s="67">
        <v>864</v>
      </c>
      <c r="C437" s="67">
        <v>16416</v>
      </c>
      <c r="D437" s="67">
        <v>20</v>
      </c>
      <c r="E437" s="67">
        <v>10</v>
      </c>
      <c r="F437" s="67">
        <v>2</v>
      </c>
      <c r="G437" s="67">
        <v>2</v>
      </c>
      <c r="H437" s="67">
        <v>63</v>
      </c>
      <c r="I437" s="67">
        <v>6</v>
      </c>
      <c r="J437" s="67">
        <v>34</v>
      </c>
      <c r="K437" s="75">
        <v>3.9351851851851853E-2</v>
      </c>
      <c r="L437" s="67">
        <v>69</v>
      </c>
    </row>
    <row r="438" spans="1:12" x14ac:dyDescent="0.3">
      <c r="A438" s="74">
        <v>45999</v>
      </c>
      <c r="B438" s="67">
        <v>775</v>
      </c>
      <c r="C438" s="67">
        <v>26350</v>
      </c>
      <c r="D438" s="67">
        <v>22</v>
      </c>
      <c r="E438" s="67">
        <v>9</v>
      </c>
      <c r="F438" s="67">
        <v>3</v>
      </c>
      <c r="G438" s="67">
        <v>4</v>
      </c>
      <c r="H438" s="67">
        <v>42</v>
      </c>
      <c r="I438" s="67">
        <v>6</v>
      </c>
      <c r="J438" s="67">
        <v>38</v>
      </c>
      <c r="K438" s="75">
        <v>4.9032258064516131E-2</v>
      </c>
      <c r="L438" s="67">
        <v>48</v>
      </c>
    </row>
    <row r="439" spans="1:12" x14ac:dyDescent="0.3">
      <c r="A439" s="74">
        <v>46000</v>
      </c>
      <c r="B439" s="67">
        <v>643</v>
      </c>
      <c r="C439" s="67">
        <v>20576</v>
      </c>
      <c r="D439" s="67">
        <v>14</v>
      </c>
      <c r="E439" s="67">
        <v>6</v>
      </c>
      <c r="F439" s="67">
        <v>2</v>
      </c>
      <c r="G439" s="67">
        <v>2</v>
      </c>
      <c r="H439" s="67">
        <v>37</v>
      </c>
      <c r="I439" s="67">
        <v>6</v>
      </c>
      <c r="J439" s="67">
        <v>24</v>
      </c>
      <c r="K439" s="75">
        <v>3.7325038880248837E-2</v>
      </c>
      <c r="L439" s="67">
        <v>43</v>
      </c>
    </row>
    <row r="440" spans="1:12" x14ac:dyDescent="0.3">
      <c r="A440" s="74">
        <v>46001</v>
      </c>
      <c r="B440" s="67">
        <v>620</v>
      </c>
      <c r="C440" s="67">
        <v>12400</v>
      </c>
      <c r="D440" s="67">
        <v>27</v>
      </c>
      <c r="E440" s="67">
        <v>10</v>
      </c>
      <c r="F440" s="67">
        <v>3</v>
      </c>
      <c r="G440" s="67">
        <v>4</v>
      </c>
      <c r="H440" s="67">
        <v>44</v>
      </c>
      <c r="I440" s="67">
        <v>8</v>
      </c>
      <c r="J440" s="67">
        <v>44</v>
      </c>
      <c r="K440" s="75">
        <v>7.0967741935483872E-2</v>
      </c>
      <c r="L440" s="67">
        <v>52</v>
      </c>
    </row>
    <row r="441" spans="1:12" x14ac:dyDescent="0.3">
      <c r="A441" s="74">
        <v>46002</v>
      </c>
      <c r="B441" s="67">
        <v>1110</v>
      </c>
      <c r="C441" s="67">
        <v>38850</v>
      </c>
      <c r="D441" s="67">
        <v>27</v>
      </c>
      <c r="E441" s="67">
        <v>10</v>
      </c>
      <c r="F441" s="67">
        <v>3</v>
      </c>
      <c r="G441" s="67">
        <v>3</v>
      </c>
      <c r="H441" s="67">
        <v>84</v>
      </c>
      <c r="I441" s="67">
        <v>17</v>
      </c>
      <c r="J441" s="67">
        <v>43</v>
      </c>
      <c r="K441" s="75">
        <v>3.8738738738738739E-2</v>
      </c>
      <c r="L441" s="67">
        <v>101</v>
      </c>
    </row>
    <row r="442" spans="1:12" x14ac:dyDescent="0.3">
      <c r="A442" s="74">
        <v>46003</v>
      </c>
      <c r="B442" s="67">
        <v>1043</v>
      </c>
      <c r="C442" s="67">
        <v>30247</v>
      </c>
      <c r="D442" s="67">
        <v>49</v>
      </c>
      <c r="E442" s="67">
        <v>18</v>
      </c>
      <c r="F442" s="67">
        <v>7</v>
      </c>
      <c r="G442" s="67">
        <v>6</v>
      </c>
      <c r="H442" s="67">
        <v>52</v>
      </c>
      <c r="I442" s="67">
        <v>9</v>
      </c>
      <c r="J442" s="67">
        <v>80</v>
      </c>
      <c r="K442" s="75">
        <v>7.6701821668264628E-2</v>
      </c>
      <c r="L442" s="67">
        <v>61</v>
      </c>
    </row>
    <row r="443" spans="1:12" x14ac:dyDescent="0.3">
      <c r="A443" s="74">
        <v>46004</v>
      </c>
      <c r="B443" s="67">
        <v>1512</v>
      </c>
      <c r="C443" s="67">
        <v>30240</v>
      </c>
      <c r="D443" s="67">
        <v>32</v>
      </c>
      <c r="E443" s="67">
        <v>12</v>
      </c>
      <c r="F443" s="67">
        <v>5</v>
      </c>
      <c r="G443" s="67">
        <v>5</v>
      </c>
      <c r="H443" s="67">
        <v>97</v>
      </c>
      <c r="I443" s="67">
        <v>16</v>
      </c>
      <c r="J443" s="67">
        <v>54</v>
      </c>
      <c r="K443" s="75">
        <v>3.5714285714285712E-2</v>
      </c>
      <c r="L443" s="67">
        <v>113</v>
      </c>
    </row>
    <row r="444" spans="1:12" x14ac:dyDescent="0.3">
      <c r="A444" s="74">
        <v>46005</v>
      </c>
      <c r="B444" s="67">
        <v>900</v>
      </c>
      <c r="C444" s="67">
        <v>24300</v>
      </c>
      <c r="D444" s="67">
        <v>29</v>
      </c>
      <c r="E444" s="67">
        <v>10</v>
      </c>
      <c r="F444" s="67">
        <v>3</v>
      </c>
      <c r="G444" s="67">
        <v>3</v>
      </c>
      <c r="H444" s="67">
        <v>49</v>
      </c>
      <c r="I444" s="67">
        <v>5</v>
      </c>
      <c r="J444" s="67">
        <v>45</v>
      </c>
      <c r="K444" s="75">
        <v>0.05</v>
      </c>
      <c r="L444" s="67">
        <v>54</v>
      </c>
    </row>
    <row r="445" spans="1:12" x14ac:dyDescent="0.3">
      <c r="A445" s="74">
        <v>46006</v>
      </c>
      <c r="B445" s="67">
        <v>648</v>
      </c>
      <c r="C445" s="67">
        <v>17496</v>
      </c>
      <c r="D445" s="67">
        <v>24</v>
      </c>
      <c r="E445" s="67">
        <v>9</v>
      </c>
      <c r="F445" s="67">
        <v>4</v>
      </c>
      <c r="G445" s="67">
        <v>3</v>
      </c>
      <c r="H445" s="67">
        <v>41</v>
      </c>
      <c r="I445" s="67">
        <v>6</v>
      </c>
      <c r="J445" s="67">
        <v>40</v>
      </c>
      <c r="K445" s="75">
        <v>6.1728395061728392E-2</v>
      </c>
      <c r="L445" s="67">
        <v>47</v>
      </c>
    </row>
    <row r="446" spans="1:12" x14ac:dyDescent="0.3">
      <c r="A446" s="74">
        <v>46007</v>
      </c>
      <c r="B446" s="67">
        <v>677</v>
      </c>
      <c r="C446" s="67">
        <v>20310</v>
      </c>
      <c r="D446" s="67">
        <v>16</v>
      </c>
      <c r="E446" s="67">
        <v>8</v>
      </c>
      <c r="F446" s="67">
        <v>3</v>
      </c>
      <c r="G446" s="67">
        <v>2</v>
      </c>
      <c r="H446" s="67">
        <v>52</v>
      </c>
      <c r="I446" s="67">
        <v>9</v>
      </c>
      <c r="J446" s="67">
        <v>29</v>
      </c>
      <c r="K446" s="75">
        <v>4.2836041358936483E-2</v>
      </c>
      <c r="L446" s="67">
        <v>61</v>
      </c>
    </row>
    <row r="447" spans="1:12" x14ac:dyDescent="0.3">
      <c r="A447" s="74">
        <v>46008</v>
      </c>
      <c r="B447" s="67">
        <v>775</v>
      </c>
      <c r="C447" s="67">
        <v>24025</v>
      </c>
      <c r="D447" s="67">
        <v>19</v>
      </c>
      <c r="E447" s="67">
        <v>7</v>
      </c>
      <c r="F447" s="67">
        <v>2</v>
      </c>
      <c r="G447" s="67">
        <v>2</v>
      </c>
      <c r="H447" s="67">
        <v>53</v>
      </c>
      <c r="I447" s="67">
        <v>10</v>
      </c>
      <c r="J447" s="67">
        <v>30</v>
      </c>
      <c r="K447" s="75">
        <v>3.870967741935484E-2</v>
      </c>
      <c r="L447" s="67">
        <v>63</v>
      </c>
    </row>
    <row r="448" spans="1:12" x14ac:dyDescent="0.3">
      <c r="A448" s="74">
        <v>46009</v>
      </c>
      <c r="B448" s="67">
        <v>631</v>
      </c>
      <c r="C448" s="67">
        <v>16406</v>
      </c>
      <c r="D448" s="67">
        <v>17</v>
      </c>
      <c r="E448" s="67">
        <v>8</v>
      </c>
      <c r="F448" s="67">
        <v>3</v>
      </c>
      <c r="G448" s="67">
        <v>2</v>
      </c>
      <c r="H448" s="67">
        <v>46</v>
      </c>
      <c r="I448" s="67">
        <v>8</v>
      </c>
      <c r="J448" s="67">
        <v>30</v>
      </c>
      <c r="K448" s="75">
        <v>4.7543581616481777E-2</v>
      </c>
      <c r="L448" s="67">
        <v>54</v>
      </c>
    </row>
    <row r="449" spans="1:12" x14ac:dyDescent="0.3">
      <c r="A449" s="74">
        <v>46010</v>
      </c>
      <c r="B449" s="67">
        <v>793</v>
      </c>
      <c r="C449" s="67">
        <v>26962</v>
      </c>
      <c r="D449" s="67">
        <v>28</v>
      </c>
      <c r="E449" s="67">
        <v>13</v>
      </c>
      <c r="F449" s="67">
        <v>3</v>
      </c>
      <c r="G449" s="67">
        <v>3</v>
      </c>
      <c r="H449" s="67">
        <v>43</v>
      </c>
      <c r="I449" s="67">
        <v>8</v>
      </c>
      <c r="J449" s="67">
        <v>47</v>
      </c>
      <c r="K449" s="75">
        <v>5.9268600252206809E-2</v>
      </c>
      <c r="L449" s="67">
        <v>51</v>
      </c>
    </row>
    <row r="450" spans="1:12" x14ac:dyDescent="0.3">
      <c r="A450" s="74">
        <v>46011</v>
      </c>
      <c r="B450" s="67">
        <v>850</v>
      </c>
      <c r="C450" s="67">
        <v>22950</v>
      </c>
      <c r="D450" s="67">
        <v>26</v>
      </c>
      <c r="E450" s="67">
        <v>10</v>
      </c>
      <c r="F450" s="67">
        <v>2</v>
      </c>
      <c r="G450" s="67">
        <v>3</v>
      </c>
      <c r="H450" s="67">
        <v>51</v>
      </c>
      <c r="I450" s="67">
        <v>9</v>
      </c>
      <c r="J450" s="67">
        <v>41</v>
      </c>
      <c r="K450" s="75">
        <v>4.8235294117647057E-2</v>
      </c>
      <c r="L450" s="67">
        <v>60</v>
      </c>
    </row>
    <row r="451" spans="1:12" x14ac:dyDescent="0.3">
      <c r="A451" s="74">
        <v>46012</v>
      </c>
      <c r="B451" s="67">
        <v>752</v>
      </c>
      <c r="C451" s="67">
        <v>17296</v>
      </c>
      <c r="D451" s="67">
        <v>24</v>
      </c>
      <c r="E451" s="67">
        <v>8</v>
      </c>
      <c r="F451" s="67">
        <v>2</v>
      </c>
      <c r="G451" s="67">
        <v>3</v>
      </c>
      <c r="H451" s="67">
        <v>55</v>
      </c>
      <c r="I451" s="67">
        <v>7</v>
      </c>
      <c r="J451" s="67">
        <v>37</v>
      </c>
      <c r="K451" s="75">
        <v>4.920212765957447E-2</v>
      </c>
      <c r="L451" s="67">
        <v>62</v>
      </c>
    </row>
    <row r="452" spans="1:12" x14ac:dyDescent="0.3">
      <c r="A452" s="74">
        <v>46013</v>
      </c>
      <c r="B452" s="67">
        <v>668</v>
      </c>
      <c r="C452" s="67">
        <v>13360</v>
      </c>
      <c r="D452" s="67">
        <v>25</v>
      </c>
      <c r="E452" s="67">
        <v>9</v>
      </c>
      <c r="F452" s="67">
        <v>4</v>
      </c>
      <c r="G452" s="67">
        <v>3</v>
      </c>
      <c r="H452" s="67">
        <v>50</v>
      </c>
      <c r="I452" s="67">
        <v>9</v>
      </c>
      <c r="J452" s="67">
        <v>41</v>
      </c>
      <c r="K452" s="75">
        <v>6.1377245508982034E-2</v>
      </c>
      <c r="L452" s="67">
        <v>59</v>
      </c>
    </row>
    <row r="453" spans="1:12" x14ac:dyDescent="0.3">
      <c r="A453" s="74">
        <v>46014</v>
      </c>
      <c r="B453" s="67">
        <v>1017</v>
      </c>
      <c r="C453" s="67">
        <v>25425</v>
      </c>
      <c r="D453" s="67">
        <v>21</v>
      </c>
      <c r="E453" s="67">
        <v>9</v>
      </c>
      <c r="F453" s="67">
        <v>3</v>
      </c>
      <c r="G453" s="67">
        <v>3</v>
      </c>
      <c r="H453" s="67">
        <v>76</v>
      </c>
      <c r="I453" s="67">
        <v>9</v>
      </c>
      <c r="J453" s="67">
        <v>36</v>
      </c>
      <c r="K453" s="75">
        <v>3.5398230088495575E-2</v>
      </c>
      <c r="L453" s="67">
        <v>85</v>
      </c>
    </row>
    <row r="454" spans="1:12" x14ac:dyDescent="0.3">
      <c r="A454" s="74">
        <v>46015</v>
      </c>
      <c r="B454" s="67">
        <v>1327</v>
      </c>
      <c r="C454" s="67">
        <v>43791</v>
      </c>
      <c r="D454" s="67">
        <v>40</v>
      </c>
      <c r="E454" s="67">
        <v>14</v>
      </c>
      <c r="F454" s="67">
        <v>4</v>
      </c>
      <c r="G454" s="67">
        <v>4</v>
      </c>
      <c r="H454" s="67">
        <v>81</v>
      </c>
      <c r="I454" s="67">
        <v>11</v>
      </c>
      <c r="J454" s="67">
        <v>62</v>
      </c>
      <c r="K454" s="75">
        <v>4.672192916352675E-2</v>
      </c>
      <c r="L454" s="67">
        <v>92</v>
      </c>
    </row>
    <row r="455" spans="1:12" x14ac:dyDescent="0.3">
      <c r="A455" s="74">
        <v>46016</v>
      </c>
      <c r="B455" s="67">
        <v>1222</v>
      </c>
      <c r="C455" s="67">
        <v>30550</v>
      </c>
      <c r="D455" s="67">
        <v>47</v>
      </c>
      <c r="E455" s="67">
        <v>19</v>
      </c>
      <c r="F455" s="67">
        <v>5</v>
      </c>
      <c r="G455" s="67">
        <v>4</v>
      </c>
      <c r="H455" s="67">
        <v>77</v>
      </c>
      <c r="I455" s="67">
        <v>21</v>
      </c>
      <c r="J455" s="67">
        <v>75</v>
      </c>
      <c r="K455" s="75">
        <v>6.137479541734861E-2</v>
      </c>
      <c r="L455" s="67">
        <v>98</v>
      </c>
    </row>
    <row r="456" spans="1:12" x14ac:dyDescent="0.3">
      <c r="A456" s="74">
        <v>46017</v>
      </c>
      <c r="B456" s="67">
        <v>1387</v>
      </c>
      <c r="C456" s="67">
        <v>30514</v>
      </c>
      <c r="D456" s="67">
        <v>38</v>
      </c>
      <c r="E456" s="67">
        <v>18</v>
      </c>
      <c r="F456" s="67">
        <v>5</v>
      </c>
      <c r="G456" s="67">
        <v>6</v>
      </c>
      <c r="H456" s="67">
        <v>101</v>
      </c>
      <c r="I456" s="67">
        <v>14</v>
      </c>
      <c r="J456" s="67">
        <v>67</v>
      </c>
      <c r="K456" s="75">
        <v>4.830569574621485E-2</v>
      </c>
      <c r="L456" s="67">
        <v>115</v>
      </c>
    </row>
    <row r="457" spans="1:12" x14ac:dyDescent="0.3">
      <c r="A457" s="74">
        <v>46018</v>
      </c>
      <c r="B457" s="67">
        <v>700</v>
      </c>
      <c r="C457" s="67">
        <v>14000</v>
      </c>
      <c r="D457" s="67">
        <v>23</v>
      </c>
      <c r="E457" s="67">
        <v>9</v>
      </c>
      <c r="F457" s="67">
        <v>2</v>
      </c>
      <c r="G457" s="67">
        <v>2</v>
      </c>
      <c r="H457" s="67">
        <v>36</v>
      </c>
      <c r="I457" s="67">
        <v>6</v>
      </c>
      <c r="J457" s="67">
        <v>36</v>
      </c>
      <c r="K457" s="75">
        <v>5.1428571428571428E-2</v>
      </c>
      <c r="L457" s="67">
        <v>42</v>
      </c>
    </row>
    <row r="458" spans="1:12" x14ac:dyDescent="0.3">
      <c r="A458" s="74">
        <v>46019</v>
      </c>
      <c r="B458" s="67">
        <v>1006</v>
      </c>
      <c r="C458" s="67">
        <v>31186</v>
      </c>
      <c r="D458" s="67">
        <v>28</v>
      </c>
      <c r="E458" s="67">
        <v>12</v>
      </c>
      <c r="F458" s="67">
        <v>3</v>
      </c>
      <c r="G458" s="67">
        <v>4</v>
      </c>
      <c r="H458" s="67">
        <v>61</v>
      </c>
      <c r="I458" s="67">
        <v>9</v>
      </c>
      <c r="J458" s="67">
        <v>47</v>
      </c>
      <c r="K458" s="75">
        <v>4.6719681908548708E-2</v>
      </c>
      <c r="L458" s="67">
        <v>70</v>
      </c>
    </row>
    <row r="459" spans="1:12" x14ac:dyDescent="0.3">
      <c r="A459" s="74">
        <v>46020</v>
      </c>
      <c r="B459" s="67">
        <v>681</v>
      </c>
      <c r="C459" s="67">
        <v>12258</v>
      </c>
      <c r="D459" s="67">
        <v>22</v>
      </c>
      <c r="E459" s="67">
        <v>10</v>
      </c>
      <c r="F459" s="67">
        <v>2</v>
      </c>
      <c r="G459" s="67">
        <v>2</v>
      </c>
      <c r="H459" s="67">
        <v>44</v>
      </c>
      <c r="I459" s="67">
        <v>9</v>
      </c>
      <c r="J459" s="67">
        <v>36</v>
      </c>
      <c r="K459" s="75">
        <v>5.2863436123348019E-2</v>
      </c>
      <c r="L459" s="67">
        <v>53</v>
      </c>
    </row>
    <row r="460" spans="1:12" x14ac:dyDescent="0.3">
      <c r="A460" s="74">
        <v>46021</v>
      </c>
      <c r="B460" s="67">
        <v>1252</v>
      </c>
      <c r="C460" s="67">
        <v>33804</v>
      </c>
      <c r="D460" s="67">
        <v>26</v>
      </c>
      <c r="E460" s="67">
        <v>9</v>
      </c>
      <c r="F460" s="67">
        <v>3</v>
      </c>
      <c r="G460" s="67">
        <v>3</v>
      </c>
      <c r="H460" s="67">
        <v>74</v>
      </c>
      <c r="I460" s="67">
        <v>13</v>
      </c>
      <c r="J460" s="67">
        <v>41</v>
      </c>
      <c r="K460" s="75">
        <v>3.2747603833865817E-2</v>
      </c>
      <c r="L460" s="67">
        <v>87</v>
      </c>
    </row>
    <row r="461" spans="1:12" x14ac:dyDescent="0.3">
      <c r="A461" s="74">
        <v>46022</v>
      </c>
      <c r="B461" s="67">
        <v>1642</v>
      </c>
      <c r="C461" s="67">
        <v>50902</v>
      </c>
      <c r="D461" s="67">
        <v>47</v>
      </c>
      <c r="E461" s="67">
        <v>23</v>
      </c>
      <c r="F461" s="67">
        <v>6</v>
      </c>
      <c r="G461" s="67">
        <v>5</v>
      </c>
      <c r="H461" s="67">
        <v>87</v>
      </c>
      <c r="I461" s="67">
        <v>17</v>
      </c>
      <c r="J461" s="67">
        <v>81</v>
      </c>
      <c r="K461" s="75">
        <v>4.933008526187576E-2</v>
      </c>
      <c r="L461" s="67">
        <v>104</v>
      </c>
    </row>
    <row r="462" spans="1:12" x14ac:dyDescent="0.3">
      <c r="A462" s="74">
        <v>46023</v>
      </c>
      <c r="B462" s="67">
        <v>1237</v>
      </c>
      <c r="C462" s="67">
        <v>30925</v>
      </c>
      <c r="D462" s="67">
        <v>37</v>
      </c>
      <c r="E462" s="67">
        <v>18</v>
      </c>
      <c r="F462" s="67">
        <v>3</v>
      </c>
      <c r="G462" s="67">
        <v>3</v>
      </c>
      <c r="H462" s="67">
        <v>51</v>
      </c>
      <c r="I462" s="67">
        <v>17</v>
      </c>
      <c r="J462" s="67">
        <v>61</v>
      </c>
      <c r="K462" s="75">
        <v>4.9312853678253839E-2</v>
      </c>
      <c r="L462" s="67">
        <v>68</v>
      </c>
    </row>
    <row r="463" spans="1:12" x14ac:dyDescent="0.3">
      <c r="A463" s="74">
        <v>46024</v>
      </c>
      <c r="B463" s="67">
        <v>605</v>
      </c>
      <c r="C463" s="67">
        <v>13310</v>
      </c>
      <c r="D463" s="67">
        <v>25</v>
      </c>
      <c r="E463" s="67">
        <v>13</v>
      </c>
      <c r="F463" s="67">
        <v>2</v>
      </c>
      <c r="G463" s="67">
        <v>2</v>
      </c>
      <c r="H463" s="67">
        <v>45</v>
      </c>
      <c r="I463" s="67">
        <v>8</v>
      </c>
      <c r="J463" s="67">
        <v>42</v>
      </c>
      <c r="K463" s="75">
        <v>6.9421487603305784E-2</v>
      </c>
      <c r="L463" s="67">
        <v>53</v>
      </c>
    </row>
    <row r="464" spans="1:12" x14ac:dyDescent="0.3">
      <c r="A464" s="74">
        <v>46025</v>
      </c>
      <c r="B464" s="67">
        <v>718</v>
      </c>
      <c r="C464" s="67">
        <v>19386</v>
      </c>
      <c r="D464" s="67">
        <v>19</v>
      </c>
      <c r="E464" s="67">
        <v>7</v>
      </c>
      <c r="F464" s="67">
        <v>2</v>
      </c>
      <c r="G464" s="67">
        <v>2</v>
      </c>
      <c r="H464" s="67">
        <v>31</v>
      </c>
      <c r="I464" s="67">
        <v>5</v>
      </c>
      <c r="J464" s="67">
        <v>30</v>
      </c>
      <c r="K464" s="75">
        <v>4.1782729805013928E-2</v>
      </c>
      <c r="L464" s="67">
        <v>36</v>
      </c>
    </row>
    <row r="465" spans="1:12" x14ac:dyDescent="0.3">
      <c r="A465" s="74">
        <v>46026</v>
      </c>
      <c r="B465" s="67">
        <v>857</v>
      </c>
      <c r="C465" s="67">
        <v>29138</v>
      </c>
      <c r="D465" s="67">
        <v>40</v>
      </c>
      <c r="E465" s="67">
        <v>15</v>
      </c>
      <c r="F465" s="67">
        <v>6</v>
      </c>
      <c r="G465" s="67">
        <v>3</v>
      </c>
      <c r="H465" s="67">
        <v>35</v>
      </c>
      <c r="I465" s="67">
        <v>6</v>
      </c>
      <c r="J465" s="67">
        <v>64</v>
      </c>
      <c r="K465" s="75">
        <v>7.4679113185530915E-2</v>
      </c>
      <c r="L465" s="67">
        <v>41</v>
      </c>
    </row>
    <row r="466" spans="1:12" x14ac:dyDescent="0.3">
      <c r="A466" s="74">
        <v>46027</v>
      </c>
      <c r="B466" s="67">
        <v>844</v>
      </c>
      <c r="C466" s="67">
        <v>27008</v>
      </c>
      <c r="D466" s="67">
        <v>23</v>
      </c>
      <c r="E466" s="67">
        <v>9</v>
      </c>
      <c r="F466" s="67">
        <v>4</v>
      </c>
      <c r="G466" s="67">
        <v>3</v>
      </c>
      <c r="H466" s="67">
        <v>60</v>
      </c>
      <c r="I466" s="67">
        <v>10</v>
      </c>
      <c r="J466" s="67">
        <v>39</v>
      </c>
      <c r="K466" s="75">
        <v>4.6208530805687202E-2</v>
      </c>
      <c r="L466" s="67">
        <v>70</v>
      </c>
    </row>
    <row r="467" spans="1:12" x14ac:dyDescent="0.3">
      <c r="A467" s="74">
        <v>46028</v>
      </c>
      <c r="B467" s="67">
        <v>722</v>
      </c>
      <c r="C467" s="67">
        <v>23104</v>
      </c>
      <c r="D467" s="67">
        <v>21</v>
      </c>
      <c r="E467" s="67">
        <v>8</v>
      </c>
      <c r="F467" s="67">
        <v>2</v>
      </c>
      <c r="G467" s="67">
        <v>2</v>
      </c>
      <c r="H467" s="67">
        <v>30</v>
      </c>
      <c r="I467" s="67">
        <v>6</v>
      </c>
      <c r="J467" s="67">
        <v>33</v>
      </c>
      <c r="K467" s="75">
        <v>4.5706371191135735E-2</v>
      </c>
      <c r="L467" s="67">
        <v>36</v>
      </c>
    </row>
    <row r="468" spans="1:12" x14ac:dyDescent="0.3">
      <c r="A468" s="74">
        <v>46029</v>
      </c>
      <c r="B468" s="67">
        <v>684</v>
      </c>
      <c r="C468" s="67">
        <v>14364</v>
      </c>
      <c r="D468" s="67">
        <v>23</v>
      </c>
      <c r="E468" s="67">
        <v>11</v>
      </c>
      <c r="F468" s="67">
        <v>3</v>
      </c>
      <c r="G468" s="67">
        <v>4</v>
      </c>
      <c r="H468" s="67">
        <v>33</v>
      </c>
      <c r="I468" s="67">
        <v>6</v>
      </c>
      <c r="J468" s="67">
        <v>41</v>
      </c>
      <c r="K468" s="75">
        <v>5.9941520467836254E-2</v>
      </c>
      <c r="L468" s="67">
        <v>39</v>
      </c>
    </row>
    <row r="469" spans="1:12" x14ac:dyDescent="0.3">
      <c r="A469" s="74">
        <v>46030</v>
      </c>
      <c r="B469" s="67">
        <v>666</v>
      </c>
      <c r="C469" s="67">
        <v>15318</v>
      </c>
      <c r="D469" s="67">
        <v>19</v>
      </c>
      <c r="E469" s="67">
        <v>10</v>
      </c>
      <c r="F469" s="67">
        <v>2</v>
      </c>
      <c r="G469" s="67">
        <v>3</v>
      </c>
      <c r="H469" s="67">
        <v>45</v>
      </c>
      <c r="I469" s="67">
        <v>5</v>
      </c>
      <c r="J469" s="67">
        <v>34</v>
      </c>
      <c r="K469" s="75">
        <v>5.1051051051051052E-2</v>
      </c>
      <c r="L469" s="67">
        <v>50</v>
      </c>
    </row>
    <row r="470" spans="1:12" x14ac:dyDescent="0.3">
      <c r="A470" s="74">
        <v>46031</v>
      </c>
      <c r="B470" s="67">
        <v>729</v>
      </c>
      <c r="C470" s="67">
        <v>16038</v>
      </c>
      <c r="D470" s="67">
        <v>32</v>
      </c>
      <c r="E470" s="67">
        <v>14</v>
      </c>
      <c r="F470" s="67">
        <v>4</v>
      </c>
      <c r="G470" s="67">
        <v>3</v>
      </c>
      <c r="H470" s="67">
        <v>43</v>
      </c>
      <c r="I470" s="67">
        <v>4</v>
      </c>
      <c r="J470" s="67">
        <v>53</v>
      </c>
      <c r="K470" s="75">
        <v>7.2702331961591218E-2</v>
      </c>
      <c r="L470" s="67">
        <v>47</v>
      </c>
    </row>
    <row r="471" spans="1:12" x14ac:dyDescent="0.3">
      <c r="A471" s="74">
        <v>46032</v>
      </c>
      <c r="B471" s="67">
        <v>879</v>
      </c>
      <c r="C471" s="67">
        <v>28128</v>
      </c>
      <c r="D471" s="67">
        <v>26</v>
      </c>
      <c r="E471" s="67">
        <v>10</v>
      </c>
      <c r="F471" s="67">
        <v>4</v>
      </c>
      <c r="G471" s="67">
        <v>3</v>
      </c>
      <c r="H471" s="67">
        <v>41</v>
      </c>
      <c r="I471" s="67">
        <v>6</v>
      </c>
      <c r="J471" s="67">
        <v>43</v>
      </c>
      <c r="K471" s="75">
        <v>4.8919226393629126E-2</v>
      </c>
      <c r="L471" s="67">
        <v>47</v>
      </c>
    </row>
    <row r="472" spans="1:12" x14ac:dyDescent="0.3">
      <c r="A472" s="74">
        <v>46033</v>
      </c>
      <c r="B472" s="67">
        <v>869</v>
      </c>
      <c r="C472" s="67">
        <v>26939</v>
      </c>
      <c r="D472" s="67">
        <v>32</v>
      </c>
      <c r="E472" s="67">
        <v>15</v>
      </c>
      <c r="F472" s="67">
        <v>4</v>
      </c>
      <c r="G472" s="67">
        <v>5</v>
      </c>
      <c r="H472" s="67">
        <v>42</v>
      </c>
      <c r="I472" s="67">
        <v>7</v>
      </c>
      <c r="J472" s="67">
        <v>56</v>
      </c>
      <c r="K472" s="75">
        <v>6.4441887226697359E-2</v>
      </c>
      <c r="L472" s="67">
        <v>49</v>
      </c>
    </row>
    <row r="473" spans="1:12" x14ac:dyDescent="0.3">
      <c r="A473" s="74">
        <v>46034</v>
      </c>
      <c r="B473" s="67">
        <v>704</v>
      </c>
      <c r="C473" s="67">
        <v>14784</v>
      </c>
      <c r="D473" s="67">
        <v>20</v>
      </c>
      <c r="E473" s="67">
        <v>8</v>
      </c>
      <c r="F473" s="67">
        <v>3</v>
      </c>
      <c r="G473" s="67">
        <v>3</v>
      </c>
      <c r="H473" s="67">
        <v>32</v>
      </c>
      <c r="I473" s="67">
        <v>4</v>
      </c>
      <c r="J473" s="67">
        <v>34</v>
      </c>
      <c r="K473" s="75">
        <v>4.8295454545454544E-2</v>
      </c>
      <c r="L473" s="67">
        <v>36</v>
      </c>
    </row>
    <row r="474" spans="1:12" x14ac:dyDescent="0.3">
      <c r="A474" s="74">
        <v>46035</v>
      </c>
      <c r="B474" s="67">
        <v>672</v>
      </c>
      <c r="C474" s="67">
        <v>20160</v>
      </c>
      <c r="D474" s="67">
        <v>21</v>
      </c>
      <c r="E474" s="67">
        <v>7</v>
      </c>
      <c r="F474" s="67">
        <v>3</v>
      </c>
      <c r="G474" s="67">
        <v>2</v>
      </c>
      <c r="H474" s="67">
        <v>34</v>
      </c>
      <c r="I474" s="67">
        <v>5</v>
      </c>
      <c r="J474" s="67">
        <v>33</v>
      </c>
      <c r="K474" s="75">
        <v>4.9107142857142856E-2</v>
      </c>
      <c r="L474" s="67">
        <v>39</v>
      </c>
    </row>
    <row r="475" spans="1:12" x14ac:dyDescent="0.3">
      <c r="A475" s="74">
        <v>46036</v>
      </c>
      <c r="B475" s="67">
        <v>668</v>
      </c>
      <c r="C475" s="67">
        <v>17368</v>
      </c>
      <c r="D475" s="67">
        <v>25</v>
      </c>
      <c r="E475" s="67">
        <v>10</v>
      </c>
      <c r="F475" s="67">
        <v>4</v>
      </c>
      <c r="G475" s="67">
        <v>4</v>
      </c>
      <c r="H475" s="67">
        <v>28</v>
      </c>
      <c r="I475" s="67">
        <v>5</v>
      </c>
      <c r="J475" s="67">
        <v>43</v>
      </c>
      <c r="K475" s="75">
        <v>6.4371257485029934E-2</v>
      </c>
      <c r="L475" s="67">
        <v>33</v>
      </c>
    </row>
    <row r="476" spans="1:12" x14ac:dyDescent="0.3">
      <c r="A476" s="74">
        <v>46037</v>
      </c>
      <c r="B476" s="67">
        <v>853</v>
      </c>
      <c r="C476" s="67">
        <v>16207</v>
      </c>
      <c r="D476" s="67">
        <v>36</v>
      </c>
      <c r="E476" s="67">
        <v>15</v>
      </c>
      <c r="F476" s="67">
        <v>4</v>
      </c>
      <c r="G476" s="67">
        <v>4</v>
      </c>
      <c r="H476" s="67">
        <v>35</v>
      </c>
      <c r="I476" s="67">
        <v>6</v>
      </c>
      <c r="J476" s="67">
        <v>59</v>
      </c>
      <c r="K476" s="75">
        <v>6.9167643610785465E-2</v>
      </c>
      <c r="L476" s="67">
        <v>41</v>
      </c>
    </row>
    <row r="477" spans="1:12" x14ac:dyDescent="0.3">
      <c r="A477" s="74">
        <v>46038</v>
      </c>
      <c r="B477" s="67">
        <v>635</v>
      </c>
      <c r="C477" s="67">
        <v>19050</v>
      </c>
      <c r="D477" s="67">
        <v>26</v>
      </c>
      <c r="E477" s="67">
        <v>11</v>
      </c>
      <c r="F477" s="67">
        <v>3</v>
      </c>
      <c r="G477" s="67">
        <v>3</v>
      </c>
      <c r="H477" s="67">
        <v>33</v>
      </c>
      <c r="I477" s="67">
        <v>4</v>
      </c>
      <c r="J477" s="67">
        <v>43</v>
      </c>
      <c r="K477" s="75">
        <v>6.7716535433070865E-2</v>
      </c>
      <c r="L477" s="67">
        <v>37</v>
      </c>
    </row>
    <row r="478" spans="1:12" x14ac:dyDescent="0.3">
      <c r="A478" s="74">
        <v>46039</v>
      </c>
      <c r="B478" s="67">
        <v>726</v>
      </c>
      <c r="C478" s="67">
        <v>24684</v>
      </c>
      <c r="D478" s="67">
        <v>22</v>
      </c>
      <c r="E478" s="67">
        <v>9</v>
      </c>
      <c r="F478" s="67">
        <v>3</v>
      </c>
      <c r="G478" s="67">
        <v>2</v>
      </c>
      <c r="H478" s="67">
        <v>31</v>
      </c>
      <c r="I478" s="67">
        <v>4</v>
      </c>
      <c r="J478" s="67">
        <v>36</v>
      </c>
      <c r="K478" s="75">
        <v>4.9586776859504134E-2</v>
      </c>
      <c r="L478" s="67">
        <v>35</v>
      </c>
    </row>
    <row r="479" spans="1:12" x14ac:dyDescent="0.3">
      <c r="A479" s="74">
        <v>46040</v>
      </c>
      <c r="B479" s="67">
        <v>795</v>
      </c>
      <c r="C479" s="67">
        <v>23055</v>
      </c>
      <c r="D479" s="67">
        <v>19</v>
      </c>
      <c r="E479" s="67">
        <v>7</v>
      </c>
      <c r="F479" s="67">
        <v>2</v>
      </c>
      <c r="G479" s="67">
        <v>3</v>
      </c>
      <c r="H479" s="67">
        <v>36</v>
      </c>
      <c r="I479" s="67">
        <v>4</v>
      </c>
      <c r="J479" s="67">
        <v>31</v>
      </c>
      <c r="K479" s="75">
        <v>3.8993710691823898E-2</v>
      </c>
      <c r="L479" s="67">
        <v>40</v>
      </c>
    </row>
    <row r="480" spans="1:12" x14ac:dyDescent="0.3">
      <c r="A480" s="74">
        <v>46041</v>
      </c>
      <c r="B480" s="67">
        <v>790</v>
      </c>
      <c r="C480" s="67">
        <v>26070</v>
      </c>
      <c r="D480" s="67">
        <v>26</v>
      </c>
      <c r="E480" s="67">
        <v>11</v>
      </c>
      <c r="F480" s="67">
        <v>3</v>
      </c>
      <c r="G480" s="67">
        <v>3</v>
      </c>
      <c r="H480" s="67">
        <v>45</v>
      </c>
      <c r="I480" s="67">
        <v>8</v>
      </c>
      <c r="J480" s="67">
        <v>43</v>
      </c>
      <c r="K480" s="75">
        <v>5.4430379746835442E-2</v>
      </c>
      <c r="L480" s="67">
        <v>53</v>
      </c>
    </row>
    <row r="481" spans="1:12" x14ac:dyDescent="0.3">
      <c r="A481" s="74">
        <v>46042</v>
      </c>
      <c r="B481" s="67">
        <v>601</v>
      </c>
      <c r="C481" s="67">
        <v>10818</v>
      </c>
      <c r="D481" s="67">
        <v>23</v>
      </c>
      <c r="E481" s="67">
        <v>10</v>
      </c>
      <c r="F481" s="67">
        <v>4</v>
      </c>
      <c r="G481" s="67">
        <v>2</v>
      </c>
      <c r="H481" s="67">
        <v>28</v>
      </c>
      <c r="I481" s="67">
        <v>5</v>
      </c>
      <c r="J481" s="67">
        <v>39</v>
      </c>
      <c r="K481" s="75">
        <v>6.4891846921797003E-2</v>
      </c>
      <c r="L481" s="67">
        <v>33</v>
      </c>
    </row>
    <row r="482" spans="1:12" x14ac:dyDescent="0.3">
      <c r="A482" s="74">
        <v>46043</v>
      </c>
      <c r="B482" s="67">
        <v>656</v>
      </c>
      <c r="C482" s="67">
        <v>13776</v>
      </c>
      <c r="D482" s="67">
        <v>21</v>
      </c>
      <c r="E482" s="67">
        <v>10</v>
      </c>
      <c r="F482" s="67">
        <v>3</v>
      </c>
      <c r="G482" s="67">
        <v>3</v>
      </c>
      <c r="H482" s="67">
        <v>36</v>
      </c>
      <c r="I482" s="67">
        <v>7</v>
      </c>
      <c r="J482" s="67">
        <v>37</v>
      </c>
      <c r="K482" s="75">
        <v>5.6402439024390245E-2</v>
      </c>
      <c r="L482" s="67">
        <v>43</v>
      </c>
    </row>
    <row r="483" spans="1:12" x14ac:dyDescent="0.3">
      <c r="A483" s="74">
        <v>46044</v>
      </c>
      <c r="B483" s="67">
        <v>737</v>
      </c>
      <c r="C483" s="67">
        <v>14003</v>
      </c>
      <c r="D483" s="67">
        <v>33</v>
      </c>
      <c r="E483" s="67">
        <v>12</v>
      </c>
      <c r="F483" s="67">
        <v>4</v>
      </c>
      <c r="G483" s="67">
        <v>3</v>
      </c>
      <c r="H483" s="67">
        <v>45</v>
      </c>
      <c r="I483" s="67">
        <v>9</v>
      </c>
      <c r="J483" s="67">
        <v>52</v>
      </c>
      <c r="K483" s="75">
        <v>7.055630936227951E-2</v>
      </c>
      <c r="L483" s="67">
        <v>54</v>
      </c>
    </row>
    <row r="484" spans="1:12" x14ac:dyDescent="0.3">
      <c r="A484" s="74">
        <v>46045</v>
      </c>
      <c r="B484" s="67">
        <v>736</v>
      </c>
      <c r="C484" s="67">
        <v>20608</v>
      </c>
      <c r="D484" s="67">
        <v>26</v>
      </c>
      <c r="E484" s="67">
        <v>13</v>
      </c>
      <c r="F484" s="67">
        <v>2</v>
      </c>
      <c r="G484" s="67">
        <v>4</v>
      </c>
      <c r="H484" s="67">
        <v>54</v>
      </c>
      <c r="I484" s="67">
        <v>8</v>
      </c>
      <c r="J484" s="67">
        <v>45</v>
      </c>
      <c r="K484" s="75">
        <v>6.1141304347826088E-2</v>
      </c>
      <c r="L484" s="67">
        <v>62</v>
      </c>
    </row>
    <row r="485" spans="1:12" x14ac:dyDescent="0.3">
      <c r="A485" s="74">
        <v>46046</v>
      </c>
      <c r="B485" s="67">
        <v>913</v>
      </c>
      <c r="C485" s="67">
        <v>18260</v>
      </c>
      <c r="D485" s="67">
        <v>22</v>
      </c>
      <c r="E485" s="67">
        <v>10</v>
      </c>
      <c r="F485" s="67">
        <v>3</v>
      </c>
      <c r="G485" s="67">
        <v>2</v>
      </c>
      <c r="H485" s="67">
        <v>38</v>
      </c>
      <c r="I485" s="67">
        <v>7</v>
      </c>
      <c r="J485" s="67">
        <v>37</v>
      </c>
      <c r="K485" s="75">
        <v>4.0525739320920046E-2</v>
      </c>
      <c r="L485" s="67">
        <v>45</v>
      </c>
    </row>
    <row r="486" spans="1:12" x14ac:dyDescent="0.3">
      <c r="A486" s="74">
        <v>46047</v>
      </c>
      <c r="B486" s="67">
        <v>893</v>
      </c>
      <c r="C486" s="67">
        <v>22325</v>
      </c>
      <c r="D486" s="67">
        <v>32</v>
      </c>
      <c r="E486" s="67">
        <v>13</v>
      </c>
      <c r="F486" s="67">
        <v>6</v>
      </c>
      <c r="G486" s="67">
        <v>4</v>
      </c>
      <c r="H486" s="67">
        <v>41</v>
      </c>
      <c r="I486" s="67">
        <v>7</v>
      </c>
      <c r="J486" s="67">
        <v>55</v>
      </c>
      <c r="K486" s="75">
        <v>6.1590145576707729E-2</v>
      </c>
      <c r="L486" s="67">
        <v>48</v>
      </c>
    </row>
    <row r="487" spans="1:12" x14ac:dyDescent="0.3">
      <c r="A487" s="74">
        <v>46048</v>
      </c>
      <c r="B487" s="67">
        <v>759</v>
      </c>
      <c r="C487" s="67">
        <v>20493</v>
      </c>
      <c r="D487" s="67">
        <v>16</v>
      </c>
      <c r="E487" s="67">
        <v>6</v>
      </c>
      <c r="F487" s="67">
        <v>2</v>
      </c>
      <c r="G487" s="67">
        <v>1</v>
      </c>
      <c r="H487" s="67">
        <v>37</v>
      </c>
      <c r="I487" s="67">
        <v>4</v>
      </c>
      <c r="J487" s="67">
        <v>25</v>
      </c>
      <c r="K487" s="75">
        <v>3.2938076416337288E-2</v>
      </c>
      <c r="L487" s="67">
        <v>41</v>
      </c>
    </row>
    <row r="488" spans="1:12" x14ac:dyDescent="0.3">
      <c r="A488" s="74">
        <v>46049</v>
      </c>
      <c r="B488" s="67">
        <v>731</v>
      </c>
      <c r="C488" s="67">
        <v>17544</v>
      </c>
      <c r="D488" s="67">
        <v>24</v>
      </c>
      <c r="E488" s="67">
        <v>10</v>
      </c>
      <c r="F488" s="67">
        <v>3</v>
      </c>
      <c r="G488" s="67">
        <v>3</v>
      </c>
      <c r="H488" s="67">
        <v>54</v>
      </c>
      <c r="I488" s="67">
        <v>9</v>
      </c>
      <c r="J488" s="67">
        <v>40</v>
      </c>
      <c r="K488" s="75">
        <v>5.4719562243502051E-2</v>
      </c>
      <c r="L488" s="67">
        <v>63</v>
      </c>
    </row>
    <row r="489" spans="1:12" x14ac:dyDescent="0.3">
      <c r="A489" s="74">
        <v>46050</v>
      </c>
      <c r="B489" s="67">
        <v>701</v>
      </c>
      <c r="C489" s="67">
        <v>14020</v>
      </c>
      <c r="D489" s="67">
        <v>18</v>
      </c>
      <c r="E489" s="67">
        <v>8</v>
      </c>
      <c r="F489" s="67">
        <v>2</v>
      </c>
      <c r="G489" s="67">
        <v>3</v>
      </c>
      <c r="H489" s="67">
        <v>47</v>
      </c>
      <c r="I489" s="67">
        <v>7</v>
      </c>
      <c r="J489" s="67">
        <v>31</v>
      </c>
      <c r="K489" s="75">
        <v>4.4222539229671898E-2</v>
      </c>
      <c r="L489" s="67">
        <v>54</v>
      </c>
    </row>
    <row r="490" spans="1:12" x14ac:dyDescent="0.3">
      <c r="A490" s="74">
        <v>46051</v>
      </c>
      <c r="B490" s="67">
        <v>634</v>
      </c>
      <c r="C490" s="67">
        <v>17752</v>
      </c>
      <c r="D490" s="67">
        <v>20</v>
      </c>
      <c r="E490" s="67">
        <v>11</v>
      </c>
      <c r="F490" s="67">
        <v>3</v>
      </c>
      <c r="G490" s="67">
        <v>2</v>
      </c>
      <c r="H490" s="67">
        <v>37</v>
      </c>
      <c r="I490" s="67">
        <v>6</v>
      </c>
      <c r="J490" s="67">
        <v>36</v>
      </c>
      <c r="K490" s="75">
        <v>5.6782334384858045E-2</v>
      </c>
      <c r="L490" s="67">
        <v>43</v>
      </c>
    </row>
    <row r="491" spans="1:12" x14ac:dyDescent="0.3">
      <c r="A491" s="74">
        <v>46052</v>
      </c>
      <c r="B491" s="67">
        <v>736</v>
      </c>
      <c r="C491" s="67">
        <v>22816</v>
      </c>
      <c r="D491" s="67">
        <v>16</v>
      </c>
      <c r="E491" s="67">
        <v>7</v>
      </c>
      <c r="F491" s="67">
        <v>2</v>
      </c>
      <c r="G491" s="67">
        <v>2</v>
      </c>
      <c r="H491" s="67">
        <v>53</v>
      </c>
      <c r="I491" s="67">
        <v>8</v>
      </c>
      <c r="J491" s="67">
        <v>27</v>
      </c>
      <c r="K491" s="75">
        <v>3.6684782608695655E-2</v>
      </c>
      <c r="L491" s="67">
        <v>61</v>
      </c>
    </row>
    <row r="492" spans="1:12" x14ac:dyDescent="0.3">
      <c r="A492" s="74">
        <v>46053</v>
      </c>
      <c r="B492" s="67">
        <v>1016</v>
      </c>
      <c r="C492" s="67">
        <v>25400</v>
      </c>
      <c r="D492" s="67">
        <v>44</v>
      </c>
      <c r="E492" s="67">
        <v>15</v>
      </c>
      <c r="F492" s="67">
        <v>5</v>
      </c>
      <c r="G492" s="67">
        <v>4</v>
      </c>
      <c r="H492" s="67">
        <v>43</v>
      </c>
      <c r="I492" s="67">
        <v>6</v>
      </c>
      <c r="J492" s="67">
        <v>68</v>
      </c>
      <c r="K492" s="75">
        <v>6.6929133858267723E-2</v>
      </c>
      <c r="L492" s="67">
        <v>49</v>
      </c>
    </row>
    <row r="493" spans="1:12" x14ac:dyDescent="0.3">
      <c r="A493" s="74">
        <v>46054</v>
      </c>
      <c r="B493" s="67">
        <v>908</v>
      </c>
      <c r="C493" s="67">
        <v>19068</v>
      </c>
      <c r="D493" s="67">
        <v>35</v>
      </c>
      <c r="E493" s="67">
        <v>17</v>
      </c>
      <c r="F493" s="67">
        <v>6</v>
      </c>
      <c r="G493" s="67">
        <v>4</v>
      </c>
      <c r="H493" s="67">
        <v>57</v>
      </c>
      <c r="I493" s="67">
        <v>7</v>
      </c>
      <c r="J493" s="67">
        <v>62</v>
      </c>
      <c r="K493" s="75">
        <v>6.8281938325991193E-2</v>
      </c>
      <c r="L493" s="67">
        <v>64</v>
      </c>
    </row>
    <row r="494" spans="1:12" x14ac:dyDescent="0.3">
      <c r="A494" s="74">
        <v>46055</v>
      </c>
      <c r="B494" s="67">
        <v>815</v>
      </c>
      <c r="C494" s="67">
        <v>17115</v>
      </c>
      <c r="D494" s="67">
        <v>26</v>
      </c>
      <c r="E494" s="67">
        <v>9</v>
      </c>
      <c r="F494" s="67">
        <v>2</v>
      </c>
      <c r="G494" s="67">
        <v>2</v>
      </c>
      <c r="H494" s="67">
        <v>46</v>
      </c>
      <c r="I494" s="67">
        <v>8</v>
      </c>
      <c r="J494" s="67">
        <v>39</v>
      </c>
      <c r="K494" s="75">
        <v>4.785276073619632E-2</v>
      </c>
      <c r="L494" s="67">
        <v>54</v>
      </c>
    </row>
    <row r="495" spans="1:12" x14ac:dyDescent="0.3">
      <c r="A495" s="74">
        <v>46056</v>
      </c>
      <c r="B495" s="67">
        <v>808</v>
      </c>
      <c r="C495" s="67">
        <v>15352</v>
      </c>
      <c r="D495" s="67">
        <v>17</v>
      </c>
      <c r="E495" s="67">
        <v>9</v>
      </c>
      <c r="F495" s="67">
        <v>2</v>
      </c>
      <c r="G495" s="67">
        <v>2</v>
      </c>
      <c r="H495" s="67">
        <v>60</v>
      </c>
      <c r="I495" s="67">
        <v>11</v>
      </c>
      <c r="J495" s="67">
        <v>30</v>
      </c>
      <c r="K495" s="75">
        <v>3.7128712871287127E-2</v>
      </c>
      <c r="L495" s="67">
        <v>71</v>
      </c>
    </row>
    <row r="496" spans="1:12" x14ac:dyDescent="0.3">
      <c r="A496" s="74">
        <v>46057</v>
      </c>
      <c r="B496" s="67">
        <v>673</v>
      </c>
      <c r="C496" s="67">
        <v>14806</v>
      </c>
      <c r="D496" s="67">
        <v>30</v>
      </c>
      <c r="E496" s="67">
        <v>13</v>
      </c>
      <c r="F496" s="67">
        <v>4</v>
      </c>
      <c r="G496" s="67">
        <v>5</v>
      </c>
      <c r="H496" s="67">
        <v>28</v>
      </c>
      <c r="I496" s="67">
        <v>3</v>
      </c>
      <c r="J496" s="67">
        <v>52</v>
      </c>
      <c r="K496" s="75">
        <v>7.7265973254086184E-2</v>
      </c>
      <c r="L496" s="67">
        <v>31</v>
      </c>
    </row>
    <row r="497" spans="1:12" x14ac:dyDescent="0.3">
      <c r="A497" s="74">
        <v>46058</v>
      </c>
      <c r="B497" s="67">
        <v>736</v>
      </c>
      <c r="C497" s="67">
        <v>22080</v>
      </c>
      <c r="D497" s="67">
        <v>29</v>
      </c>
      <c r="E497" s="67">
        <v>11</v>
      </c>
      <c r="F497" s="67">
        <v>3</v>
      </c>
      <c r="G497" s="67">
        <v>3</v>
      </c>
      <c r="H497" s="67">
        <v>54</v>
      </c>
      <c r="I497" s="67">
        <v>9</v>
      </c>
      <c r="J497" s="67">
        <v>46</v>
      </c>
      <c r="K497" s="75">
        <v>6.25E-2</v>
      </c>
      <c r="L497" s="67">
        <v>63</v>
      </c>
    </row>
    <row r="498" spans="1:12" x14ac:dyDescent="0.3">
      <c r="A498" s="74">
        <v>46059</v>
      </c>
      <c r="B498" s="67">
        <v>658</v>
      </c>
      <c r="C498" s="67">
        <v>13818</v>
      </c>
      <c r="D498" s="67">
        <v>30</v>
      </c>
      <c r="E498" s="67">
        <v>10</v>
      </c>
      <c r="F498" s="67">
        <v>3</v>
      </c>
      <c r="G498" s="67">
        <v>5</v>
      </c>
      <c r="H498" s="67">
        <v>29</v>
      </c>
      <c r="I498" s="67">
        <v>5</v>
      </c>
      <c r="J498" s="67">
        <v>48</v>
      </c>
      <c r="K498" s="75">
        <v>7.29483282674772E-2</v>
      </c>
      <c r="L498" s="67">
        <v>34</v>
      </c>
    </row>
    <row r="499" spans="1:12" x14ac:dyDescent="0.3">
      <c r="A499" s="74">
        <v>46060</v>
      </c>
      <c r="B499" s="67">
        <v>1031</v>
      </c>
      <c r="C499" s="67">
        <v>28868</v>
      </c>
      <c r="D499" s="67">
        <v>32</v>
      </c>
      <c r="E499" s="67">
        <v>14</v>
      </c>
      <c r="F499" s="67">
        <v>4</v>
      </c>
      <c r="G499" s="67">
        <v>5</v>
      </c>
      <c r="H499" s="67">
        <v>55</v>
      </c>
      <c r="I499" s="67">
        <v>7</v>
      </c>
      <c r="J499" s="67">
        <v>55</v>
      </c>
      <c r="K499" s="75">
        <v>5.33462657613967E-2</v>
      </c>
      <c r="L499" s="67">
        <v>62</v>
      </c>
    </row>
    <row r="500" spans="1:12" x14ac:dyDescent="0.3">
      <c r="A500" s="74">
        <v>46061</v>
      </c>
      <c r="B500" s="67">
        <v>1043</v>
      </c>
      <c r="C500" s="67">
        <v>26075</v>
      </c>
      <c r="D500" s="67">
        <v>48</v>
      </c>
      <c r="E500" s="67">
        <v>16</v>
      </c>
      <c r="F500" s="67">
        <v>7</v>
      </c>
      <c r="G500" s="67">
        <v>6</v>
      </c>
      <c r="H500" s="67">
        <v>65</v>
      </c>
      <c r="I500" s="67">
        <v>9</v>
      </c>
      <c r="J500" s="67">
        <v>77</v>
      </c>
      <c r="K500" s="75">
        <v>7.3825503355704702E-2</v>
      </c>
      <c r="L500" s="67">
        <v>74</v>
      </c>
    </row>
    <row r="501" spans="1:12" x14ac:dyDescent="0.3">
      <c r="A501" s="74">
        <v>46062</v>
      </c>
      <c r="B501" s="67">
        <v>613</v>
      </c>
      <c r="C501" s="67">
        <v>12873</v>
      </c>
      <c r="D501" s="67">
        <v>22</v>
      </c>
      <c r="E501" s="67">
        <v>8</v>
      </c>
      <c r="F501" s="67">
        <v>3</v>
      </c>
      <c r="G501" s="67">
        <v>4</v>
      </c>
      <c r="H501" s="67">
        <v>44</v>
      </c>
      <c r="I501" s="67">
        <v>7</v>
      </c>
      <c r="J501" s="67">
        <v>37</v>
      </c>
      <c r="K501" s="75">
        <v>6.0358890701468187E-2</v>
      </c>
      <c r="L501" s="67">
        <v>51</v>
      </c>
    </row>
    <row r="502" spans="1:12" x14ac:dyDescent="0.3">
      <c r="A502" s="74">
        <v>46063</v>
      </c>
      <c r="B502" s="67">
        <v>766</v>
      </c>
      <c r="C502" s="67">
        <v>23746</v>
      </c>
      <c r="D502" s="67">
        <v>23</v>
      </c>
      <c r="E502" s="67">
        <v>12</v>
      </c>
      <c r="F502" s="67">
        <v>4</v>
      </c>
      <c r="G502" s="67">
        <v>2</v>
      </c>
      <c r="H502" s="67">
        <v>34</v>
      </c>
      <c r="I502" s="67">
        <v>4</v>
      </c>
      <c r="J502" s="67">
        <v>41</v>
      </c>
      <c r="K502" s="75">
        <v>5.3524804177545689E-2</v>
      </c>
      <c r="L502" s="67">
        <v>38</v>
      </c>
    </row>
    <row r="503" spans="1:12" x14ac:dyDescent="0.3">
      <c r="A503" s="74">
        <v>46064</v>
      </c>
      <c r="B503" s="67">
        <v>803</v>
      </c>
      <c r="C503" s="67">
        <v>22484</v>
      </c>
      <c r="D503" s="67">
        <v>30</v>
      </c>
      <c r="E503" s="67">
        <v>12</v>
      </c>
      <c r="F503" s="67">
        <v>3</v>
      </c>
      <c r="G503" s="67">
        <v>4</v>
      </c>
      <c r="H503" s="67">
        <v>53</v>
      </c>
      <c r="I503" s="67">
        <v>9</v>
      </c>
      <c r="J503" s="67">
        <v>49</v>
      </c>
      <c r="K503" s="75">
        <v>6.1021170610211707E-2</v>
      </c>
      <c r="L503" s="67">
        <v>62</v>
      </c>
    </row>
    <row r="504" spans="1:12" x14ac:dyDescent="0.3">
      <c r="A504" s="74">
        <v>46065</v>
      </c>
      <c r="B504" s="67">
        <v>634</v>
      </c>
      <c r="C504" s="67">
        <v>15216</v>
      </c>
      <c r="D504" s="67">
        <v>23</v>
      </c>
      <c r="E504" s="67">
        <v>10</v>
      </c>
      <c r="F504" s="67">
        <v>3</v>
      </c>
      <c r="G504" s="67">
        <v>2</v>
      </c>
      <c r="H504" s="67">
        <v>27</v>
      </c>
      <c r="I504" s="67">
        <v>5</v>
      </c>
      <c r="J504" s="67">
        <v>38</v>
      </c>
      <c r="K504" s="75">
        <v>5.993690851735016E-2</v>
      </c>
      <c r="L504" s="67">
        <v>32</v>
      </c>
    </row>
    <row r="505" spans="1:12" x14ac:dyDescent="0.3">
      <c r="A505" s="74">
        <v>46066</v>
      </c>
      <c r="B505" s="67">
        <v>1284</v>
      </c>
      <c r="C505" s="67">
        <v>33384</v>
      </c>
      <c r="D505" s="67">
        <v>33</v>
      </c>
      <c r="E505" s="67">
        <v>14</v>
      </c>
      <c r="F505" s="67">
        <v>3</v>
      </c>
      <c r="G505" s="67">
        <v>4</v>
      </c>
      <c r="H505" s="67">
        <v>101</v>
      </c>
      <c r="I505" s="67">
        <v>22</v>
      </c>
      <c r="J505" s="67">
        <v>54</v>
      </c>
      <c r="K505" s="75">
        <v>4.2056074766355138E-2</v>
      </c>
      <c r="L505" s="67">
        <v>123</v>
      </c>
    </row>
    <row r="506" spans="1:12" x14ac:dyDescent="0.3">
      <c r="A506" s="74">
        <v>46067</v>
      </c>
      <c r="B506" s="67">
        <v>2242</v>
      </c>
      <c r="C506" s="67">
        <v>67260</v>
      </c>
      <c r="D506" s="67">
        <v>59</v>
      </c>
      <c r="E506" s="67">
        <v>23</v>
      </c>
      <c r="F506" s="67">
        <v>7</v>
      </c>
      <c r="G506" s="67">
        <v>8</v>
      </c>
      <c r="H506" s="67">
        <v>176</v>
      </c>
      <c r="I506" s="67">
        <v>21</v>
      </c>
      <c r="J506" s="67">
        <v>97</v>
      </c>
      <c r="K506" s="75">
        <v>4.3264942016057094E-2</v>
      </c>
      <c r="L506" s="67">
        <v>197</v>
      </c>
    </row>
    <row r="507" spans="1:12" x14ac:dyDescent="0.3">
      <c r="A507" s="74">
        <v>46068</v>
      </c>
      <c r="B507" s="67">
        <v>2001</v>
      </c>
      <c r="C507" s="67">
        <v>54027</v>
      </c>
      <c r="D507" s="67">
        <v>65</v>
      </c>
      <c r="E507" s="67">
        <v>27</v>
      </c>
      <c r="F507" s="67">
        <v>6</v>
      </c>
      <c r="G507" s="67">
        <v>8</v>
      </c>
      <c r="H507" s="67">
        <v>99</v>
      </c>
      <c r="I507" s="67">
        <v>22</v>
      </c>
      <c r="J507" s="67">
        <v>106</v>
      </c>
      <c r="K507" s="75">
        <v>5.297351324337831E-2</v>
      </c>
      <c r="L507" s="67">
        <v>121</v>
      </c>
    </row>
    <row r="508" spans="1:12" x14ac:dyDescent="0.3">
      <c r="A508" s="74">
        <v>46069</v>
      </c>
      <c r="B508" s="67">
        <v>2280</v>
      </c>
      <c r="C508" s="67">
        <v>75240</v>
      </c>
      <c r="D508" s="67">
        <v>76</v>
      </c>
      <c r="E508" s="67">
        <v>35</v>
      </c>
      <c r="F508" s="67">
        <v>7</v>
      </c>
      <c r="G508" s="67">
        <v>9</v>
      </c>
      <c r="H508" s="67">
        <v>169</v>
      </c>
      <c r="I508" s="67">
        <v>21</v>
      </c>
      <c r="J508" s="67">
        <v>127</v>
      </c>
      <c r="K508" s="75">
        <v>5.5701754385964912E-2</v>
      </c>
      <c r="L508" s="67">
        <v>190</v>
      </c>
    </row>
    <row r="509" spans="1:12" x14ac:dyDescent="0.3">
      <c r="A509" s="74">
        <v>46070</v>
      </c>
      <c r="B509" s="67">
        <v>2083</v>
      </c>
      <c r="C509" s="67">
        <v>70822</v>
      </c>
      <c r="D509" s="67">
        <v>55</v>
      </c>
      <c r="E509" s="67">
        <v>25</v>
      </c>
      <c r="F509" s="67">
        <v>9</v>
      </c>
      <c r="G509" s="67">
        <v>6</v>
      </c>
      <c r="H509" s="67">
        <v>147</v>
      </c>
      <c r="I509" s="67">
        <v>28</v>
      </c>
      <c r="J509" s="67">
        <v>95</v>
      </c>
      <c r="K509" s="75">
        <v>4.5607297167546808E-2</v>
      </c>
      <c r="L509" s="67">
        <v>175</v>
      </c>
    </row>
    <row r="510" spans="1:12" x14ac:dyDescent="0.3">
      <c r="A510" s="74">
        <v>46071</v>
      </c>
      <c r="B510" s="67">
        <v>2302</v>
      </c>
      <c r="C510" s="67">
        <v>71362</v>
      </c>
      <c r="D510" s="67">
        <v>90</v>
      </c>
      <c r="E510" s="67">
        <v>30</v>
      </c>
      <c r="F510" s="67">
        <v>7</v>
      </c>
      <c r="G510" s="67">
        <v>13</v>
      </c>
      <c r="H510" s="67">
        <v>142</v>
      </c>
      <c r="I510" s="67">
        <v>25</v>
      </c>
      <c r="J510" s="67">
        <v>140</v>
      </c>
      <c r="K510" s="75">
        <v>6.0816681146828845E-2</v>
      </c>
      <c r="L510" s="67">
        <v>167</v>
      </c>
    </row>
    <row r="511" spans="1:12" x14ac:dyDescent="0.3">
      <c r="A511" s="74">
        <v>46072</v>
      </c>
      <c r="B511" s="67">
        <v>1970</v>
      </c>
      <c r="C511" s="67">
        <v>43340</v>
      </c>
      <c r="D511" s="67">
        <v>68</v>
      </c>
      <c r="E511" s="67">
        <v>29</v>
      </c>
      <c r="F511" s="67">
        <v>9</v>
      </c>
      <c r="G511" s="67">
        <v>11</v>
      </c>
      <c r="H511" s="67">
        <v>81</v>
      </c>
      <c r="I511" s="67">
        <v>22</v>
      </c>
      <c r="J511" s="67">
        <v>117</v>
      </c>
      <c r="K511" s="75">
        <v>5.9390862944162438E-2</v>
      </c>
      <c r="L511" s="67">
        <v>103</v>
      </c>
    </row>
    <row r="512" spans="1:12" x14ac:dyDescent="0.3">
      <c r="A512" s="74">
        <v>46073</v>
      </c>
      <c r="B512" s="67">
        <v>1600</v>
      </c>
      <c r="C512" s="67">
        <v>41600</v>
      </c>
      <c r="D512" s="67">
        <v>58</v>
      </c>
      <c r="E512" s="67">
        <v>25</v>
      </c>
      <c r="F512" s="67">
        <v>6</v>
      </c>
      <c r="G512" s="67">
        <v>6</v>
      </c>
      <c r="H512" s="67">
        <v>71</v>
      </c>
      <c r="I512" s="67">
        <v>15</v>
      </c>
      <c r="J512" s="67">
        <v>95</v>
      </c>
      <c r="K512" s="75">
        <v>5.9374999999999997E-2</v>
      </c>
      <c r="L512" s="67">
        <v>86</v>
      </c>
    </row>
    <row r="513" spans="1:12" x14ac:dyDescent="0.3">
      <c r="A513" s="74">
        <v>46074</v>
      </c>
      <c r="B513" s="67">
        <v>739</v>
      </c>
      <c r="C513" s="67">
        <v>19953</v>
      </c>
      <c r="D513" s="67">
        <v>24</v>
      </c>
      <c r="E513" s="67">
        <v>9</v>
      </c>
      <c r="F513" s="67">
        <v>2</v>
      </c>
      <c r="G513" s="67">
        <v>4</v>
      </c>
      <c r="H513" s="67">
        <v>56</v>
      </c>
      <c r="I513" s="67">
        <v>9</v>
      </c>
      <c r="J513" s="67">
        <v>39</v>
      </c>
      <c r="K513" s="75">
        <v>5.2774018944519621E-2</v>
      </c>
      <c r="L513" s="67">
        <v>65</v>
      </c>
    </row>
    <row r="514" spans="1:12" x14ac:dyDescent="0.3">
      <c r="A514" s="74">
        <v>46075</v>
      </c>
      <c r="B514" s="67">
        <v>770</v>
      </c>
      <c r="C514" s="67">
        <v>13860</v>
      </c>
      <c r="D514" s="67">
        <v>20</v>
      </c>
      <c r="E514" s="67">
        <v>11</v>
      </c>
      <c r="F514" s="67">
        <v>3</v>
      </c>
      <c r="G514" s="67">
        <v>3</v>
      </c>
      <c r="H514" s="67">
        <v>40</v>
      </c>
      <c r="I514" s="67">
        <v>8</v>
      </c>
      <c r="J514" s="67">
        <v>37</v>
      </c>
      <c r="K514" s="75">
        <v>4.8051948051948054E-2</v>
      </c>
      <c r="L514" s="67">
        <v>48</v>
      </c>
    </row>
    <row r="515" spans="1:12" x14ac:dyDescent="0.3">
      <c r="A515" s="74">
        <v>46076</v>
      </c>
      <c r="B515" s="67">
        <v>746</v>
      </c>
      <c r="C515" s="67">
        <v>14174</v>
      </c>
      <c r="D515" s="67">
        <v>19</v>
      </c>
      <c r="E515" s="67">
        <v>8</v>
      </c>
      <c r="F515" s="67">
        <v>3</v>
      </c>
      <c r="G515" s="67">
        <v>2</v>
      </c>
      <c r="H515" s="67">
        <v>57</v>
      </c>
      <c r="I515" s="67">
        <v>6</v>
      </c>
      <c r="J515" s="67">
        <v>32</v>
      </c>
      <c r="K515" s="75">
        <v>4.2895442359249331E-2</v>
      </c>
      <c r="L515" s="67">
        <v>63</v>
      </c>
    </row>
    <row r="516" spans="1:12" x14ac:dyDescent="0.3">
      <c r="A516" s="74">
        <v>46077</v>
      </c>
      <c r="B516" s="67">
        <v>773</v>
      </c>
      <c r="C516" s="67">
        <v>16233</v>
      </c>
      <c r="D516" s="67">
        <v>25</v>
      </c>
      <c r="E516" s="67">
        <v>9</v>
      </c>
      <c r="F516" s="67">
        <v>4</v>
      </c>
      <c r="G516" s="67">
        <v>3</v>
      </c>
      <c r="H516" s="67">
        <v>52</v>
      </c>
      <c r="I516" s="67">
        <v>10</v>
      </c>
      <c r="J516" s="67">
        <v>41</v>
      </c>
      <c r="K516" s="75">
        <v>5.3040103492884863E-2</v>
      </c>
      <c r="L516" s="67">
        <v>62</v>
      </c>
    </row>
    <row r="517" spans="1:12" x14ac:dyDescent="0.3">
      <c r="A517" s="74">
        <v>46078</v>
      </c>
      <c r="B517" s="67">
        <v>682</v>
      </c>
      <c r="C517" s="67">
        <v>12958</v>
      </c>
      <c r="D517" s="67">
        <v>18</v>
      </c>
      <c r="E517" s="67">
        <v>8</v>
      </c>
      <c r="F517" s="67">
        <v>2</v>
      </c>
      <c r="G517" s="67">
        <v>3</v>
      </c>
      <c r="H517" s="67">
        <v>53</v>
      </c>
      <c r="I517" s="67">
        <v>8</v>
      </c>
      <c r="J517" s="67">
        <v>31</v>
      </c>
      <c r="K517" s="75">
        <v>4.5454545454545456E-2</v>
      </c>
      <c r="L517" s="67">
        <v>61</v>
      </c>
    </row>
    <row r="518" spans="1:12" x14ac:dyDescent="0.3">
      <c r="A518" s="74">
        <v>46079</v>
      </c>
      <c r="B518" s="67">
        <v>881</v>
      </c>
      <c r="C518" s="67">
        <v>29954</v>
      </c>
      <c r="D518" s="67">
        <v>22</v>
      </c>
      <c r="E518" s="67">
        <v>8</v>
      </c>
      <c r="F518" s="67">
        <v>2</v>
      </c>
      <c r="G518" s="67">
        <v>3</v>
      </c>
      <c r="H518" s="67">
        <v>59</v>
      </c>
      <c r="I518" s="67">
        <v>10</v>
      </c>
      <c r="J518" s="67">
        <v>35</v>
      </c>
      <c r="K518" s="75">
        <v>3.9727582292849034E-2</v>
      </c>
      <c r="L518" s="67">
        <v>69</v>
      </c>
    </row>
    <row r="519" spans="1:12" x14ac:dyDescent="0.3">
      <c r="A519" s="74">
        <v>46080</v>
      </c>
      <c r="B519" s="67">
        <v>663</v>
      </c>
      <c r="C519" s="67">
        <v>16575</v>
      </c>
      <c r="D519" s="67">
        <v>16</v>
      </c>
      <c r="E519" s="67">
        <v>8</v>
      </c>
      <c r="F519" s="67">
        <v>3</v>
      </c>
      <c r="G519" s="67">
        <v>2</v>
      </c>
      <c r="H519" s="67">
        <v>41</v>
      </c>
      <c r="I519" s="67">
        <v>4</v>
      </c>
      <c r="J519" s="67">
        <v>29</v>
      </c>
      <c r="K519" s="75">
        <v>4.3740573152337855E-2</v>
      </c>
      <c r="L519" s="67">
        <v>45</v>
      </c>
    </row>
    <row r="520" spans="1:12" x14ac:dyDescent="0.3">
      <c r="A520" s="74">
        <v>46081</v>
      </c>
      <c r="B520" s="67">
        <v>955</v>
      </c>
      <c r="C520" s="67">
        <v>17190</v>
      </c>
      <c r="D520" s="67">
        <v>40</v>
      </c>
      <c r="E520" s="67">
        <v>14</v>
      </c>
      <c r="F520" s="67">
        <v>6</v>
      </c>
      <c r="G520" s="67">
        <v>4</v>
      </c>
      <c r="H520" s="67">
        <v>57</v>
      </c>
      <c r="I520" s="67">
        <v>11</v>
      </c>
      <c r="J520" s="67">
        <v>64</v>
      </c>
      <c r="K520" s="75">
        <v>6.7015706806282729E-2</v>
      </c>
      <c r="L520" s="67">
        <v>68</v>
      </c>
    </row>
    <row r="521" spans="1:12" x14ac:dyDescent="0.3">
      <c r="A521" s="74">
        <v>46082</v>
      </c>
      <c r="B521" s="67">
        <v>1059</v>
      </c>
      <c r="C521" s="67">
        <v>26475</v>
      </c>
      <c r="D521" s="67">
        <v>43</v>
      </c>
      <c r="E521" s="67">
        <v>18</v>
      </c>
      <c r="F521" s="67">
        <v>6</v>
      </c>
      <c r="G521" s="67">
        <v>5</v>
      </c>
      <c r="H521" s="67">
        <v>84</v>
      </c>
      <c r="I521" s="67">
        <v>14</v>
      </c>
      <c r="J521" s="67">
        <v>72</v>
      </c>
      <c r="K521" s="75">
        <v>6.79886685552408E-2</v>
      </c>
      <c r="L521" s="67">
        <v>98</v>
      </c>
    </row>
    <row r="522" spans="1:12" x14ac:dyDescent="0.3">
      <c r="A522" s="74">
        <v>46083</v>
      </c>
      <c r="B522" s="67">
        <v>766</v>
      </c>
      <c r="C522" s="67">
        <v>21448</v>
      </c>
      <c r="D522" s="67">
        <v>27</v>
      </c>
      <c r="E522" s="67">
        <v>12</v>
      </c>
      <c r="F522" s="67">
        <v>4</v>
      </c>
      <c r="G522" s="67">
        <v>3</v>
      </c>
      <c r="H522" s="67">
        <v>56</v>
      </c>
      <c r="I522" s="67">
        <v>10</v>
      </c>
      <c r="J522" s="67">
        <v>46</v>
      </c>
      <c r="K522" s="75">
        <v>6.0052219321148827E-2</v>
      </c>
      <c r="L522" s="67">
        <v>66</v>
      </c>
    </row>
    <row r="523" spans="1:12" x14ac:dyDescent="0.3">
      <c r="A523" s="74">
        <v>46084</v>
      </c>
      <c r="B523" s="67">
        <v>746</v>
      </c>
      <c r="C523" s="67">
        <v>18650</v>
      </c>
      <c r="D523" s="67">
        <v>18</v>
      </c>
      <c r="E523" s="67">
        <v>9</v>
      </c>
      <c r="F523" s="67">
        <v>2</v>
      </c>
      <c r="G523" s="67">
        <v>2</v>
      </c>
      <c r="H523" s="67">
        <v>59</v>
      </c>
      <c r="I523" s="67">
        <v>10</v>
      </c>
      <c r="J523" s="67">
        <v>31</v>
      </c>
      <c r="K523" s="75">
        <v>4.1554959785522788E-2</v>
      </c>
      <c r="L523" s="67">
        <v>69</v>
      </c>
    </row>
    <row r="524" spans="1:12" x14ac:dyDescent="0.3">
      <c r="A524" s="74">
        <v>46085</v>
      </c>
      <c r="B524" s="67">
        <v>798</v>
      </c>
      <c r="C524" s="67">
        <v>21546</v>
      </c>
      <c r="D524" s="67">
        <v>31</v>
      </c>
      <c r="E524" s="67">
        <v>11</v>
      </c>
      <c r="F524" s="67">
        <v>3</v>
      </c>
      <c r="G524" s="67">
        <v>3</v>
      </c>
      <c r="H524" s="67">
        <v>61</v>
      </c>
      <c r="I524" s="67">
        <v>10</v>
      </c>
      <c r="J524" s="67">
        <v>48</v>
      </c>
      <c r="K524" s="75">
        <v>6.0150375939849621E-2</v>
      </c>
      <c r="L524" s="67">
        <v>71</v>
      </c>
    </row>
    <row r="525" spans="1:12" x14ac:dyDescent="0.3">
      <c r="A525" s="74">
        <v>46086</v>
      </c>
      <c r="B525" s="67">
        <v>666</v>
      </c>
      <c r="C525" s="67">
        <v>20646</v>
      </c>
      <c r="D525" s="67">
        <v>27</v>
      </c>
      <c r="E525" s="67">
        <v>13</v>
      </c>
      <c r="F525" s="67">
        <v>3</v>
      </c>
      <c r="G525" s="67">
        <v>3</v>
      </c>
      <c r="H525" s="67">
        <v>27</v>
      </c>
      <c r="I525" s="67">
        <v>3</v>
      </c>
      <c r="J525" s="67">
        <v>46</v>
      </c>
      <c r="K525" s="75">
        <v>6.9069069069069067E-2</v>
      </c>
      <c r="L525" s="67">
        <v>30</v>
      </c>
    </row>
    <row r="526" spans="1:12" x14ac:dyDescent="0.3">
      <c r="A526" s="74">
        <v>46087</v>
      </c>
      <c r="B526" s="67">
        <v>714</v>
      </c>
      <c r="C526" s="67">
        <v>17850</v>
      </c>
      <c r="D526" s="67">
        <v>26</v>
      </c>
      <c r="E526" s="67">
        <v>12</v>
      </c>
      <c r="F526" s="67">
        <v>2</v>
      </c>
      <c r="G526" s="67">
        <v>2</v>
      </c>
      <c r="H526" s="67">
        <v>45</v>
      </c>
      <c r="I526" s="67">
        <v>8</v>
      </c>
      <c r="J526" s="67">
        <v>42</v>
      </c>
      <c r="K526" s="75">
        <v>5.8823529411764705E-2</v>
      </c>
      <c r="L526" s="67">
        <v>53</v>
      </c>
    </row>
    <row r="527" spans="1:12" x14ac:dyDescent="0.3">
      <c r="A527" s="74">
        <v>46088</v>
      </c>
      <c r="B527" s="67">
        <v>1333</v>
      </c>
      <c r="C527" s="67">
        <v>38657</v>
      </c>
      <c r="D527" s="67">
        <v>49</v>
      </c>
      <c r="E527" s="67">
        <v>17</v>
      </c>
      <c r="F527" s="67">
        <v>6</v>
      </c>
      <c r="G527" s="67">
        <v>7</v>
      </c>
      <c r="H527" s="67">
        <v>72</v>
      </c>
      <c r="I527" s="67">
        <v>13</v>
      </c>
      <c r="J527" s="67">
        <v>79</v>
      </c>
      <c r="K527" s="75">
        <v>5.926481620405101E-2</v>
      </c>
      <c r="L527" s="67">
        <v>85</v>
      </c>
    </row>
    <row r="528" spans="1:12" x14ac:dyDescent="0.3">
      <c r="A528" s="74">
        <v>46089</v>
      </c>
      <c r="B528" s="67">
        <v>1410</v>
      </c>
      <c r="C528" s="67">
        <v>39480</v>
      </c>
      <c r="D528" s="67">
        <v>44</v>
      </c>
      <c r="E528" s="67">
        <v>18</v>
      </c>
      <c r="F528" s="67">
        <v>7</v>
      </c>
      <c r="G528" s="67">
        <v>4</v>
      </c>
      <c r="H528" s="67">
        <v>101</v>
      </c>
      <c r="I528" s="67">
        <v>22</v>
      </c>
      <c r="J528" s="67">
        <v>73</v>
      </c>
      <c r="K528" s="75">
        <v>5.1773049645390069E-2</v>
      </c>
      <c r="L528" s="67">
        <v>123</v>
      </c>
    </row>
    <row r="529" spans="1:12" x14ac:dyDescent="0.3">
      <c r="A529" s="74">
        <v>46090</v>
      </c>
      <c r="B529" s="67">
        <v>855</v>
      </c>
      <c r="C529" s="67">
        <v>19665</v>
      </c>
      <c r="D529" s="67">
        <v>30</v>
      </c>
      <c r="E529" s="67">
        <v>9</v>
      </c>
      <c r="F529" s="67">
        <v>4</v>
      </c>
      <c r="G529" s="67">
        <v>3</v>
      </c>
      <c r="H529" s="67">
        <v>67</v>
      </c>
      <c r="I529" s="67">
        <v>10</v>
      </c>
      <c r="J529" s="67">
        <v>46</v>
      </c>
      <c r="K529" s="75">
        <v>5.3801169590643273E-2</v>
      </c>
      <c r="L529" s="67">
        <v>77</v>
      </c>
    </row>
    <row r="530" spans="1:12" x14ac:dyDescent="0.3">
      <c r="A530" s="74">
        <v>46091</v>
      </c>
      <c r="B530" s="67">
        <v>788</v>
      </c>
      <c r="C530" s="67">
        <v>14972</v>
      </c>
      <c r="D530" s="67">
        <v>23</v>
      </c>
      <c r="E530" s="67">
        <v>8</v>
      </c>
      <c r="F530" s="67">
        <v>3</v>
      </c>
      <c r="G530" s="67">
        <v>4</v>
      </c>
      <c r="H530" s="67">
        <v>56</v>
      </c>
      <c r="I530" s="67">
        <v>7</v>
      </c>
      <c r="J530" s="67">
        <v>38</v>
      </c>
      <c r="K530" s="75">
        <v>4.8223350253807105E-2</v>
      </c>
      <c r="L530" s="67">
        <v>63</v>
      </c>
    </row>
    <row r="531" spans="1:12" x14ac:dyDescent="0.3">
      <c r="A531" s="74">
        <v>46092</v>
      </c>
      <c r="B531" s="67">
        <v>663</v>
      </c>
      <c r="C531" s="67">
        <v>16575</v>
      </c>
      <c r="D531" s="67">
        <v>19</v>
      </c>
      <c r="E531" s="67">
        <v>7</v>
      </c>
      <c r="F531" s="67">
        <v>2</v>
      </c>
      <c r="G531" s="67">
        <v>2</v>
      </c>
      <c r="H531" s="67">
        <v>50</v>
      </c>
      <c r="I531" s="67">
        <v>6</v>
      </c>
      <c r="J531" s="67">
        <v>30</v>
      </c>
      <c r="K531" s="75">
        <v>4.5248868778280542E-2</v>
      </c>
      <c r="L531" s="67">
        <v>56</v>
      </c>
    </row>
    <row r="532" spans="1:12" x14ac:dyDescent="0.3">
      <c r="A532" s="74">
        <v>46093</v>
      </c>
      <c r="B532" s="67">
        <v>758</v>
      </c>
      <c r="C532" s="67">
        <v>18192</v>
      </c>
      <c r="D532" s="67">
        <v>25</v>
      </c>
      <c r="E532" s="67">
        <v>9</v>
      </c>
      <c r="F532" s="67">
        <v>3</v>
      </c>
      <c r="G532" s="67">
        <v>3</v>
      </c>
      <c r="H532" s="67">
        <v>60</v>
      </c>
      <c r="I532" s="67">
        <v>10</v>
      </c>
      <c r="J532" s="67">
        <v>40</v>
      </c>
      <c r="K532" s="75">
        <v>5.2770448548812667E-2</v>
      </c>
      <c r="L532" s="67">
        <v>70</v>
      </c>
    </row>
    <row r="533" spans="1:12" x14ac:dyDescent="0.3">
      <c r="A533" s="74">
        <v>46094</v>
      </c>
      <c r="B533" s="67">
        <v>690</v>
      </c>
      <c r="C533" s="67">
        <v>17940</v>
      </c>
      <c r="D533" s="67">
        <v>31</v>
      </c>
      <c r="E533" s="67">
        <v>13</v>
      </c>
      <c r="F533" s="67">
        <v>3</v>
      </c>
      <c r="G533" s="67">
        <v>4</v>
      </c>
      <c r="H533" s="67">
        <v>54</v>
      </c>
      <c r="I533" s="67">
        <v>9</v>
      </c>
      <c r="J533" s="67">
        <v>51</v>
      </c>
      <c r="K533" s="75">
        <v>7.3913043478260873E-2</v>
      </c>
      <c r="L533" s="67">
        <v>63</v>
      </c>
    </row>
    <row r="534" spans="1:12" x14ac:dyDescent="0.3">
      <c r="A534" s="74">
        <v>46095</v>
      </c>
      <c r="B534" s="67">
        <v>963</v>
      </c>
      <c r="C534" s="67">
        <v>26964</v>
      </c>
      <c r="D534" s="67">
        <v>37</v>
      </c>
      <c r="E534" s="67">
        <v>19</v>
      </c>
      <c r="F534" s="67">
        <v>5</v>
      </c>
      <c r="G534" s="67">
        <v>4</v>
      </c>
      <c r="H534" s="67">
        <v>50</v>
      </c>
      <c r="I534" s="67">
        <v>9</v>
      </c>
      <c r="J534" s="67">
        <v>65</v>
      </c>
      <c r="K534" s="75">
        <v>6.749740394600208E-2</v>
      </c>
      <c r="L534" s="67">
        <v>59</v>
      </c>
    </row>
    <row r="535" spans="1:12" x14ac:dyDescent="0.3">
      <c r="A535" s="74">
        <v>46096</v>
      </c>
      <c r="B535" s="67">
        <v>992</v>
      </c>
      <c r="C535" s="67">
        <v>28768</v>
      </c>
      <c r="D535" s="67">
        <v>28</v>
      </c>
      <c r="E535" s="67">
        <v>13</v>
      </c>
      <c r="F535" s="67">
        <v>3</v>
      </c>
      <c r="G535" s="67">
        <v>4</v>
      </c>
      <c r="H535" s="67">
        <v>49</v>
      </c>
      <c r="I535" s="67">
        <v>7</v>
      </c>
      <c r="J535" s="67">
        <v>48</v>
      </c>
      <c r="K535" s="75">
        <v>4.8387096774193547E-2</v>
      </c>
      <c r="L535" s="67">
        <v>56</v>
      </c>
    </row>
    <row r="536" spans="1:12" x14ac:dyDescent="0.3">
      <c r="A536" s="74">
        <v>46097</v>
      </c>
      <c r="B536" s="67">
        <v>783</v>
      </c>
      <c r="C536" s="67">
        <v>18792</v>
      </c>
      <c r="D536" s="67">
        <v>30</v>
      </c>
      <c r="E536" s="67">
        <v>10</v>
      </c>
      <c r="F536" s="67">
        <v>3</v>
      </c>
      <c r="G536" s="67">
        <v>3</v>
      </c>
      <c r="H536" s="67">
        <v>42</v>
      </c>
      <c r="I536" s="67">
        <v>6</v>
      </c>
      <c r="J536" s="67">
        <v>46</v>
      </c>
      <c r="K536" s="75">
        <v>5.8748403575989781E-2</v>
      </c>
      <c r="L536" s="67">
        <v>48</v>
      </c>
    </row>
    <row r="537" spans="1:12" x14ac:dyDescent="0.3">
      <c r="A537" s="74">
        <v>46098</v>
      </c>
      <c r="B537" s="67">
        <v>734</v>
      </c>
      <c r="C537" s="67">
        <v>17616</v>
      </c>
      <c r="D537" s="67">
        <v>24</v>
      </c>
      <c r="E537" s="67">
        <v>9</v>
      </c>
      <c r="F537" s="67">
        <v>4</v>
      </c>
      <c r="G537" s="67">
        <v>3</v>
      </c>
      <c r="H537" s="67">
        <v>37</v>
      </c>
      <c r="I537" s="67">
        <v>7</v>
      </c>
      <c r="J537" s="67">
        <v>40</v>
      </c>
      <c r="K537" s="75">
        <v>5.4495912806539509E-2</v>
      </c>
      <c r="L537" s="67">
        <v>44</v>
      </c>
    </row>
    <row r="538" spans="1:12" x14ac:dyDescent="0.3">
      <c r="A538" s="74">
        <v>46099</v>
      </c>
      <c r="B538" s="67">
        <v>724</v>
      </c>
      <c r="C538" s="67">
        <v>20272</v>
      </c>
      <c r="D538" s="67">
        <v>30</v>
      </c>
      <c r="E538" s="67">
        <v>12</v>
      </c>
      <c r="F538" s="67">
        <v>4</v>
      </c>
      <c r="G538" s="67">
        <v>4</v>
      </c>
      <c r="H538" s="67">
        <v>43</v>
      </c>
      <c r="I538" s="67">
        <v>5</v>
      </c>
      <c r="J538" s="67">
        <v>50</v>
      </c>
      <c r="K538" s="75">
        <v>6.9060773480662987E-2</v>
      </c>
      <c r="L538" s="67">
        <v>48</v>
      </c>
    </row>
    <row r="539" spans="1:12" x14ac:dyDescent="0.3">
      <c r="A539" s="74">
        <v>46100</v>
      </c>
      <c r="B539" s="67">
        <v>686</v>
      </c>
      <c r="C539" s="67">
        <v>16464</v>
      </c>
      <c r="D539" s="67">
        <v>20</v>
      </c>
      <c r="E539" s="67">
        <v>7</v>
      </c>
      <c r="F539" s="67">
        <v>3</v>
      </c>
      <c r="G539" s="67">
        <v>2</v>
      </c>
      <c r="H539" s="67">
        <v>29</v>
      </c>
      <c r="I539" s="67">
        <v>4</v>
      </c>
      <c r="J539" s="67">
        <v>32</v>
      </c>
      <c r="K539" s="75">
        <v>4.6647230320699708E-2</v>
      </c>
      <c r="L539" s="67">
        <v>33</v>
      </c>
    </row>
    <row r="540" spans="1:12" x14ac:dyDescent="0.3">
      <c r="A540" s="74">
        <v>46101</v>
      </c>
      <c r="B540" s="67">
        <v>811</v>
      </c>
      <c r="C540" s="67">
        <v>24330</v>
      </c>
      <c r="D540" s="67">
        <v>30</v>
      </c>
      <c r="E540" s="67">
        <v>11</v>
      </c>
      <c r="F540" s="67">
        <v>4</v>
      </c>
      <c r="G540" s="67">
        <v>4</v>
      </c>
      <c r="H540" s="67">
        <v>46</v>
      </c>
      <c r="I540" s="67">
        <v>8</v>
      </c>
      <c r="J540" s="67">
        <v>49</v>
      </c>
      <c r="K540" s="75">
        <v>6.0419235511713937E-2</v>
      </c>
      <c r="L540" s="67">
        <v>54</v>
      </c>
    </row>
    <row r="541" spans="1:12" x14ac:dyDescent="0.3">
      <c r="A541" s="74">
        <v>46102</v>
      </c>
      <c r="B541" s="67">
        <v>951</v>
      </c>
      <c r="C541" s="67">
        <v>23775</v>
      </c>
      <c r="D541" s="67">
        <v>25</v>
      </c>
      <c r="E541" s="67">
        <v>9</v>
      </c>
      <c r="F541" s="67">
        <v>3</v>
      </c>
      <c r="G541" s="67">
        <v>2</v>
      </c>
      <c r="H541" s="67">
        <v>48</v>
      </c>
      <c r="I541" s="67">
        <v>7</v>
      </c>
      <c r="J541" s="67">
        <v>39</v>
      </c>
      <c r="K541" s="75">
        <v>4.1009463722397478E-2</v>
      </c>
      <c r="L541" s="67">
        <v>55</v>
      </c>
    </row>
    <row r="542" spans="1:12" x14ac:dyDescent="0.3">
      <c r="A542" s="74">
        <v>46103</v>
      </c>
      <c r="B542" s="67">
        <v>751</v>
      </c>
      <c r="C542" s="67">
        <v>25534</v>
      </c>
      <c r="D542" s="67">
        <v>33</v>
      </c>
      <c r="E542" s="67">
        <v>13</v>
      </c>
      <c r="F542" s="67">
        <v>5</v>
      </c>
      <c r="G542" s="67">
        <v>5</v>
      </c>
      <c r="H542" s="67">
        <v>34</v>
      </c>
      <c r="I542" s="67">
        <v>4</v>
      </c>
      <c r="J542" s="67">
        <v>56</v>
      </c>
      <c r="K542" s="75">
        <v>7.456724367509987E-2</v>
      </c>
      <c r="L542" s="67">
        <v>38</v>
      </c>
    </row>
    <row r="543" spans="1:12" x14ac:dyDescent="0.3">
      <c r="A543" s="74">
        <v>46104</v>
      </c>
      <c r="B543" s="67">
        <v>880</v>
      </c>
      <c r="C543" s="67">
        <v>20240</v>
      </c>
      <c r="D543" s="67">
        <v>31</v>
      </c>
      <c r="E543" s="67">
        <v>12</v>
      </c>
      <c r="F543" s="67">
        <v>5</v>
      </c>
      <c r="G543" s="67">
        <v>5</v>
      </c>
      <c r="H543" s="67">
        <v>53</v>
      </c>
      <c r="I543" s="67">
        <v>5</v>
      </c>
      <c r="J543" s="67">
        <v>53</v>
      </c>
      <c r="K543" s="75">
        <v>6.0227272727272727E-2</v>
      </c>
      <c r="L543" s="67">
        <v>58</v>
      </c>
    </row>
    <row r="544" spans="1:12" x14ac:dyDescent="0.3">
      <c r="A544" s="74">
        <v>46105</v>
      </c>
      <c r="B544" s="67">
        <v>822</v>
      </c>
      <c r="C544" s="67">
        <v>20550</v>
      </c>
      <c r="D544" s="67">
        <v>30</v>
      </c>
      <c r="E544" s="67">
        <v>15</v>
      </c>
      <c r="F544" s="67">
        <v>5</v>
      </c>
      <c r="G544" s="67">
        <v>4</v>
      </c>
      <c r="H544" s="67">
        <v>45</v>
      </c>
      <c r="I544" s="67">
        <v>5</v>
      </c>
      <c r="J544" s="67">
        <v>54</v>
      </c>
      <c r="K544" s="75">
        <v>6.569343065693431E-2</v>
      </c>
      <c r="L544" s="67">
        <v>50</v>
      </c>
    </row>
    <row r="545" spans="1:12" x14ac:dyDescent="0.3">
      <c r="A545" s="74">
        <v>46106</v>
      </c>
      <c r="B545" s="67">
        <v>767</v>
      </c>
      <c r="C545" s="67">
        <v>23777</v>
      </c>
      <c r="D545" s="67">
        <v>21</v>
      </c>
      <c r="E545" s="67">
        <v>10</v>
      </c>
      <c r="F545" s="67">
        <v>3</v>
      </c>
      <c r="G545" s="67">
        <v>3</v>
      </c>
      <c r="H545" s="67">
        <v>57</v>
      </c>
      <c r="I545" s="67">
        <v>6</v>
      </c>
      <c r="J545" s="67">
        <v>37</v>
      </c>
      <c r="K545" s="75">
        <v>4.8239895697522815E-2</v>
      </c>
      <c r="L545" s="67">
        <v>63</v>
      </c>
    </row>
    <row r="546" spans="1:12" x14ac:dyDescent="0.3">
      <c r="A546" s="74">
        <v>46107</v>
      </c>
      <c r="B546" s="67">
        <v>766</v>
      </c>
      <c r="C546" s="67">
        <v>19150</v>
      </c>
      <c r="D546" s="67">
        <v>21</v>
      </c>
      <c r="E546" s="67">
        <v>8</v>
      </c>
      <c r="F546" s="67">
        <v>3</v>
      </c>
      <c r="G546" s="67">
        <v>2</v>
      </c>
      <c r="H546" s="67">
        <v>32</v>
      </c>
      <c r="I546" s="67">
        <v>5</v>
      </c>
      <c r="J546" s="67">
        <v>34</v>
      </c>
      <c r="K546" s="75">
        <v>4.4386422976501305E-2</v>
      </c>
      <c r="L546" s="67">
        <v>37</v>
      </c>
    </row>
    <row r="547" spans="1:12" x14ac:dyDescent="0.3">
      <c r="A547" s="74">
        <v>46108</v>
      </c>
      <c r="B547" s="67">
        <v>824</v>
      </c>
      <c r="C547" s="67">
        <v>17304</v>
      </c>
      <c r="D547" s="67">
        <v>23</v>
      </c>
      <c r="E547" s="67">
        <v>11</v>
      </c>
      <c r="F547" s="67">
        <v>2</v>
      </c>
      <c r="G547" s="67">
        <v>4</v>
      </c>
      <c r="H547" s="67">
        <v>36</v>
      </c>
      <c r="I547" s="67">
        <v>5</v>
      </c>
      <c r="J547" s="67">
        <v>40</v>
      </c>
      <c r="K547" s="75">
        <v>4.8543689320388349E-2</v>
      </c>
      <c r="L547" s="67">
        <v>41</v>
      </c>
    </row>
    <row r="548" spans="1:12" x14ac:dyDescent="0.3">
      <c r="A548" s="74">
        <v>46109</v>
      </c>
      <c r="B548" s="67">
        <v>2466</v>
      </c>
      <c r="C548" s="67">
        <v>69048</v>
      </c>
      <c r="D548" s="67">
        <v>77</v>
      </c>
      <c r="E548" s="67">
        <v>31</v>
      </c>
      <c r="F548" s="67">
        <v>9</v>
      </c>
      <c r="G548" s="67">
        <v>6</v>
      </c>
      <c r="H548" s="67">
        <v>175</v>
      </c>
      <c r="I548" s="67">
        <v>34</v>
      </c>
      <c r="J548" s="67">
        <v>123</v>
      </c>
      <c r="K548" s="75">
        <v>4.9878345498783457E-2</v>
      </c>
      <c r="L548" s="67">
        <v>209</v>
      </c>
    </row>
    <row r="549" spans="1:12" x14ac:dyDescent="0.3">
      <c r="A549" s="74">
        <v>46110</v>
      </c>
      <c r="B549" s="67">
        <v>832</v>
      </c>
      <c r="C549" s="67">
        <v>25792</v>
      </c>
      <c r="D549" s="67">
        <v>19</v>
      </c>
      <c r="E549" s="67">
        <v>6</v>
      </c>
      <c r="F549" s="67">
        <v>2</v>
      </c>
      <c r="G549" s="67">
        <v>2</v>
      </c>
      <c r="H549" s="67">
        <v>39</v>
      </c>
      <c r="I549" s="67">
        <v>5</v>
      </c>
      <c r="J549" s="67">
        <v>29</v>
      </c>
      <c r="K549" s="75">
        <v>3.4855769230769232E-2</v>
      </c>
      <c r="L549" s="67">
        <v>44</v>
      </c>
    </row>
    <row r="550" spans="1:12" x14ac:dyDescent="0.3">
      <c r="A550" s="74">
        <v>46111</v>
      </c>
      <c r="B550" s="67">
        <v>746</v>
      </c>
      <c r="C550" s="67">
        <v>23872</v>
      </c>
      <c r="D550" s="67">
        <v>29</v>
      </c>
      <c r="E550" s="67">
        <v>10</v>
      </c>
      <c r="F550" s="67">
        <v>3</v>
      </c>
      <c r="G550" s="67">
        <v>5</v>
      </c>
      <c r="H550" s="67">
        <v>31</v>
      </c>
      <c r="I550" s="67">
        <v>5</v>
      </c>
      <c r="J550" s="67">
        <v>47</v>
      </c>
      <c r="K550" s="75">
        <v>6.3002680965147453E-2</v>
      </c>
      <c r="L550" s="67">
        <v>36</v>
      </c>
    </row>
    <row r="551" spans="1:12" x14ac:dyDescent="0.3">
      <c r="A551" s="74">
        <v>46112</v>
      </c>
      <c r="B551" s="67">
        <v>880</v>
      </c>
      <c r="C551" s="67">
        <v>16720</v>
      </c>
      <c r="D551" s="67">
        <v>29</v>
      </c>
      <c r="E551" s="67">
        <v>13</v>
      </c>
      <c r="F551" s="67">
        <v>4</v>
      </c>
      <c r="G551" s="67">
        <v>3</v>
      </c>
      <c r="H551" s="67">
        <v>57</v>
      </c>
      <c r="I551" s="67">
        <v>11</v>
      </c>
      <c r="J551" s="67">
        <v>49</v>
      </c>
      <c r="K551" s="75">
        <v>5.568181818181818E-2</v>
      </c>
      <c r="L551" s="67">
        <v>68</v>
      </c>
    </row>
    <row r="552" spans="1:12" x14ac:dyDescent="0.3">
      <c r="A552" s="74">
        <v>46113</v>
      </c>
      <c r="B552" s="67">
        <v>845</v>
      </c>
      <c r="C552" s="67">
        <v>27040</v>
      </c>
      <c r="D552" s="67">
        <v>19</v>
      </c>
      <c r="E552" s="67">
        <v>7</v>
      </c>
      <c r="F552" s="67">
        <v>2</v>
      </c>
      <c r="G552" s="67">
        <v>3</v>
      </c>
      <c r="H552" s="67">
        <v>61</v>
      </c>
      <c r="I552" s="67">
        <v>10</v>
      </c>
      <c r="J552" s="67">
        <v>31</v>
      </c>
      <c r="K552" s="75">
        <v>3.6686390532544376E-2</v>
      </c>
      <c r="L552" s="67">
        <v>71</v>
      </c>
    </row>
    <row r="553" spans="1:12" x14ac:dyDescent="0.3">
      <c r="A553" s="74">
        <v>46114</v>
      </c>
      <c r="B553" s="67">
        <v>822</v>
      </c>
      <c r="C553" s="67">
        <v>16440</v>
      </c>
      <c r="D553" s="67">
        <v>16</v>
      </c>
      <c r="E553" s="67">
        <v>8</v>
      </c>
      <c r="F553" s="67">
        <v>2</v>
      </c>
      <c r="G553" s="67">
        <v>3</v>
      </c>
      <c r="H553" s="67">
        <v>57</v>
      </c>
      <c r="I553" s="67">
        <v>9</v>
      </c>
      <c r="J553" s="67">
        <v>29</v>
      </c>
      <c r="K553" s="75">
        <v>3.5279805352798052E-2</v>
      </c>
      <c r="L553" s="67">
        <v>66</v>
      </c>
    </row>
    <row r="554" spans="1:12" x14ac:dyDescent="0.3">
      <c r="A554" s="74">
        <v>46115</v>
      </c>
      <c r="B554" s="67">
        <v>1115</v>
      </c>
      <c r="C554" s="67">
        <v>32335</v>
      </c>
      <c r="D554" s="67">
        <v>30</v>
      </c>
      <c r="E554" s="67">
        <v>11</v>
      </c>
      <c r="F554" s="67">
        <v>4</v>
      </c>
      <c r="G554" s="67">
        <v>5</v>
      </c>
      <c r="H554" s="67">
        <v>77</v>
      </c>
      <c r="I554" s="67">
        <v>8</v>
      </c>
      <c r="J554" s="67">
        <v>50</v>
      </c>
      <c r="K554" s="75">
        <v>4.4843049327354258E-2</v>
      </c>
      <c r="L554" s="67">
        <v>85</v>
      </c>
    </row>
    <row r="555" spans="1:12" x14ac:dyDescent="0.3">
      <c r="A555" s="74">
        <v>46116</v>
      </c>
      <c r="B555" s="67">
        <v>1297</v>
      </c>
      <c r="C555" s="67">
        <v>42801</v>
      </c>
      <c r="D555" s="67">
        <v>41</v>
      </c>
      <c r="E555" s="67">
        <v>19</v>
      </c>
      <c r="F555" s="67">
        <v>5</v>
      </c>
      <c r="G555" s="67">
        <v>5</v>
      </c>
      <c r="H555" s="67">
        <v>59</v>
      </c>
      <c r="I555" s="67">
        <v>8</v>
      </c>
      <c r="J555" s="67">
        <v>70</v>
      </c>
      <c r="K555" s="75">
        <v>5.3970701619121049E-2</v>
      </c>
      <c r="L555" s="67">
        <v>67</v>
      </c>
    </row>
    <row r="556" spans="1:12" x14ac:dyDescent="0.3">
      <c r="A556" s="74">
        <v>46117</v>
      </c>
      <c r="B556" s="67">
        <v>1208</v>
      </c>
      <c r="C556" s="67">
        <v>33824</v>
      </c>
      <c r="D556" s="67">
        <v>41</v>
      </c>
      <c r="E556" s="67">
        <v>20</v>
      </c>
      <c r="F556" s="67">
        <v>4</v>
      </c>
      <c r="G556" s="67">
        <v>7</v>
      </c>
      <c r="H556" s="67">
        <v>75</v>
      </c>
      <c r="I556" s="67">
        <v>12</v>
      </c>
      <c r="J556" s="67">
        <v>72</v>
      </c>
      <c r="K556" s="75">
        <v>5.9602649006622516E-2</v>
      </c>
      <c r="L556" s="67">
        <v>87</v>
      </c>
    </row>
    <row r="557" spans="1:12" x14ac:dyDescent="0.3">
      <c r="A557" s="74">
        <v>46118</v>
      </c>
      <c r="B557" s="67">
        <v>865</v>
      </c>
      <c r="C557" s="67">
        <v>25950</v>
      </c>
      <c r="D557" s="67">
        <v>26</v>
      </c>
      <c r="E557" s="67">
        <v>10</v>
      </c>
      <c r="F557" s="67">
        <v>4</v>
      </c>
      <c r="G557" s="67">
        <v>3</v>
      </c>
      <c r="H557" s="67">
        <v>61</v>
      </c>
      <c r="I557" s="67">
        <v>12</v>
      </c>
      <c r="J557" s="67">
        <v>43</v>
      </c>
      <c r="K557" s="75">
        <v>4.971098265895954E-2</v>
      </c>
      <c r="L557" s="67">
        <v>73</v>
      </c>
    </row>
    <row r="558" spans="1:12" x14ac:dyDescent="0.3">
      <c r="A558" s="74">
        <v>46119</v>
      </c>
      <c r="B558" s="67">
        <v>779</v>
      </c>
      <c r="C558" s="67">
        <v>14022</v>
      </c>
      <c r="D558" s="67">
        <v>22</v>
      </c>
      <c r="E558" s="67">
        <v>8</v>
      </c>
      <c r="F558" s="67">
        <v>3</v>
      </c>
      <c r="G558" s="67">
        <v>2</v>
      </c>
      <c r="H558" s="67">
        <v>34</v>
      </c>
      <c r="I558" s="67">
        <v>4</v>
      </c>
      <c r="J558" s="67">
        <v>35</v>
      </c>
      <c r="K558" s="75">
        <v>4.4929396662387676E-2</v>
      </c>
      <c r="L558" s="67">
        <v>38</v>
      </c>
    </row>
    <row r="559" spans="1:12" x14ac:dyDescent="0.3">
      <c r="A559" s="74">
        <v>46120</v>
      </c>
      <c r="B559" s="67">
        <v>749</v>
      </c>
      <c r="C559" s="67">
        <v>23968</v>
      </c>
      <c r="D559" s="67">
        <v>21</v>
      </c>
      <c r="E559" s="67">
        <v>10</v>
      </c>
      <c r="F559" s="67">
        <v>3</v>
      </c>
      <c r="G559" s="67">
        <v>4</v>
      </c>
      <c r="H559" s="67">
        <v>45</v>
      </c>
      <c r="I559" s="67">
        <v>7</v>
      </c>
      <c r="J559" s="67">
        <v>38</v>
      </c>
      <c r="K559" s="75">
        <v>5.0734312416555405E-2</v>
      </c>
      <c r="L559" s="67">
        <v>52</v>
      </c>
    </row>
    <row r="560" spans="1:12" x14ac:dyDescent="0.3">
      <c r="A560" s="74">
        <v>46121</v>
      </c>
      <c r="B560" s="67">
        <v>887</v>
      </c>
      <c r="C560" s="67">
        <v>27497</v>
      </c>
      <c r="D560" s="67">
        <v>23</v>
      </c>
      <c r="E560" s="67">
        <v>10</v>
      </c>
      <c r="F560" s="67">
        <v>3</v>
      </c>
      <c r="G560" s="67">
        <v>2</v>
      </c>
      <c r="H560" s="67">
        <v>50</v>
      </c>
      <c r="I560" s="67">
        <v>9</v>
      </c>
      <c r="J560" s="67">
        <v>38</v>
      </c>
      <c r="K560" s="75">
        <v>4.2841037204058623E-2</v>
      </c>
      <c r="L560" s="67">
        <v>59</v>
      </c>
    </row>
    <row r="561" spans="1:12" x14ac:dyDescent="0.3">
      <c r="A561" s="74">
        <v>46122</v>
      </c>
      <c r="B561" s="67">
        <v>671</v>
      </c>
      <c r="C561" s="67">
        <v>21472</v>
      </c>
      <c r="D561" s="67">
        <v>26</v>
      </c>
      <c r="E561" s="67">
        <v>13</v>
      </c>
      <c r="F561" s="67">
        <v>4</v>
      </c>
      <c r="G561" s="67">
        <v>3</v>
      </c>
      <c r="H561" s="67">
        <v>33</v>
      </c>
      <c r="I561" s="67">
        <v>6</v>
      </c>
      <c r="J561" s="67">
        <v>46</v>
      </c>
      <c r="K561" s="75">
        <v>6.8554396423248884E-2</v>
      </c>
      <c r="L561" s="67">
        <v>39</v>
      </c>
    </row>
    <row r="562" spans="1:12" x14ac:dyDescent="0.3">
      <c r="A562" s="74">
        <v>46123</v>
      </c>
      <c r="B562" s="67">
        <v>1050</v>
      </c>
      <c r="C562" s="67">
        <v>30450</v>
      </c>
      <c r="D562" s="67">
        <v>30</v>
      </c>
      <c r="E562" s="67">
        <v>14</v>
      </c>
      <c r="F562" s="67">
        <v>3</v>
      </c>
      <c r="G562" s="67">
        <v>4</v>
      </c>
      <c r="H562" s="67">
        <v>55</v>
      </c>
      <c r="I562" s="67">
        <v>10</v>
      </c>
      <c r="J562" s="67">
        <v>51</v>
      </c>
      <c r="K562" s="75">
        <v>4.8571428571428571E-2</v>
      </c>
      <c r="L562" s="67">
        <v>65</v>
      </c>
    </row>
    <row r="563" spans="1:12" x14ac:dyDescent="0.3">
      <c r="A563" s="74">
        <v>46124</v>
      </c>
      <c r="B563" s="67">
        <v>771</v>
      </c>
      <c r="C563" s="67">
        <v>18504</v>
      </c>
      <c r="D563" s="67">
        <v>21</v>
      </c>
      <c r="E563" s="67">
        <v>9</v>
      </c>
      <c r="F563" s="67">
        <v>2</v>
      </c>
      <c r="G563" s="67">
        <v>3</v>
      </c>
      <c r="H563" s="67">
        <v>36</v>
      </c>
      <c r="I563" s="67">
        <v>4</v>
      </c>
      <c r="J563" s="67">
        <v>35</v>
      </c>
      <c r="K563" s="75">
        <v>4.5395590142671853E-2</v>
      </c>
      <c r="L563" s="67">
        <v>40</v>
      </c>
    </row>
    <row r="564" spans="1:12" x14ac:dyDescent="0.3">
      <c r="A564" s="74">
        <v>46125</v>
      </c>
      <c r="B564" s="67">
        <v>818</v>
      </c>
      <c r="C564" s="67">
        <v>26176</v>
      </c>
      <c r="D564" s="67">
        <v>34</v>
      </c>
      <c r="E564" s="67">
        <v>17</v>
      </c>
      <c r="F564" s="67">
        <v>3</v>
      </c>
      <c r="G564" s="67">
        <v>4</v>
      </c>
      <c r="H564" s="67">
        <v>56</v>
      </c>
      <c r="I564" s="67">
        <v>10</v>
      </c>
      <c r="J564" s="67">
        <v>58</v>
      </c>
      <c r="K564" s="75">
        <v>7.090464547677261E-2</v>
      </c>
      <c r="L564" s="67">
        <v>66</v>
      </c>
    </row>
    <row r="565" spans="1:12" x14ac:dyDescent="0.3">
      <c r="A565" s="74">
        <v>46126</v>
      </c>
      <c r="B565" s="67">
        <v>654</v>
      </c>
      <c r="C565" s="67">
        <v>19620</v>
      </c>
      <c r="D565" s="67">
        <v>19</v>
      </c>
      <c r="E565" s="67">
        <v>7</v>
      </c>
      <c r="F565" s="67">
        <v>3</v>
      </c>
      <c r="G565" s="67">
        <v>2</v>
      </c>
      <c r="H565" s="67">
        <v>50</v>
      </c>
      <c r="I565" s="67">
        <v>7</v>
      </c>
      <c r="J565" s="67">
        <v>31</v>
      </c>
      <c r="K565" s="75">
        <v>4.7400611620795105E-2</v>
      </c>
      <c r="L565" s="67">
        <v>57</v>
      </c>
    </row>
    <row r="566" spans="1:12" x14ac:dyDescent="0.3">
      <c r="A566" s="74">
        <v>46127</v>
      </c>
      <c r="B566" s="67">
        <v>877</v>
      </c>
      <c r="C566" s="67">
        <v>25433</v>
      </c>
      <c r="D566" s="67">
        <v>25</v>
      </c>
      <c r="E566" s="67">
        <v>9</v>
      </c>
      <c r="F566" s="67">
        <v>3</v>
      </c>
      <c r="G566" s="67">
        <v>4</v>
      </c>
      <c r="H566" s="67">
        <v>51</v>
      </c>
      <c r="I566" s="67">
        <v>10</v>
      </c>
      <c r="J566" s="67">
        <v>41</v>
      </c>
      <c r="K566" s="75">
        <v>4.6750285062713795E-2</v>
      </c>
      <c r="L566" s="67">
        <v>61</v>
      </c>
    </row>
    <row r="567" spans="1:12" x14ac:dyDescent="0.3">
      <c r="A567" s="74">
        <v>46128</v>
      </c>
      <c r="B567" s="67">
        <v>771</v>
      </c>
      <c r="C567" s="67">
        <v>25443</v>
      </c>
      <c r="D567" s="67">
        <v>28</v>
      </c>
      <c r="E567" s="67">
        <v>13</v>
      </c>
      <c r="F567" s="67">
        <v>3</v>
      </c>
      <c r="G567" s="67">
        <v>3</v>
      </c>
      <c r="H567" s="67">
        <v>33</v>
      </c>
      <c r="I567" s="67">
        <v>6</v>
      </c>
      <c r="J567" s="67">
        <v>47</v>
      </c>
      <c r="K567" s="75">
        <v>6.0959792477302203E-2</v>
      </c>
      <c r="L567" s="67">
        <v>39</v>
      </c>
    </row>
    <row r="568" spans="1:12" x14ac:dyDescent="0.3">
      <c r="A568" s="74">
        <v>46129</v>
      </c>
      <c r="B568" s="67">
        <v>2203</v>
      </c>
      <c r="C568" s="67">
        <v>39654</v>
      </c>
      <c r="D568" s="67">
        <v>66</v>
      </c>
      <c r="E568" s="67">
        <v>26</v>
      </c>
      <c r="F568" s="67">
        <v>7</v>
      </c>
      <c r="G568" s="67">
        <v>8</v>
      </c>
      <c r="H568" s="67">
        <v>136</v>
      </c>
      <c r="I568" s="67">
        <v>26</v>
      </c>
      <c r="J568" s="67">
        <v>107</v>
      </c>
      <c r="K568" s="75">
        <v>4.8570131638674532E-2</v>
      </c>
      <c r="L568" s="67">
        <v>162</v>
      </c>
    </row>
    <row r="569" spans="1:12" x14ac:dyDescent="0.3">
      <c r="A569" s="74">
        <v>46130</v>
      </c>
      <c r="B569" s="67">
        <v>866</v>
      </c>
      <c r="C569" s="67">
        <v>19052</v>
      </c>
      <c r="D569" s="67">
        <v>32</v>
      </c>
      <c r="E569" s="67">
        <v>12</v>
      </c>
      <c r="F569" s="67">
        <v>4</v>
      </c>
      <c r="G569" s="67">
        <v>3</v>
      </c>
      <c r="H569" s="67">
        <v>36</v>
      </c>
      <c r="I569" s="67">
        <v>5</v>
      </c>
      <c r="J569" s="67">
        <v>51</v>
      </c>
      <c r="K569" s="75">
        <v>5.889145496535797E-2</v>
      </c>
      <c r="L569" s="67">
        <v>41</v>
      </c>
    </row>
    <row r="570" spans="1:12" x14ac:dyDescent="0.3">
      <c r="A570" s="74">
        <v>46131</v>
      </c>
      <c r="B570" s="67">
        <v>862</v>
      </c>
      <c r="C570" s="67">
        <v>24136</v>
      </c>
      <c r="D570" s="67">
        <v>34</v>
      </c>
      <c r="E570" s="67">
        <v>14</v>
      </c>
      <c r="F570" s="67">
        <v>5</v>
      </c>
      <c r="G570" s="67">
        <v>3</v>
      </c>
      <c r="H570" s="67">
        <v>38</v>
      </c>
      <c r="I570" s="67">
        <v>5</v>
      </c>
      <c r="J570" s="67">
        <v>56</v>
      </c>
      <c r="K570" s="75">
        <v>6.4965197215777259E-2</v>
      </c>
      <c r="L570" s="67">
        <v>43</v>
      </c>
    </row>
    <row r="571" spans="1:12" x14ac:dyDescent="0.3">
      <c r="A571" s="74">
        <v>46132</v>
      </c>
      <c r="B571" s="67">
        <v>898</v>
      </c>
      <c r="C571" s="67">
        <v>21552</v>
      </c>
      <c r="D571" s="67">
        <v>37</v>
      </c>
      <c r="E571" s="67">
        <v>14</v>
      </c>
      <c r="F571" s="67">
        <v>4</v>
      </c>
      <c r="G571" s="67">
        <v>4</v>
      </c>
      <c r="H571" s="67">
        <v>54</v>
      </c>
      <c r="I571" s="67">
        <v>7</v>
      </c>
      <c r="J571" s="67">
        <v>59</v>
      </c>
      <c r="K571" s="75">
        <v>6.5701559020044542E-2</v>
      </c>
      <c r="L571" s="67">
        <v>61</v>
      </c>
    </row>
    <row r="572" spans="1:12" x14ac:dyDescent="0.3">
      <c r="A572" s="74">
        <v>46133</v>
      </c>
      <c r="B572" s="67">
        <v>688</v>
      </c>
      <c r="C572" s="67">
        <v>22016</v>
      </c>
      <c r="D572" s="67">
        <v>31</v>
      </c>
      <c r="E572" s="67">
        <v>13</v>
      </c>
      <c r="F572" s="67">
        <v>3</v>
      </c>
      <c r="G572" s="67">
        <v>4</v>
      </c>
      <c r="H572" s="67">
        <v>54</v>
      </c>
      <c r="I572" s="67">
        <v>10</v>
      </c>
      <c r="J572" s="67">
        <v>51</v>
      </c>
      <c r="K572" s="75">
        <v>7.4127906976744193E-2</v>
      </c>
      <c r="L572" s="67">
        <v>64</v>
      </c>
    </row>
    <row r="573" spans="1:12" x14ac:dyDescent="0.3">
      <c r="A573" s="74">
        <v>46134</v>
      </c>
      <c r="B573" s="67">
        <v>706</v>
      </c>
      <c r="C573" s="67">
        <v>22592</v>
      </c>
      <c r="D573" s="67">
        <v>17</v>
      </c>
      <c r="E573" s="67">
        <v>9</v>
      </c>
      <c r="F573" s="67">
        <v>3</v>
      </c>
      <c r="G573" s="67">
        <v>2</v>
      </c>
      <c r="H573" s="67">
        <v>30</v>
      </c>
      <c r="I573" s="67">
        <v>4</v>
      </c>
      <c r="J573" s="67">
        <v>31</v>
      </c>
      <c r="K573" s="75">
        <v>4.3909348441926344E-2</v>
      </c>
      <c r="L573" s="67">
        <v>34</v>
      </c>
    </row>
    <row r="574" spans="1:12" x14ac:dyDescent="0.3">
      <c r="A574" s="74">
        <v>46135</v>
      </c>
      <c r="B574" s="67">
        <v>735</v>
      </c>
      <c r="C574" s="67">
        <v>21315</v>
      </c>
      <c r="D574" s="67">
        <v>15</v>
      </c>
      <c r="E574" s="67">
        <v>7</v>
      </c>
      <c r="F574" s="67">
        <v>2</v>
      </c>
      <c r="G574" s="67">
        <v>2</v>
      </c>
      <c r="H574" s="67">
        <v>55</v>
      </c>
      <c r="I574" s="67">
        <v>7</v>
      </c>
      <c r="J574" s="67">
        <v>26</v>
      </c>
      <c r="K574" s="75">
        <v>3.5374149659863949E-2</v>
      </c>
      <c r="L574" s="67">
        <v>62</v>
      </c>
    </row>
    <row r="575" spans="1:12" x14ac:dyDescent="0.3">
      <c r="A575" s="74">
        <v>46136</v>
      </c>
      <c r="B575" s="67">
        <v>856</v>
      </c>
      <c r="C575" s="67">
        <v>29960</v>
      </c>
      <c r="D575" s="67">
        <v>27</v>
      </c>
      <c r="E575" s="67">
        <v>13</v>
      </c>
      <c r="F575" s="67">
        <v>3</v>
      </c>
      <c r="G575" s="67">
        <v>4</v>
      </c>
      <c r="H575" s="67">
        <v>45</v>
      </c>
      <c r="I575" s="67">
        <v>5</v>
      </c>
      <c r="J575" s="67">
        <v>47</v>
      </c>
      <c r="K575" s="75">
        <v>5.4906542056074766E-2</v>
      </c>
      <c r="L575" s="67">
        <v>50</v>
      </c>
    </row>
    <row r="576" spans="1:12" x14ac:dyDescent="0.3">
      <c r="A576" s="74">
        <v>46137</v>
      </c>
      <c r="B576" s="67">
        <v>859</v>
      </c>
      <c r="C576" s="67">
        <v>16321</v>
      </c>
      <c r="D576" s="67">
        <v>28</v>
      </c>
      <c r="E576" s="67">
        <v>14</v>
      </c>
      <c r="F576" s="67">
        <v>3</v>
      </c>
      <c r="G576" s="67">
        <v>3</v>
      </c>
      <c r="H576" s="67">
        <v>35</v>
      </c>
      <c r="I576" s="67">
        <v>4</v>
      </c>
      <c r="J576" s="67">
        <v>48</v>
      </c>
      <c r="K576" s="75">
        <v>5.5878928987194411E-2</v>
      </c>
      <c r="L576" s="67">
        <v>39</v>
      </c>
    </row>
    <row r="577" spans="1:12" x14ac:dyDescent="0.3">
      <c r="A577" s="74">
        <v>46138</v>
      </c>
      <c r="B577" s="67">
        <v>1089</v>
      </c>
      <c r="C577" s="67">
        <v>25047</v>
      </c>
      <c r="D577" s="67">
        <v>26</v>
      </c>
      <c r="E577" s="67">
        <v>10</v>
      </c>
      <c r="F577" s="67">
        <v>3</v>
      </c>
      <c r="G577" s="67">
        <v>4</v>
      </c>
      <c r="H577" s="67">
        <v>68</v>
      </c>
      <c r="I577" s="67">
        <v>11</v>
      </c>
      <c r="J577" s="67">
        <v>43</v>
      </c>
      <c r="K577" s="75">
        <v>3.948576675849403E-2</v>
      </c>
      <c r="L577" s="67">
        <v>79</v>
      </c>
    </row>
    <row r="578" spans="1:12" x14ac:dyDescent="0.3">
      <c r="A578" s="74">
        <v>46139</v>
      </c>
      <c r="B578" s="67">
        <v>662</v>
      </c>
      <c r="C578" s="67">
        <v>13902</v>
      </c>
      <c r="D578" s="67">
        <v>23</v>
      </c>
      <c r="E578" s="67">
        <v>8</v>
      </c>
      <c r="F578" s="67">
        <v>4</v>
      </c>
      <c r="G578" s="67">
        <v>3</v>
      </c>
      <c r="H578" s="67">
        <v>46</v>
      </c>
      <c r="I578" s="67">
        <v>7</v>
      </c>
      <c r="J578" s="67">
        <v>38</v>
      </c>
      <c r="K578" s="75">
        <v>5.7401812688821753E-2</v>
      </c>
      <c r="L578" s="67">
        <v>53</v>
      </c>
    </row>
    <row r="579" spans="1:12" x14ac:dyDescent="0.3">
      <c r="A579" s="74">
        <v>46140</v>
      </c>
      <c r="B579" s="67">
        <v>772</v>
      </c>
      <c r="C579" s="67">
        <v>20844</v>
      </c>
      <c r="D579" s="67">
        <v>19</v>
      </c>
      <c r="E579" s="67">
        <v>9</v>
      </c>
      <c r="F579" s="67">
        <v>2</v>
      </c>
      <c r="G579" s="67">
        <v>3</v>
      </c>
      <c r="H579" s="67">
        <v>49</v>
      </c>
      <c r="I579" s="67">
        <v>8</v>
      </c>
      <c r="J579" s="67">
        <v>33</v>
      </c>
      <c r="K579" s="75">
        <v>4.2746113989637305E-2</v>
      </c>
      <c r="L579" s="67">
        <v>57</v>
      </c>
    </row>
    <row r="580" spans="1:12" x14ac:dyDescent="0.3">
      <c r="A580" s="74">
        <v>46141</v>
      </c>
      <c r="B580" s="67">
        <v>678</v>
      </c>
      <c r="C580" s="67">
        <v>23052</v>
      </c>
      <c r="D580" s="67">
        <v>26</v>
      </c>
      <c r="E580" s="67">
        <v>12</v>
      </c>
      <c r="F580" s="67">
        <v>3</v>
      </c>
      <c r="G580" s="67">
        <v>4</v>
      </c>
      <c r="H580" s="67">
        <v>42</v>
      </c>
      <c r="I580" s="67">
        <v>7</v>
      </c>
      <c r="J580" s="67">
        <v>45</v>
      </c>
      <c r="K580" s="75">
        <v>6.637168141592921E-2</v>
      </c>
      <c r="L580" s="67">
        <v>49</v>
      </c>
    </row>
    <row r="581" spans="1:12" x14ac:dyDescent="0.3">
      <c r="A581" s="74">
        <v>46142</v>
      </c>
      <c r="B581" s="67">
        <v>678</v>
      </c>
      <c r="C581" s="67">
        <v>15594</v>
      </c>
      <c r="D581" s="67">
        <v>15</v>
      </c>
      <c r="E581" s="67">
        <v>6</v>
      </c>
      <c r="F581" s="67">
        <v>2</v>
      </c>
      <c r="G581" s="67">
        <v>2</v>
      </c>
      <c r="H581" s="67">
        <v>39</v>
      </c>
      <c r="I581" s="67">
        <v>5</v>
      </c>
      <c r="J581" s="67">
        <v>25</v>
      </c>
      <c r="K581" s="75">
        <v>3.687315634218289E-2</v>
      </c>
      <c r="L581" s="67">
        <v>44</v>
      </c>
    </row>
    <row r="582" spans="1:12" x14ac:dyDescent="0.3">
      <c r="A582" s="76">
        <v>46143</v>
      </c>
      <c r="B582" s="67">
        <v>1089</v>
      </c>
      <c r="C582" s="67">
        <v>17805</v>
      </c>
      <c r="D582" s="67">
        <v>30</v>
      </c>
      <c r="E582" s="67">
        <v>13</v>
      </c>
      <c r="F582" s="67">
        <v>4</v>
      </c>
      <c r="G582" s="67">
        <v>4</v>
      </c>
      <c r="H582" s="67">
        <v>76</v>
      </c>
      <c r="I582" s="67">
        <v>10</v>
      </c>
      <c r="J582" s="67">
        <v>51</v>
      </c>
      <c r="K582" s="77">
        <v>4.6831955922865015E-2</v>
      </c>
      <c r="L582" s="67">
        <v>86</v>
      </c>
    </row>
    <row r="583" spans="1:12" x14ac:dyDescent="0.3">
      <c r="A583" s="76">
        <v>46144</v>
      </c>
      <c r="B583" s="67">
        <v>1161</v>
      </c>
      <c r="C583" s="67">
        <v>26582</v>
      </c>
      <c r="D583" s="67">
        <v>30</v>
      </c>
      <c r="E583" s="67">
        <v>16</v>
      </c>
      <c r="F583" s="67">
        <v>3</v>
      </c>
      <c r="G583" s="67">
        <v>5</v>
      </c>
      <c r="H583" s="67">
        <v>68</v>
      </c>
      <c r="I583" s="67">
        <v>12</v>
      </c>
      <c r="J583" s="67">
        <v>54</v>
      </c>
      <c r="K583" s="77">
        <v>4.6511627906976744E-2</v>
      </c>
      <c r="L583" s="67">
        <v>80</v>
      </c>
    </row>
    <row r="584" spans="1:12" x14ac:dyDescent="0.3">
      <c r="A584" s="76">
        <v>46145</v>
      </c>
      <c r="B584" s="67">
        <v>1296</v>
      </c>
      <c r="C584" s="67">
        <v>41625</v>
      </c>
      <c r="D584" s="67">
        <v>55</v>
      </c>
      <c r="E584" s="67">
        <v>20</v>
      </c>
      <c r="F584" s="67">
        <v>5</v>
      </c>
      <c r="G584" s="67">
        <v>7</v>
      </c>
      <c r="H584" s="67">
        <v>77</v>
      </c>
      <c r="I584" s="67">
        <v>14</v>
      </c>
      <c r="J584" s="67">
        <v>87</v>
      </c>
      <c r="K584" s="77">
        <v>6.7129629629629636E-2</v>
      </c>
      <c r="L584" s="67">
        <v>91</v>
      </c>
    </row>
    <row r="585" spans="1:12" x14ac:dyDescent="0.3">
      <c r="A585" s="76">
        <v>46146</v>
      </c>
      <c r="B585" s="67">
        <v>879</v>
      </c>
      <c r="C585" s="67">
        <v>31459</v>
      </c>
      <c r="D585" s="67">
        <v>27</v>
      </c>
      <c r="E585" s="67">
        <v>13</v>
      </c>
      <c r="F585" s="67">
        <v>4</v>
      </c>
      <c r="G585" s="67">
        <v>4</v>
      </c>
      <c r="H585" s="67">
        <v>69</v>
      </c>
      <c r="I585" s="67">
        <v>9</v>
      </c>
      <c r="J585" s="67">
        <v>48</v>
      </c>
      <c r="K585" s="77">
        <v>5.4607508532423209E-2</v>
      </c>
      <c r="L585" s="67">
        <v>78</v>
      </c>
    </row>
    <row r="586" spans="1:12" x14ac:dyDescent="0.3">
      <c r="A586" s="76">
        <v>46147</v>
      </c>
      <c r="B586" s="67">
        <v>1085</v>
      </c>
      <c r="C586" s="67">
        <v>21461</v>
      </c>
      <c r="D586" s="67">
        <v>52</v>
      </c>
      <c r="E586" s="67">
        <v>10</v>
      </c>
      <c r="F586" s="67">
        <v>7</v>
      </c>
      <c r="G586" s="67">
        <v>4</v>
      </c>
      <c r="H586" s="67">
        <v>59</v>
      </c>
      <c r="I586" s="67">
        <v>11</v>
      </c>
      <c r="J586" s="67">
        <v>73</v>
      </c>
      <c r="K586" s="77">
        <v>6.7281105990783407E-2</v>
      </c>
      <c r="L586" s="67">
        <v>70</v>
      </c>
    </row>
    <row r="587" spans="1:12" x14ac:dyDescent="0.3">
      <c r="A587" s="76">
        <v>46148</v>
      </c>
      <c r="B587" s="67">
        <v>1114</v>
      </c>
      <c r="C587" s="67">
        <v>25319</v>
      </c>
      <c r="D587" s="67">
        <v>49</v>
      </c>
      <c r="E587" s="67">
        <v>13</v>
      </c>
      <c r="F587" s="67">
        <v>4</v>
      </c>
      <c r="G587" s="67">
        <v>7</v>
      </c>
      <c r="H587" s="67">
        <v>75</v>
      </c>
      <c r="I587" s="67">
        <v>10</v>
      </c>
      <c r="J587" s="67">
        <v>73</v>
      </c>
      <c r="K587" s="77">
        <v>6.5529622980251348E-2</v>
      </c>
      <c r="L587" s="67">
        <v>85</v>
      </c>
    </row>
    <row r="588" spans="1:12" x14ac:dyDescent="0.3">
      <c r="A588" s="76">
        <v>46149</v>
      </c>
      <c r="B588" s="67">
        <v>1049</v>
      </c>
      <c r="C588" s="67">
        <v>20425</v>
      </c>
      <c r="D588" s="67">
        <v>31</v>
      </c>
      <c r="E588" s="67">
        <v>19</v>
      </c>
      <c r="F588" s="67">
        <v>5</v>
      </c>
      <c r="G588" s="67">
        <v>5</v>
      </c>
      <c r="H588" s="67">
        <v>68</v>
      </c>
      <c r="I588" s="67">
        <v>10</v>
      </c>
      <c r="J588" s="67">
        <v>60</v>
      </c>
      <c r="K588" s="77">
        <v>5.7197330791229746E-2</v>
      </c>
      <c r="L588" s="67">
        <v>78</v>
      </c>
    </row>
    <row r="589" spans="1:12" x14ac:dyDescent="0.3">
      <c r="A589" s="76">
        <v>46150</v>
      </c>
      <c r="B589" s="67">
        <v>918</v>
      </c>
      <c r="C589" s="67">
        <v>30776</v>
      </c>
      <c r="D589" s="67">
        <v>24</v>
      </c>
      <c r="E589" s="67">
        <v>16</v>
      </c>
      <c r="F589" s="67">
        <v>3</v>
      </c>
      <c r="G589" s="67">
        <v>5</v>
      </c>
      <c r="H589" s="67">
        <v>58</v>
      </c>
      <c r="I589" s="67">
        <v>10</v>
      </c>
      <c r="J589" s="67">
        <v>48</v>
      </c>
      <c r="K589" s="77">
        <v>5.2287581699346407E-2</v>
      </c>
      <c r="L589" s="67">
        <v>68</v>
      </c>
    </row>
    <row r="590" spans="1:12" x14ac:dyDescent="0.3">
      <c r="A590" s="76">
        <v>46151</v>
      </c>
      <c r="B590" s="67">
        <v>1224</v>
      </c>
      <c r="C590" s="67">
        <v>32808</v>
      </c>
      <c r="D590" s="67">
        <v>33</v>
      </c>
      <c r="E590" s="67">
        <v>15</v>
      </c>
      <c r="F590" s="67">
        <v>6</v>
      </c>
      <c r="G590" s="67">
        <v>4</v>
      </c>
      <c r="H590" s="67">
        <v>111</v>
      </c>
      <c r="I590" s="67">
        <v>11</v>
      </c>
      <c r="J590" s="67">
        <v>58</v>
      </c>
      <c r="K590" s="77">
        <v>4.7385620915032678E-2</v>
      </c>
      <c r="L590" s="67">
        <v>122</v>
      </c>
    </row>
    <row r="591" spans="1:12" x14ac:dyDescent="0.3">
      <c r="A591" s="76">
        <v>46152</v>
      </c>
      <c r="B591" s="67">
        <v>1236</v>
      </c>
      <c r="C591" s="67">
        <v>40802</v>
      </c>
      <c r="D591" s="67">
        <v>46</v>
      </c>
      <c r="E591" s="67">
        <v>19</v>
      </c>
      <c r="F591" s="67">
        <v>6</v>
      </c>
      <c r="G591" s="67">
        <v>7</v>
      </c>
      <c r="H591" s="67">
        <v>93</v>
      </c>
      <c r="I591" s="67">
        <v>15</v>
      </c>
      <c r="J591" s="67">
        <v>78</v>
      </c>
      <c r="K591" s="77">
        <v>6.3106796116504854E-2</v>
      </c>
      <c r="L591" s="67">
        <v>108</v>
      </c>
    </row>
    <row r="592" spans="1:12" x14ac:dyDescent="0.3">
      <c r="A592" s="76">
        <v>46153</v>
      </c>
      <c r="B592" s="67">
        <v>989</v>
      </c>
      <c r="C592" s="67">
        <v>28633</v>
      </c>
      <c r="D592" s="67">
        <v>50</v>
      </c>
      <c r="E592" s="67">
        <v>10</v>
      </c>
      <c r="F592" s="67">
        <v>3</v>
      </c>
      <c r="G592" s="67">
        <v>5</v>
      </c>
      <c r="H592" s="67">
        <v>75</v>
      </c>
      <c r="I592" s="67">
        <v>7</v>
      </c>
      <c r="J592" s="67">
        <v>68</v>
      </c>
      <c r="K592" s="77">
        <v>6.8756319514661268E-2</v>
      </c>
      <c r="L592" s="67">
        <v>82</v>
      </c>
    </row>
    <row r="593" spans="1:12" x14ac:dyDescent="0.3">
      <c r="A593" s="76">
        <v>46154</v>
      </c>
      <c r="B593" s="67">
        <v>996</v>
      </c>
      <c r="C593" s="67">
        <v>28178</v>
      </c>
      <c r="D593" s="67">
        <v>34</v>
      </c>
      <c r="E593" s="67">
        <v>14</v>
      </c>
      <c r="F593" s="67">
        <v>4</v>
      </c>
      <c r="G593" s="67">
        <v>5</v>
      </c>
      <c r="H593" s="67">
        <v>53</v>
      </c>
      <c r="I593" s="67">
        <v>13</v>
      </c>
      <c r="J593" s="67">
        <v>57</v>
      </c>
      <c r="K593" s="77">
        <v>5.7228915662650599E-2</v>
      </c>
      <c r="L593" s="67">
        <v>66</v>
      </c>
    </row>
    <row r="594" spans="1:12" x14ac:dyDescent="0.3">
      <c r="A594" s="76">
        <v>46155</v>
      </c>
      <c r="B594" s="67">
        <v>888</v>
      </c>
      <c r="C594" s="67">
        <v>25336</v>
      </c>
      <c r="D594" s="67">
        <v>29</v>
      </c>
      <c r="E594" s="67">
        <v>13</v>
      </c>
      <c r="F594" s="67">
        <v>3</v>
      </c>
      <c r="G594" s="67">
        <v>5</v>
      </c>
      <c r="H594" s="67">
        <v>66</v>
      </c>
      <c r="I594" s="67">
        <v>6</v>
      </c>
      <c r="J594" s="67">
        <v>50</v>
      </c>
      <c r="K594" s="77">
        <v>5.6306306306306307E-2</v>
      </c>
      <c r="L594" s="67">
        <v>72</v>
      </c>
    </row>
    <row r="595" spans="1:12" x14ac:dyDescent="0.3">
      <c r="A595" s="76">
        <v>46156</v>
      </c>
      <c r="B595" s="67">
        <v>942</v>
      </c>
      <c r="C595" s="67">
        <v>20999</v>
      </c>
      <c r="D595" s="67">
        <v>31</v>
      </c>
      <c r="E595" s="67">
        <v>12</v>
      </c>
      <c r="F595" s="67">
        <v>4</v>
      </c>
      <c r="G595" s="67">
        <v>4</v>
      </c>
      <c r="H595" s="67">
        <v>43</v>
      </c>
      <c r="I595" s="67">
        <v>7</v>
      </c>
      <c r="J595" s="67">
        <v>51</v>
      </c>
      <c r="K595" s="77">
        <v>5.4140127388535034E-2</v>
      </c>
      <c r="L595" s="67">
        <v>50</v>
      </c>
    </row>
    <row r="596" spans="1:12" x14ac:dyDescent="0.3">
      <c r="A596" s="76">
        <v>46157</v>
      </c>
      <c r="B596" s="67">
        <v>1029</v>
      </c>
      <c r="C596" s="67">
        <v>32104</v>
      </c>
      <c r="D596" s="67">
        <v>37</v>
      </c>
      <c r="E596" s="67">
        <v>13</v>
      </c>
      <c r="F596" s="67">
        <v>4</v>
      </c>
      <c r="G596" s="67">
        <v>3</v>
      </c>
      <c r="H596" s="67">
        <v>51</v>
      </c>
      <c r="I596" s="67">
        <v>10</v>
      </c>
      <c r="J596" s="67">
        <v>57</v>
      </c>
      <c r="K596" s="77">
        <v>5.5393586005830907E-2</v>
      </c>
      <c r="L596" s="67">
        <v>61</v>
      </c>
    </row>
    <row r="597" spans="1:12" x14ac:dyDescent="0.3">
      <c r="A597" s="76">
        <v>46158</v>
      </c>
      <c r="B597" s="67">
        <v>2236</v>
      </c>
      <c r="C597" s="67">
        <v>51840</v>
      </c>
      <c r="D597" s="67">
        <v>74</v>
      </c>
      <c r="E597" s="67">
        <v>26</v>
      </c>
      <c r="F597" s="67">
        <v>7</v>
      </c>
      <c r="G597" s="67">
        <v>8</v>
      </c>
      <c r="H597" s="67">
        <v>133</v>
      </c>
      <c r="I597" s="67">
        <v>23</v>
      </c>
      <c r="J597" s="67">
        <v>115</v>
      </c>
      <c r="K597" s="77">
        <v>5.1431127012522358E-2</v>
      </c>
      <c r="L597" s="67">
        <v>156</v>
      </c>
    </row>
    <row r="598" spans="1:12" x14ac:dyDescent="0.3">
      <c r="A598" s="76">
        <v>46159</v>
      </c>
      <c r="B598" s="67">
        <v>1206</v>
      </c>
      <c r="C598" s="67">
        <v>31849</v>
      </c>
      <c r="D598" s="67">
        <v>40</v>
      </c>
      <c r="E598" s="67">
        <v>16</v>
      </c>
      <c r="F598" s="67">
        <v>6</v>
      </c>
      <c r="G598" s="67">
        <v>4</v>
      </c>
      <c r="H598" s="67">
        <v>62</v>
      </c>
      <c r="I598" s="67">
        <v>9</v>
      </c>
      <c r="J598" s="67">
        <v>66</v>
      </c>
      <c r="K598" s="77">
        <v>5.4726368159203981E-2</v>
      </c>
      <c r="L598" s="67">
        <v>71</v>
      </c>
    </row>
    <row r="599" spans="1:12" x14ac:dyDescent="0.3">
      <c r="A599" s="76">
        <v>46160</v>
      </c>
      <c r="B599" s="67">
        <v>1175</v>
      </c>
      <c r="C599" s="67">
        <v>40126</v>
      </c>
      <c r="D599" s="67">
        <v>30</v>
      </c>
      <c r="E599" s="67">
        <v>14</v>
      </c>
      <c r="F599" s="67">
        <v>5</v>
      </c>
      <c r="G599" s="67">
        <v>7</v>
      </c>
      <c r="H599" s="67">
        <v>46</v>
      </c>
      <c r="I599" s="67">
        <v>11</v>
      </c>
      <c r="J599" s="67">
        <v>56</v>
      </c>
      <c r="K599" s="77">
        <v>4.7659574468085109E-2</v>
      </c>
      <c r="L599" s="67">
        <v>57</v>
      </c>
    </row>
    <row r="600" spans="1:12" x14ac:dyDescent="0.3">
      <c r="A600" s="76">
        <v>46161</v>
      </c>
      <c r="B600" s="67">
        <v>989</v>
      </c>
      <c r="C600" s="67">
        <v>20776</v>
      </c>
      <c r="D600" s="67">
        <v>31</v>
      </c>
      <c r="E600" s="67">
        <v>12</v>
      </c>
      <c r="F600" s="67">
        <v>5</v>
      </c>
      <c r="G600" s="67">
        <v>3</v>
      </c>
      <c r="H600" s="67">
        <v>54</v>
      </c>
      <c r="I600" s="67">
        <v>11</v>
      </c>
      <c r="J600" s="67">
        <v>51</v>
      </c>
      <c r="K600" s="77">
        <v>5.1567239635995958E-2</v>
      </c>
      <c r="L600" s="67">
        <v>65</v>
      </c>
    </row>
    <row r="601" spans="1:12" x14ac:dyDescent="0.3">
      <c r="A601" s="76">
        <v>46162</v>
      </c>
      <c r="B601" s="67">
        <v>1146</v>
      </c>
      <c r="C601" s="67">
        <v>28756</v>
      </c>
      <c r="D601" s="67">
        <v>49</v>
      </c>
      <c r="E601" s="67">
        <v>15</v>
      </c>
      <c r="F601" s="67">
        <v>4</v>
      </c>
      <c r="G601" s="67">
        <v>5</v>
      </c>
      <c r="H601" s="67">
        <v>79</v>
      </c>
      <c r="I601" s="67">
        <v>11</v>
      </c>
      <c r="J601" s="67">
        <v>73</v>
      </c>
      <c r="K601" s="77">
        <v>6.3699825479930194E-2</v>
      </c>
      <c r="L601" s="67">
        <v>90</v>
      </c>
    </row>
    <row r="602" spans="1:12" x14ac:dyDescent="0.3">
      <c r="A602" s="76">
        <v>46163</v>
      </c>
      <c r="B602" s="67">
        <v>1011</v>
      </c>
      <c r="C602" s="67">
        <v>31677</v>
      </c>
      <c r="D602" s="67">
        <v>39</v>
      </c>
      <c r="E602" s="67">
        <v>11</v>
      </c>
      <c r="F602" s="67">
        <v>3</v>
      </c>
      <c r="G602" s="67">
        <v>6</v>
      </c>
      <c r="H602" s="67">
        <v>63</v>
      </c>
      <c r="I602" s="67">
        <v>11</v>
      </c>
      <c r="J602" s="67">
        <v>59</v>
      </c>
      <c r="K602" s="77">
        <v>5.8358061325420374E-2</v>
      </c>
      <c r="L602" s="67">
        <v>74</v>
      </c>
    </row>
    <row r="603" spans="1:12" x14ac:dyDescent="0.3">
      <c r="A603" s="76">
        <v>46164</v>
      </c>
      <c r="B603" s="67">
        <v>933</v>
      </c>
      <c r="C603" s="67">
        <v>24447</v>
      </c>
      <c r="D603" s="67">
        <v>24</v>
      </c>
      <c r="E603" s="67">
        <v>13</v>
      </c>
      <c r="F603" s="67">
        <v>4</v>
      </c>
      <c r="G603" s="67">
        <v>5</v>
      </c>
      <c r="H603" s="67">
        <v>58</v>
      </c>
      <c r="I603" s="67">
        <v>11</v>
      </c>
      <c r="J603" s="67">
        <v>46</v>
      </c>
      <c r="K603" s="77">
        <v>4.9303322615219719E-2</v>
      </c>
      <c r="L603" s="67">
        <v>69</v>
      </c>
    </row>
    <row r="604" spans="1:12" x14ac:dyDescent="0.3">
      <c r="A604" s="76">
        <v>46165</v>
      </c>
      <c r="B604" s="67">
        <v>969</v>
      </c>
      <c r="C604" s="67">
        <v>21143</v>
      </c>
      <c r="D604" s="67">
        <v>35</v>
      </c>
      <c r="E604" s="67">
        <v>16</v>
      </c>
      <c r="F604" s="67">
        <v>3</v>
      </c>
      <c r="G604" s="67">
        <v>4</v>
      </c>
      <c r="H604" s="67">
        <v>61</v>
      </c>
      <c r="I604" s="67">
        <v>10</v>
      </c>
      <c r="J604" s="67">
        <v>58</v>
      </c>
      <c r="K604" s="77">
        <v>5.9855521155830753E-2</v>
      </c>
      <c r="L604" s="67">
        <v>71</v>
      </c>
    </row>
    <row r="605" spans="1:12" x14ac:dyDescent="0.3">
      <c r="A605" s="76">
        <v>46166</v>
      </c>
      <c r="B605" s="67">
        <v>849</v>
      </c>
      <c r="C605" s="67">
        <v>18084</v>
      </c>
      <c r="D605" s="67">
        <v>33</v>
      </c>
      <c r="E605" s="67">
        <v>13</v>
      </c>
      <c r="F605" s="67">
        <v>4</v>
      </c>
      <c r="G605" s="67">
        <v>4</v>
      </c>
      <c r="H605" s="67">
        <v>48</v>
      </c>
      <c r="I605" s="67">
        <v>6</v>
      </c>
      <c r="J605" s="67">
        <v>54</v>
      </c>
      <c r="K605" s="77">
        <v>6.3604240282685506E-2</v>
      </c>
      <c r="L605" s="67">
        <v>54</v>
      </c>
    </row>
    <row r="606" spans="1:12" x14ac:dyDescent="0.3">
      <c r="A606" s="76">
        <v>46167</v>
      </c>
      <c r="B606" s="67">
        <v>895</v>
      </c>
      <c r="C606" s="67">
        <v>22734</v>
      </c>
      <c r="D606" s="67">
        <v>23</v>
      </c>
      <c r="E606" s="67">
        <v>13</v>
      </c>
      <c r="F606" s="67">
        <v>4</v>
      </c>
      <c r="G606" s="67">
        <v>3</v>
      </c>
      <c r="H606" s="67">
        <v>68</v>
      </c>
      <c r="I606" s="67">
        <v>6</v>
      </c>
      <c r="J606" s="67">
        <v>43</v>
      </c>
      <c r="K606" s="77">
        <v>4.8044692737430165E-2</v>
      </c>
      <c r="L606" s="67">
        <v>74</v>
      </c>
    </row>
    <row r="607" spans="1:12" x14ac:dyDescent="0.3">
      <c r="A607" s="76">
        <v>46168</v>
      </c>
      <c r="B607" s="67">
        <v>818</v>
      </c>
      <c r="C607" s="67">
        <v>26116</v>
      </c>
      <c r="D607" s="67">
        <v>33</v>
      </c>
      <c r="E607" s="67">
        <v>8</v>
      </c>
      <c r="F607" s="67">
        <v>3</v>
      </c>
      <c r="G607" s="67">
        <v>4</v>
      </c>
      <c r="H607" s="67">
        <v>46</v>
      </c>
      <c r="I607" s="67">
        <v>9</v>
      </c>
      <c r="J607" s="67">
        <v>48</v>
      </c>
      <c r="K607" s="77">
        <v>5.8679706601466992E-2</v>
      </c>
      <c r="L607" s="67">
        <v>55</v>
      </c>
    </row>
    <row r="608" spans="1:12" x14ac:dyDescent="0.3">
      <c r="A608" s="76">
        <v>46169</v>
      </c>
      <c r="B608" s="67">
        <v>776</v>
      </c>
      <c r="C608" s="67">
        <v>27815</v>
      </c>
      <c r="D608" s="67">
        <v>43</v>
      </c>
      <c r="E608" s="67">
        <v>8</v>
      </c>
      <c r="F608" s="67">
        <v>3</v>
      </c>
      <c r="G608" s="67">
        <v>4</v>
      </c>
      <c r="H608" s="67">
        <v>40</v>
      </c>
      <c r="I608" s="67">
        <v>9</v>
      </c>
      <c r="J608" s="67">
        <v>58</v>
      </c>
      <c r="K608" s="77">
        <v>7.4742268041237112E-2</v>
      </c>
      <c r="L608" s="67">
        <v>49</v>
      </c>
    </row>
    <row r="609" spans="1:12" x14ac:dyDescent="0.3">
      <c r="A609" s="76">
        <v>46170</v>
      </c>
      <c r="B609" s="67">
        <v>1012</v>
      </c>
      <c r="C609" s="67">
        <v>26939</v>
      </c>
      <c r="D609" s="67">
        <v>25</v>
      </c>
      <c r="E609" s="67">
        <v>13</v>
      </c>
      <c r="F609" s="67">
        <v>5</v>
      </c>
      <c r="G609" s="67">
        <v>4</v>
      </c>
      <c r="H609" s="67">
        <v>64</v>
      </c>
      <c r="I609" s="67">
        <v>8</v>
      </c>
      <c r="J609" s="67">
        <v>47</v>
      </c>
      <c r="K609" s="77">
        <v>4.6442687747035576E-2</v>
      </c>
      <c r="L609" s="67">
        <v>72</v>
      </c>
    </row>
    <row r="610" spans="1:12" x14ac:dyDescent="0.3">
      <c r="A610" s="76">
        <v>46171</v>
      </c>
      <c r="B610" s="67">
        <v>1265</v>
      </c>
      <c r="C610" s="67">
        <v>33930</v>
      </c>
      <c r="D610" s="67">
        <v>43</v>
      </c>
      <c r="E610" s="67">
        <v>17</v>
      </c>
      <c r="F610" s="67">
        <v>6</v>
      </c>
      <c r="G610" s="67">
        <v>4</v>
      </c>
      <c r="H610" s="67">
        <v>69</v>
      </c>
      <c r="I610" s="67">
        <v>15</v>
      </c>
      <c r="J610" s="67">
        <v>70</v>
      </c>
      <c r="K610" s="77">
        <v>5.533596837944664E-2</v>
      </c>
      <c r="L610" s="67">
        <v>84</v>
      </c>
    </row>
    <row r="611" spans="1:12" x14ac:dyDescent="0.3">
      <c r="A611" s="76">
        <v>46172</v>
      </c>
      <c r="B611" s="67">
        <v>1357</v>
      </c>
      <c r="C611" s="67">
        <v>31224</v>
      </c>
      <c r="D611" s="67">
        <v>55</v>
      </c>
      <c r="E611" s="67">
        <v>17</v>
      </c>
      <c r="F611" s="67">
        <v>5</v>
      </c>
      <c r="G611" s="67">
        <v>6</v>
      </c>
      <c r="H611" s="67">
        <v>64</v>
      </c>
      <c r="I611" s="67">
        <v>11</v>
      </c>
      <c r="J611" s="67">
        <v>83</v>
      </c>
      <c r="K611" s="77">
        <v>6.1164333087693444E-2</v>
      </c>
      <c r="L611" s="67">
        <v>75</v>
      </c>
    </row>
    <row r="612" spans="1:12" x14ac:dyDescent="0.3">
      <c r="A612" s="76">
        <v>46173</v>
      </c>
      <c r="B612" s="67">
        <v>1161</v>
      </c>
      <c r="C612" s="67">
        <v>31163</v>
      </c>
      <c r="D612" s="67">
        <v>30</v>
      </c>
      <c r="E612" s="67">
        <v>12</v>
      </c>
      <c r="F612" s="67">
        <v>5</v>
      </c>
      <c r="G612" s="67">
        <v>5</v>
      </c>
      <c r="H612" s="67">
        <v>76</v>
      </c>
      <c r="I612" s="67">
        <v>9</v>
      </c>
      <c r="J612" s="67">
        <v>52</v>
      </c>
      <c r="K612" s="77">
        <v>4.4788975021533159E-2</v>
      </c>
      <c r="L612" s="67">
        <v>85</v>
      </c>
    </row>
    <row r="613" spans="1:12" x14ac:dyDescent="0.3">
      <c r="A613" s="76">
        <v>46174</v>
      </c>
      <c r="B613" s="67">
        <v>1054</v>
      </c>
      <c r="C613" s="67">
        <v>20769</v>
      </c>
      <c r="D613" s="67">
        <v>28</v>
      </c>
      <c r="E613" s="67">
        <v>22</v>
      </c>
      <c r="F613" s="67">
        <v>4</v>
      </c>
      <c r="G613" s="67">
        <v>5</v>
      </c>
      <c r="H613" s="67">
        <v>61</v>
      </c>
      <c r="I613" s="67">
        <v>8</v>
      </c>
      <c r="J613" s="67">
        <v>59</v>
      </c>
      <c r="K613" s="77">
        <v>5.5977229601518026E-2</v>
      </c>
      <c r="L613" s="67">
        <v>69</v>
      </c>
    </row>
    <row r="614" spans="1:12" x14ac:dyDescent="0.3">
      <c r="A614" s="76">
        <v>46175</v>
      </c>
      <c r="B614" s="67">
        <v>741</v>
      </c>
      <c r="C614" s="67">
        <v>15064</v>
      </c>
      <c r="D614" s="67">
        <v>23</v>
      </c>
      <c r="E614" s="67">
        <v>6</v>
      </c>
      <c r="F614" s="67">
        <v>3</v>
      </c>
      <c r="G614" s="67">
        <v>3</v>
      </c>
      <c r="H614" s="67">
        <v>29</v>
      </c>
      <c r="I614" s="67">
        <v>7</v>
      </c>
      <c r="J614" s="67">
        <v>35</v>
      </c>
      <c r="K614" s="77">
        <v>4.7233468286099867E-2</v>
      </c>
      <c r="L614" s="67">
        <v>36</v>
      </c>
    </row>
    <row r="615" spans="1:12" x14ac:dyDescent="0.3">
      <c r="A615" s="76">
        <v>46176</v>
      </c>
      <c r="B615" s="67">
        <v>725</v>
      </c>
      <c r="C615" s="67">
        <v>15717</v>
      </c>
      <c r="D615" s="67">
        <v>21</v>
      </c>
      <c r="E615" s="67">
        <v>11</v>
      </c>
      <c r="F615" s="67">
        <v>3</v>
      </c>
      <c r="G615" s="67">
        <v>4</v>
      </c>
      <c r="H615" s="67">
        <v>39</v>
      </c>
      <c r="I615" s="67">
        <v>12</v>
      </c>
      <c r="J615" s="67">
        <v>39</v>
      </c>
      <c r="K615" s="77">
        <v>5.3793103448275863E-2</v>
      </c>
      <c r="L615" s="67">
        <v>51</v>
      </c>
    </row>
    <row r="616" spans="1:12" x14ac:dyDescent="0.3">
      <c r="A616" s="76">
        <v>46177</v>
      </c>
      <c r="B616" s="67">
        <v>927</v>
      </c>
      <c r="C616" s="67">
        <v>28540</v>
      </c>
      <c r="D616" s="67">
        <v>30</v>
      </c>
      <c r="E616" s="67">
        <v>12</v>
      </c>
      <c r="F616" s="67">
        <v>3</v>
      </c>
      <c r="G616" s="67">
        <v>4</v>
      </c>
      <c r="H616" s="67">
        <v>37</v>
      </c>
      <c r="I616" s="67">
        <v>9</v>
      </c>
      <c r="J616" s="67">
        <v>49</v>
      </c>
      <c r="K616" s="77">
        <v>5.2858683926645091E-2</v>
      </c>
      <c r="L616" s="67">
        <v>46</v>
      </c>
    </row>
    <row r="617" spans="1:12" x14ac:dyDescent="0.3">
      <c r="A617" s="76">
        <v>46178</v>
      </c>
      <c r="B617" s="67">
        <v>1107</v>
      </c>
      <c r="C617" s="67">
        <v>45100</v>
      </c>
      <c r="D617" s="67">
        <v>44</v>
      </c>
      <c r="E617" s="67">
        <v>15</v>
      </c>
      <c r="F617" s="67">
        <v>6</v>
      </c>
      <c r="G617" s="67">
        <v>4</v>
      </c>
      <c r="H617" s="67">
        <v>46</v>
      </c>
      <c r="I617" s="67">
        <v>8</v>
      </c>
      <c r="J617" s="67">
        <v>69</v>
      </c>
      <c r="K617" s="77">
        <v>6.2330623306233061E-2</v>
      </c>
      <c r="L617" s="67">
        <v>54</v>
      </c>
    </row>
    <row r="618" spans="1:12" x14ac:dyDescent="0.3">
      <c r="A618" s="76">
        <v>46179</v>
      </c>
      <c r="B618" s="67">
        <v>978</v>
      </c>
      <c r="C618" s="67">
        <v>31788</v>
      </c>
      <c r="D618" s="67">
        <v>37</v>
      </c>
      <c r="E618" s="67">
        <v>11</v>
      </c>
      <c r="F618" s="67">
        <v>4</v>
      </c>
      <c r="G618" s="67">
        <v>4</v>
      </c>
      <c r="H618" s="67">
        <v>58</v>
      </c>
      <c r="I618" s="67">
        <v>10</v>
      </c>
      <c r="J618" s="67">
        <v>56</v>
      </c>
      <c r="K618" s="77">
        <v>5.7259713701431493E-2</v>
      </c>
      <c r="L618" s="67">
        <v>68</v>
      </c>
    </row>
    <row r="619" spans="1:12" x14ac:dyDescent="0.3">
      <c r="A619" s="76">
        <v>46180</v>
      </c>
      <c r="B619" s="67">
        <v>982</v>
      </c>
      <c r="C619" s="67">
        <v>15689</v>
      </c>
      <c r="D619" s="67">
        <v>35</v>
      </c>
      <c r="E619" s="67">
        <v>11</v>
      </c>
      <c r="F619" s="67">
        <v>4</v>
      </c>
      <c r="G619" s="67">
        <v>5</v>
      </c>
      <c r="H619" s="67">
        <v>44</v>
      </c>
      <c r="I619" s="67">
        <v>10</v>
      </c>
      <c r="J619" s="67">
        <v>55</v>
      </c>
      <c r="K619" s="77">
        <v>5.6008146639511203E-2</v>
      </c>
      <c r="L619" s="67">
        <v>54</v>
      </c>
    </row>
    <row r="620" spans="1:12" x14ac:dyDescent="0.3">
      <c r="A620" s="76">
        <v>46181</v>
      </c>
      <c r="B620" s="67">
        <v>796</v>
      </c>
      <c r="C620" s="67">
        <v>20361</v>
      </c>
      <c r="D620" s="67">
        <v>20</v>
      </c>
      <c r="E620" s="67">
        <v>15</v>
      </c>
      <c r="F620" s="67">
        <v>3</v>
      </c>
      <c r="G620" s="67">
        <v>3</v>
      </c>
      <c r="H620" s="67">
        <v>39</v>
      </c>
      <c r="I620" s="67">
        <v>11</v>
      </c>
      <c r="J620" s="67">
        <v>41</v>
      </c>
      <c r="K620" s="77">
        <v>5.1507537688442212E-2</v>
      </c>
      <c r="L620" s="67">
        <v>50</v>
      </c>
    </row>
    <row r="621" spans="1:12" x14ac:dyDescent="0.3">
      <c r="A621" s="76">
        <v>46182</v>
      </c>
      <c r="B621" s="67">
        <v>948</v>
      </c>
      <c r="C621" s="67">
        <v>30215</v>
      </c>
      <c r="D621" s="67">
        <v>28</v>
      </c>
      <c r="E621" s="67">
        <v>15</v>
      </c>
      <c r="F621" s="67">
        <v>4</v>
      </c>
      <c r="G621" s="67">
        <v>3</v>
      </c>
      <c r="H621" s="67">
        <v>52</v>
      </c>
      <c r="I621" s="67">
        <v>11</v>
      </c>
      <c r="J621" s="67">
        <v>50</v>
      </c>
      <c r="K621" s="77">
        <v>5.2742616033755275E-2</v>
      </c>
      <c r="L621" s="67">
        <v>63</v>
      </c>
    </row>
    <row r="622" spans="1:12" x14ac:dyDescent="0.3">
      <c r="A622" s="76">
        <v>46183</v>
      </c>
      <c r="B622" s="67">
        <v>1037</v>
      </c>
      <c r="C622" s="67">
        <v>32821</v>
      </c>
      <c r="D622" s="67">
        <v>43</v>
      </c>
      <c r="E622" s="67">
        <v>11</v>
      </c>
      <c r="F622" s="67">
        <v>5</v>
      </c>
      <c r="G622" s="67">
        <v>3</v>
      </c>
      <c r="H622" s="67">
        <v>50</v>
      </c>
      <c r="I622" s="67">
        <v>10</v>
      </c>
      <c r="J622" s="67">
        <v>62</v>
      </c>
      <c r="K622" s="77">
        <v>5.9787849566055928E-2</v>
      </c>
      <c r="L622" s="67">
        <v>60</v>
      </c>
    </row>
    <row r="623" spans="1:12" x14ac:dyDescent="0.3">
      <c r="A623" s="76">
        <v>46184</v>
      </c>
      <c r="B623" s="67">
        <v>876</v>
      </c>
      <c r="C623" s="67">
        <v>24688</v>
      </c>
      <c r="D623" s="67">
        <v>34</v>
      </c>
      <c r="E623" s="67">
        <v>9</v>
      </c>
      <c r="F623" s="67">
        <v>4</v>
      </c>
      <c r="G623" s="67">
        <v>3</v>
      </c>
      <c r="H623" s="67">
        <v>49</v>
      </c>
      <c r="I623" s="67">
        <v>9</v>
      </c>
      <c r="J623" s="67">
        <v>50</v>
      </c>
      <c r="K623" s="77">
        <v>5.7077625570776253E-2</v>
      </c>
      <c r="L623" s="67">
        <v>58</v>
      </c>
    </row>
    <row r="624" spans="1:12" x14ac:dyDescent="0.3">
      <c r="A624" s="76">
        <v>46185</v>
      </c>
      <c r="B624" s="67">
        <v>1342</v>
      </c>
      <c r="C624" s="67">
        <v>47704</v>
      </c>
      <c r="D624" s="67">
        <v>43</v>
      </c>
      <c r="E624" s="67">
        <v>20</v>
      </c>
      <c r="F624" s="67">
        <v>5</v>
      </c>
      <c r="G624" s="67">
        <v>5</v>
      </c>
      <c r="H624" s="67">
        <v>131</v>
      </c>
      <c r="I624" s="67">
        <v>13</v>
      </c>
      <c r="J624" s="67">
        <v>73</v>
      </c>
      <c r="K624" s="77">
        <v>5.4396423248882268E-2</v>
      </c>
      <c r="L624" s="67">
        <v>144</v>
      </c>
    </row>
    <row r="625" spans="1:12" x14ac:dyDescent="0.3">
      <c r="A625" s="76">
        <v>46186</v>
      </c>
      <c r="B625" s="67">
        <v>1022</v>
      </c>
      <c r="C625" s="67">
        <v>21971</v>
      </c>
      <c r="D625" s="67">
        <v>40</v>
      </c>
      <c r="E625" s="67">
        <v>14</v>
      </c>
      <c r="F625" s="67">
        <v>5</v>
      </c>
      <c r="G625" s="67">
        <v>5</v>
      </c>
      <c r="H625" s="67">
        <v>86</v>
      </c>
      <c r="I625" s="67">
        <v>8</v>
      </c>
      <c r="J625" s="67">
        <v>64</v>
      </c>
      <c r="K625" s="77">
        <v>6.262230919765166E-2</v>
      </c>
      <c r="L625" s="67">
        <v>94</v>
      </c>
    </row>
    <row r="626" spans="1:12" x14ac:dyDescent="0.3">
      <c r="A626" s="76">
        <v>46187</v>
      </c>
      <c r="B626" s="67">
        <v>1302</v>
      </c>
      <c r="C626" s="67">
        <v>28834</v>
      </c>
      <c r="D626" s="67">
        <v>46</v>
      </c>
      <c r="E626" s="67">
        <v>21</v>
      </c>
      <c r="F626" s="67">
        <v>5</v>
      </c>
      <c r="G626" s="67">
        <v>6</v>
      </c>
      <c r="H626" s="67">
        <v>99</v>
      </c>
      <c r="I626" s="67">
        <v>12</v>
      </c>
      <c r="J626" s="67">
        <v>78</v>
      </c>
      <c r="K626" s="77">
        <v>5.9907834101382486E-2</v>
      </c>
      <c r="L626" s="67">
        <v>111</v>
      </c>
    </row>
    <row r="627" spans="1:12" x14ac:dyDescent="0.3">
      <c r="A627" s="76">
        <v>46188</v>
      </c>
      <c r="B627" s="67">
        <v>1201</v>
      </c>
      <c r="C627" s="67">
        <v>36705</v>
      </c>
      <c r="D627" s="67">
        <v>42</v>
      </c>
      <c r="E627" s="67">
        <v>14</v>
      </c>
      <c r="F627" s="67">
        <v>6</v>
      </c>
      <c r="G627" s="67">
        <v>8</v>
      </c>
      <c r="H627" s="67">
        <v>81</v>
      </c>
      <c r="I627" s="67">
        <v>11</v>
      </c>
      <c r="J627" s="67">
        <v>70</v>
      </c>
      <c r="K627" s="77">
        <v>5.8284762697751874E-2</v>
      </c>
      <c r="L627" s="67">
        <v>92</v>
      </c>
    </row>
    <row r="628" spans="1:12" x14ac:dyDescent="0.3">
      <c r="A628" s="76">
        <v>46189</v>
      </c>
      <c r="B628" s="67">
        <v>1134</v>
      </c>
      <c r="C628" s="67">
        <v>39839</v>
      </c>
      <c r="D628" s="67">
        <v>56</v>
      </c>
      <c r="E628" s="67">
        <v>15</v>
      </c>
      <c r="F628" s="67">
        <v>4</v>
      </c>
      <c r="G628" s="67">
        <v>3</v>
      </c>
      <c r="H628" s="67">
        <v>98</v>
      </c>
      <c r="I628" s="67">
        <v>10</v>
      </c>
      <c r="J628" s="67">
        <v>78</v>
      </c>
      <c r="K628" s="77">
        <v>6.8783068783068779E-2</v>
      </c>
      <c r="L628" s="67">
        <v>108</v>
      </c>
    </row>
    <row r="629" spans="1:12" x14ac:dyDescent="0.3">
      <c r="A629" s="76">
        <v>46190</v>
      </c>
      <c r="B629" s="67">
        <v>1051</v>
      </c>
      <c r="C629" s="67">
        <v>44049</v>
      </c>
      <c r="D629" s="67">
        <v>52</v>
      </c>
      <c r="E629" s="67">
        <v>20</v>
      </c>
      <c r="F629" s="67">
        <v>7</v>
      </c>
      <c r="G629" s="67">
        <v>3</v>
      </c>
      <c r="H629" s="67">
        <v>63</v>
      </c>
      <c r="I629" s="67">
        <v>11</v>
      </c>
      <c r="J629" s="67">
        <v>82</v>
      </c>
      <c r="K629" s="77">
        <v>7.8020932445290195E-2</v>
      </c>
      <c r="L629" s="67">
        <v>74</v>
      </c>
    </row>
    <row r="630" spans="1:12" x14ac:dyDescent="0.3">
      <c r="A630" s="76">
        <v>46191</v>
      </c>
      <c r="B630" s="67">
        <v>876</v>
      </c>
      <c r="C630" s="67">
        <v>16071</v>
      </c>
      <c r="D630" s="67">
        <v>28</v>
      </c>
      <c r="E630" s="67">
        <v>12</v>
      </c>
      <c r="F630" s="67">
        <v>3</v>
      </c>
      <c r="G630" s="67">
        <v>3</v>
      </c>
      <c r="H630" s="67">
        <v>55</v>
      </c>
      <c r="I630" s="67">
        <v>8</v>
      </c>
      <c r="J630" s="67">
        <v>46</v>
      </c>
      <c r="K630" s="77">
        <v>5.2511415525114152E-2</v>
      </c>
      <c r="L630" s="67">
        <v>63</v>
      </c>
    </row>
    <row r="631" spans="1:12" x14ac:dyDescent="0.3">
      <c r="A631" s="76">
        <v>46192</v>
      </c>
      <c r="B631" s="67">
        <v>1366</v>
      </c>
      <c r="C631" s="67">
        <v>34928</v>
      </c>
      <c r="D631" s="67">
        <v>45</v>
      </c>
      <c r="E631" s="67">
        <v>26</v>
      </c>
      <c r="F631" s="67">
        <v>6</v>
      </c>
      <c r="G631" s="67">
        <v>6</v>
      </c>
      <c r="H631" s="67">
        <v>93</v>
      </c>
      <c r="I631" s="67">
        <v>14</v>
      </c>
      <c r="J631" s="67">
        <v>83</v>
      </c>
      <c r="K631" s="77">
        <v>6.0761346998535873E-2</v>
      </c>
      <c r="L631" s="67">
        <v>107</v>
      </c>
    </row>
    <row r="632" spans="1:12" x14ac:dyDescent="0.3">
      <c r="A632" s="76">
        <v>46193</v>
      </c>
      <c r="B632" s="67">
        <v>1304</v>
      </c>
      <c r="C632" s="67">
        <v>18709</v>
      </c>
      <c r="D632" s="67">
        <v>43</v>
      </c>
      <c r="E632" s="67">
        <v>15</v>
      </c>
      <c r="F632" s="67">
        <v>4</v>
      </c>
      <c r="G632" s="67">
        <v>8</v>
      </c>
      <c r="H632" s="67">
        <v>70</v>
      </c>
      <c r="I632" s="67">
        <v>13</v>
      </c>
      <c r="J632" s="67">
        <v>70</v>
      </c>
      <c r="K632" s="77">
        <v>5.3680981595092027E-2</v>
      </c>
      <c r="L632" s="67">
        <v>83</v>
      </c>
    </row>
    <row r="633" spans="1:12" x14ac:dyDescent="0.3">
      <c r="A633" s="76">
        <v>46194</v>
      </c>
      <c r="B633" s="67">
        <v>1264</v>
      </c>
      <c r="C633" s="67">
        <v>33483</v>
      </c>
      <c r="D633" s="67">
        <v>42</v>
      </c>
      <c r="E633" s="67">
        <v>13</v>
      </c>
      <c r="F633" s="67">
        <v>6</v>
      </c>
      <c r="G633" s="67">
        <v>4</v>
      </c>
      <c r="H633" s="67">
        <v>87</v>
      </c>
      <c r="I633" s="67">
        <v>15</v>
      </c>
      <c r="J633" s="67">
        <v>65</v>
      </c>
      <c r="K633" s="77">
        <v>5.1424050632911396E-2</v>
      </c>
      <c r="L633" s="67">
        <v>102</v>
      </c>
    </row>
    <row r="634" spans="1:12" x14ac:dyDescent="0.3">
      <c r="A634" s="76">
        <v>46195</v>
      </c>
      <c r="B634" s="67">
        <v>1118</v>
      </c>
      <c r="C634" s="67">
        <v>42100</v>
      </c>
      <c r="D634" s="67">
        <v>35</v>
      </c>
      <c r="E634" s="67">
        <v>12</v>
      </c>
      <c r="F634" s="67">
        <v>4</v>
      </c>
      <c r="G634" s="67">
        <v>4</v>
      </c>
      <c r="H634" s="67">
        <v>59</v>
      </c>
      <c r="I634" s="67">
        <v>10</v>
      </c>
      <c r="J634" s="67">
        <v>55</v>
      </c>
      <c r="K634" s="77">
        <v>4.9194991055456175E-2</v>
      </c>
      <c r="L634" s="67">
        <v>69</v>
      </c>
    </row>
    <row r="635" spans="1:12" x14ac:dyDescent="0.3">
      <c r="A635" s="76">
        <v>46196</v>
      </c>
      <c r="B635" s="67">
        <v>1148</v>
      </c>
      <c r="C635" s="67">
        <v>24402</v>
      </c>
      <c r="D635" s="67">
        <v>31</v>
      </c>
      <c r="E635" s="67">
        <v>19</v>
      </c>
      <c r="F635" s="67">
        <v>4</v>
      </c>
      <c r="G635" s="67">
        <v>4</v>
      </c>
      <c r="H635" s="67">
        <v>64</v>
      </c>
      <c r="I635" s="67">
        <v>14</v>
      </c>
      <c r="J635" s="67">
        <v>58</v>
      </c>
      <c r="K635" s="77">
        <v>5.0522648083623695E-2</v>
      </c>
      <c r="L635" s="67">
        <v>78</v>
      </c>
    </row>
    <row r="636" spans="1:12" x14ac:dyDescent="0.3">
      <c r="A636" s="76">
        <v>46197</v>
      </c>
      <c r="B636" s="67">
        <v>936</v>
      </c>
      <c r="C636" s="67">
        <v>16094</v>
      </c>
      <c r="D636" s="67">
        <v>23</v>
      </c>
      <c r="E636" s="67">
        <v>13</v>
      </c>
      <c r="F636" s="67">
        <v>3</v>
      </c>
      <c r="G636" s="67">
        <v>4</v>
      </c>
      <c r="H636" s="67">
        <v>76</v>
      </c>
      <c r="I636" s="67">
        <v>7</v>
      </c>
      <c r="J636" s="67">
        <v>43</v>
      </c>
      <c r="K636" s="77">
        <v>4.5940170940170943E-2</v>
      </c>
      <c r="L636" s="67">
        <v>83</v>
      </c>
    </row>
    <row r="637" spans="1:12" x14ac:dyDescent="0.3">
      <c r="A637" s="76">
        <v>46198</v>
      </c>
      <c r="B637" s="67">
        <v>1035</v>
      </c>
      <c r="C637" s="67">
        <v>24680</v>
      </c>
      <c r="D637" s="67">
        <v>35</v>
      </c>
      <c r="E637" s="67">
        <v>11</v>
      </c>
      <c r="F637" s="67">
        <v>4</v>
      </c>
      <c r="G637" s="67">
        <v>4</v>
      </c>
      <c r="H637" s="67">
        <v>59</v>
      </c>
      <c r="I637" s="67">
        <v>10</v>
      </c>
      <c r="J637" s="67">
        <v>54</v>
      </c>
      <c r="K637" s="77">
        <v>5.2173913043478258E-2</v>
      </c>
      <c r="L637" s="67">
        <v>69</v>
      </c>
    </row>
    <row r="638" spans="1:12" x14ac:dyDescent="0.3">
      <c r="A638" s="76">
        <v>46199</v>
      </c>
      <c r="B638" s="67">
        <v>995</v>
      </c>
      <c r="C638" s="67">
        <v>29754</v>
      </c>
      <c r="D638" s="67">
        <v>26</v>
      </c>
      <c r="E638" s="67">
        <v>13</v>
      </c>
      <c r="F638" s="67">
        <v>4</v>
      </c>
      <c r="G638" s="67">
        <v>4</v>
      </c>
      <c r="H638" s="67">
        <v>59</v>
      </c>
      <c r="I638" s="67">
        <v>9</v>
      </c>
      <c r="J638" s="67">
        <v>47</v>
      </c>
      <c r="K638" s="77">
        <v>4.7236180904522612E-2</v>
      </c>
      <c r="L638" s="67">
        <v>68</v>
      </c>
    </row>
    <row r="639" spans="1:12" x14ac:dyDescent="0.3">
      <c r="A639" s="76">
        <v>46200</v>
      </c>
      <c r="B639" s="67">
        <v>1421</v>
      </c>
      <c r="C639" s="67">
        <v>37623</v>
      </c>
      <c r="D639" s="67">
        <v>36</v>
      </c>
      <c r="E639" s="67">
        <v>16</v>
      </c>
      <c r="F639" s="67">
        <v>5</v>
      </c>
      <c r="G639" s="67">
        <v>5</v>
      </c>
      <c r="H639" s="67">
        <v>94</v>
      </c>
      <c r="I639" s="67">
        <v>14</v>
      </c>
      <c r="J639" s="67">
        <v>62</v>
      </c>
      <c r="K639" s="77">
        <v>4.3631245601688955E-2</v>
      </c>
      <c r="L639" s="67">
        <v>108</v>
      </c>
    </row>
    <row r="640" spans="1:12" x14ac:dyDescent="0.3">
      <c r="A640" s="76">
        <v>46201</v>
      </c>
      <c r="B640" s="67">
        <v>1313</v>
      </c>
      <c r="C640" s="67">
        <v>33697</v>
      </c>
      <c r="D640" s="67">
        <v>58</v>
      </c>
      <c r="E640" s="67">
        <v>13</v>
      </c>
      <c r="F640" s="67">
        <v>5</v>
      </c>
      <c r="G640" s="67">
        <v>7</v>
      </c>
      <c r="H640" s="67">
        <v>67</v>
      </c>
      <c r="I640" s="67">
        <v>15</v>
      </c>
      <c r="J640" s="67">
        <v>83</v>
      </c>
      <c r="K640" s="77">
        <v>6.321401370906321E-2</v>
      </c>
      <c r="L640" s="67">
        <v>82</v>
      </c>
    </row>
    <row r="641" spans="1:12" x14ac:dyDescent="0.3">
      <c r="A641" s="76">
        <v>46202</v>
      </c>
      <c r="B641" s="67">
        <v>1340</v>
      </c>
      <c r="C641" s="67">
        <v>40317</v>
      </c>
      <c r="D641" s="67">
        <v>38</v>
      </c>
      <c r="E641" s="67">
        <v>15</v>
      </c>
      <c r="F641" s="67">
        <v>5</v>
      </c>
      <c r="G641" s="67">
        <v>5</v>
      </c>
      <c r="H641" s="67">
        <v>61</v>
      </c>
      <c r="I641" s="67">
        <v>13</v>
      </c>
      <c r="J641" s="67">
        <v>63</v>
      </c>
      <c r="K641" s="77">
        <v>4.7014925373134328E-2</v>
      </c>
      <c r="L641" s="67">
        <v>74</v>
      </c>
    </row>
    <row r="642" spans="1:12" x14ac:dyDescent="0.3">
      <c r="A642" s="76">
        <v>46203</v>
      </c>
      <c r="B642" s="67">
        <v>911</v>
      </c>
      <c r="C642" s="67">
        <v>22395</v>
      </c>
      <c r="D642" s="67">
        <v>30</v>
      </c>
      <c r="E642" s="67">
        <v>10</v>
      </c>
      <c r="F642" s="67">
        <v>2</v>
      </c>
      <c r="G642" s="67">
        <v>4</v>
      </c>
      <c r="H642" s="67">
        <v>58</v>
      </c>
      <c r="I642" s="67">
        <v>7</v>
      </c>
      <c r="J642" s="67">
        <v>46</v>
      </c>
      <c r="K642" s="77">
        <v>5.0493962678375415E-2</v>
      </c>
      <c r="L642" s="67">
        <v>65</v>
      </c>
    </row>
    <row r="643" spans="1:12" x14ac:dyDescent="0.3">
      <c r="A643" s="76">
        <v>46204</v>
      </c>
      <c r="B643" s="67">
        <v>1257</v>
      </c>
      <c r="C643" s="67">
        <v>42915</v>
      </c>
      <c r="D643" s="67">
        <v>33</v>
      </c>
      <c r="E643" s="67">
        <v>16</v>
      </c>
      <c r="F643" s="67">
        <v>4</v>
      </c>
      <c r="G643" s="67">
        <v>6</v>
      </c>
      <c r="H643" s="67">
        <v>109</v>
      </c>
      <c r="I643" s="67">
        <v>14</v>
      </c>
      <c r="J643" s="67">
        <v>59</v>
      </c>
      <c r="K643" s="77">
        <v>4.6937151949085126E-2</v>
      </c>
      <c r="L643" s="67">
        <v>123</v>
      </c>
    </row>
    <row r="644" spans="1:12" x14ac:dyDescent="0.3">
      <c r="A644" s="76">
        <v>46205</v>
      </c>
      <c r="B644" s="67">
        <v>1093</v>
      </c>
      <c r="C644" s="67">
        <v>23894</v>
      </c>
      <c r="D644" s="67">
        <v>35</v>
      </c>
      <c r="E644" s="67">
        <v>15</v>
      </c>
      <c r="F644" s="67">
        <v>4</v>
      </c>
      <c r="G644" s="67">
        <v>6</v>
      </c>
      <c r="H644" s="67">
        <v>82</v>
      </c>
      <c r="I644" s="67">
        <v>11</v>
      </c>
      <c r="J644" s="67">
        <v>60</v>
      </c>
      <c r="K644" s="77">
        <v>5.4894784995425432E-2</v>
      </c>
      <c r="L644" s="67">
        <v>93</v>
      </c>
    </row>
    <row r="645" spans="1:12" x14ac:dyDescent="0.3">
      <c r="A645" s="76">
        <v>46206</v>
      </c>
      <c r="B645" s="67">
        <v>1008</v>
      </c>
      <c r="C645" s="67">
        <v>25802</v>
      </c>
      <c r="D645" s="67">
        <v>30</v>
      </c>
      <c r="E645" s="67">
        <v>21</v>
      </c>
      <c r="F645" s="67">
        <v>4</v>
      </c>
      <c r="G645" s="67">
        <v>5</v>
      </c>
      <c r="H645" s="67">
        <v>59</v>
      </c>
      <c r="I645" s="67">
        <v>10</v>
      </c>
      <c r="J645" s="67">
        <v>60</v>
      </c>
      <c r="K645" s="77">
        <v>5.9523809523809521E-2</v>
      </c>
      <c r="L645" s="67">
        <v>69</v>
      </c>
    </row>
    <row r="646" spans="1:12" x14ac:dyDescent="0.3">
      <c r="A646" s="76">
        <v>46207</v>
      </c>
      <c r="B646" s="67">
        <v>1662</v>
      </c>
      <c r="C646" s="67">
        <v>36549</v>
      </c>
      <c r="D646" s="67">
        <v>91</v>
      </c>
      <c r="E646" s="67">
        <v>20</v>
      </c>
      <c r="F646" s="67">
        <v>6</v>
      </c>
      <c r="G646" s="67">
        <v>8</v>
      </c>
      <c r="H646" s="67">
        <v>163</v>
      </c>
      <c r="I646" s="67">
        <v>21</v>
      </c>
      <c r="J646" s="67">
        <v>125</v>
      </c>
      <c r="K646" s="77">
        <v>7.5210589651022869E-2</v>
      </c>
      <c r="L646" s="67">
        <v>184</v>
      </c>
    </row>
    <row r="647" spans="1:12" x14ac:dyDescent="0.3">
      <c r="A647" s="76">
        <v>46208</v>
      </c>
      <c r="B647" s="67">
        <v>865</v>
      </c>
      <c r="C647" s="67">
        <v>19957</v>
      </c>
      <c r="D647" s="67">
        <v>25</v>
      </c>
      <c r="E647" s="67">
        <v>12</v>
      </c>
      <c r="F647" s="67">
        <v>4</v>
      </c>
      <c r="G647" s="67">
        <v>3</v>
      </c>
      <c r="H647" s="67">
        <v>45</v>
      </c>
      <c r="I647" s="67">
        <v>8</v>
      </c>
      <c r="J647" s="67">
        <v>44</v>
      </c>
      <c r="K647" s="77">
        <v>5.086705202312139E-2</v>
      </c>
      <c r="L647" s="67">
        <v>53</v>
      </c>
    </row>
    <row r="648" spans="1:12" x14ac:dyDescent="0.3">
      <c r="A648" s="76">
        <v>46209</v>
      </c>
      <c r="B648" s="67">
        <v>1104</v>
      </c>
      <c r="C648" s="67">
        <v>34288</v>
      </c>
      <c r="D648" s="67">
        <v>33</v>
      </c>
      <c r="E648" s="67">
        <v>12</v>
      </c>
      <c r="F648" s="67">
        <v>6</v>
      </c>
      <c r="G648" s="67">
        <v>7</v>
      </c>
      <c r="H648" s="67">
        <v>70</v>
      </c>
      <c r="I648" s="67">
        <v>11</v>
      </c>
      <c r="J648" s="67">
        <v>58</v>
      </c>
      <c r="K648" s="77">
        <v>5.2536231884057968E-2</v>
      </c>
      <c r="L648" s="67">
        <v>81</v>
      </c>
    </row>
    <row r="649" spans="1:12" x14ac:dyDescent="0.3">
      <c r="A649" s="76">
        <v>46210</v>
      </c>
      <c r="B649" s="67">
        <v>809</v>
      </c>
      <c r="C649" s="67">
        <v>15889</v>
      </c>
      <c r="D649" s="67">
        <v>35</v>
      </c>
      <c r="E649" s="67">
        <v>10</v>
      </c>
      <c r="F649" s="67">
        <v>4</v>
      </c>
      <c r="G649" s="67">
        <v>3</v>
      </c>
      <c r="H649" s="67">
        <v>54</v>
      </c>
      <c r="I649" s="67">
        <v>6</v>
      </c>
      <c r="J649" s="67">
        <v>52</v>
      </c>
      <c r="K649" s="77">
        <v>6.4276885043263288E-2</v>
      </c>
      <c r="L649" s="67">
        <v>60</v>
      </c>
    </row>
    <row r="650" spans="1:12" x14ac:dyDescent="0.3">
      <c r="A650" s="76">
        <v>46211</v>
      </c>
      <c r="B650" s="67">
        <v>938</v>
      </c>
      <c r="C650" s="67">
        <v>18840</v>
      </c>
      <c r="D650" s="67">
        <v>38</v>
      </c>
      <c r="E650" s="67">
        <v>10</v>
      </c>
      <c r="F650" s="67">
        <v>4</v>
      </c>
      <c r="G650" s="67">
        <v>4</v>
      </c>
      <c r="H650" s="67">
        <v>64</v>
      </c>
      <c r="I650" s="67">
        <v>8</v>
      </c>
      <c r="J650" s="67">
        <v>56</v>
      </c>
      <c r="K650" s="77">
        <v>5.9701492537313432E-2</v>
      </c>
      <c r="L650" s="67">
        <v>72</v>
      </c>
    </row>
    <row r="651" spans="1:12" x14ac:dyDescent="0.3">
      <c r="A651" s="76">
        <v>46212</v>
      </c>
      <c r="B651" s="67">
        <v>880</v>
      </c>
      <c r="C651" s="67">
        <v>28688</v>
      </c>
      <c r="D651" s="67">
        <v>23</v>
      </c>
      <c r="E651" s="67">
        <v>10</v>
      </c>
      <c r="F651" s="67">
        <v>3</v>
      </c>
      <c r="G651" s="67">
        <v>4</v>
      </c>
      <c r="H651" s="67">
        <v>47</v>
      </c>
      <c r="I651" s="67">
        <v>12</v>
      </c>
      <c r="J651" s="67">
        <v>40</v>
      </c>
      <c r="K651" s="77">
        <v>4.5454545454545456E-2</v>
      </c>
      <c r="L651" s="67">
        <v>59</v>
      </c>
    </row>
    <row r="652" spans="1:12" x14ac:dyDescent="0.3">
      <c r="A652" s="76">
        <v>46213</v>
      </c>
      <c r="B652" s="67">
        <v>1034</v>
      </c>
      <c r="C652" s="67">
        <v>18596</v>
      </c>
      <c r="D652" s="67">
        <v>35</v>
      </c>
      <c r="E652" s="67">
        <v>13</v>
      </c>
      <c r="F652" s="67">
        <v>3</v>
      </c>
      <c r="G652" s="67">
        <v>4</v>
      </c>
      <c r="H652" s="67">
        <v>65</v>
      </c>
      <c r="I652" s="67">
        <v>9</v>
      </c>
      <c r="J652" s="67">
        <v>55</v>
      </c>
      <c r="K652" s="77">
        <v>5.3191489361702128E-2</v>
      </c>
      <c r="L652" s="67">
        <v>74</v>
      </c>
    </row>
    <row r="653" spans="1:12" x14ac:dyDescent="0.3">
      <c r="A653" s="76">
        <v>46214</v>
      </c>
      <c r="B653" s="67">
        <v>1290</v>
      </c>
      <c r="C653" s="67">
        <v>39562</v>
      </c>
      <c r="D653" s="67">
        <v>48</v>
      </c>
      <c r="E653" s="67">
        <v>16</v>
      </c>
      <c r="F653" s="67">
        <v>5</v>
      </c>
      <c r="G653" s="67">
        <v>4</v>
      </c>
      <c r="H653" s="67">
        <v>61</v>
      </c>
      <c r="I653" s="67">
        <v>13</v>
      </c>
      <c r="J653" s="67">
        <v>73</v>
      </c>
      <c r="K653" s="77">
        <v>5.6589147286821705E-2</v>
      </c>
      <c r="L653" s="67">
        <v>74</v>
      </c>
    </row>
    <row r="654" spans="1:12" x14ac:dyDescent="0.3">
      <c r="A654" s="76">
        <v>46215</v>
      </c>
      <c r="B654" s="67">
        <v>1076</v>
      </c>
      <c r="C654" s="67">
        <v>30469</v>
      </c>
      <c r="D654" s="67">
        <v>39</v>
      </c>
      <c r="E654" s="67">
        <v>11</v>
      </c>
      <c r="F654" s="67">
        <v>5</v>
      </c>
      <c r="G654" s="67">
        <v>4</v>
      </c>
      <c r="H654" s="67">
        <v>92</v>
      </c>
      <c r="I654" s="67">
        <v>7</v>
      </c>
      <c r="J654" s="67">
        <v>59</v>
      </c>
      <c r="K654" s="77">
        <v>5.4832713754646843E-2</v>
      </c>
      <c r="L654" s="67">
        <v>99</v>
      </c>
    </row>
    <row r="655" spans="1:12" x14ac:dyDescent="0.3">
      <c r="A655" s="76">
        <v>46216</v>
      </c>
      <c r="B655" s="67">
        <v>777</v>
      </c>
      <c r="C655" s="67">
        <v>16208</v>
      </c>
      <c r="D655" s="67">
        <v>23</v>
      </c>
      <c r="E655" s="67">
        <v>8</v>
      </c>
      <c r="F655" s="67">
        <v>4</v>
      </c>
      <c r="G655" s="67">
        <v>3</v>
      </c>
      <c r="H655" s="67">
        <v>36</v>
      </c>
      <c r="I655" s="67">
        <v>8</v>
      </c>
      <c r="J655" s="67">
        <v>38</v>
      </c>
      <c r="K655" s="77">
        <v>4.8906048906048903E-2</v>
      </c>
      <c r="L655" s="67">
        <v>44</v>
      </c>
    </row>
    <row r="656" spans="1:12" x14ac:dyDescent="0.3">
      <c r="A656" s="76">
        <v>46217</v>
      </c>
      <c r="B656" s="67">
        <v>1007</v>
      </c>
      <c r="C656" s="67">
        <v>36253</v>
      </c>
      <c r="D656" s="67">
        <v>36</v>
      </c>
      <c r="E656" s="67">
        <v>18</v>
      </c>
      <c r="F656" s="67">
        <v>5</v>
      </c>
      <c r="G656" s="67">
        <v>5</v>
      </c>
      <c r="H656" s="67">
        <v>37</v>
      </c>
      <c r="I656" s="67">
        <v>8</v>
      </c>
      <c r="J656" s="67">
        <v>64</v>
      </c>
      <c r="K656" s="77">
        <v>6.3555114200595828E-2</v>
      </c>
      <c r="L656" s="67">
        <v>45</v>
      </c>
    </row>
    <row r="657" spans="1:12" x14ac:dyDescent="0.3">
      <c r="A657" s="76">
        <v>46218</v>
      </c>
      <c r="B657" s="67">
        <v>1298</v>
      </c>
      <c r="C657" s="67">
        <v>44673</v>
      </c>
      <c r="D657" s="67">
        <v>37</v>
      </c>
      <c r="E657" s="67">
        <v>15</v>
      </c>
      <c r="F657" s="67">
        <v>5</v>
      </c>
      <c r="G657" s="67">
        <v>4</v>
      </c>
      <c r="H657" s="67">
        <v>88</v>
      </c>
      <c r="I657" s="67">
        <v>12</v>
      </c>
      <c r="J657" s="67">
        <v>61</v>
      </c>
      <c r="K657" s="77">
        <v>4.6995377503852083E-2</v>
      </c>
      <c r="L657" s="67">
        <v>100</v>
      </c>
    </row>
    <row r="658" spans="1:12" x14ac:dyDescent="0.3">
      <c r="A658" s="76">
        <v>46219</v>
      </c>
      <c r="B658" s="67">
        <v>1165</v>
      </c>
      <c r="C658" s="67">
        <v>53825</v>
      </c>
      <c r="D658" s="67">
        <v>48</v>
      </c>
      <c r="E658" s="67">
        <v>18</v>
      </c>
      <c r="F658" s="67">
        <v>5</v>
      </c>
      <c r="G658" s="67">
        <v>4</v>
      </c>
      <c r="H658" s="67">
        <v>62</v>
      </c>
      <c r="I658" s="67">
        <v>12</v>
      </c>
      <c r="J658" s="67">
        <v>75</v>
      </c>
      <c r="K658" s="77">
        <v>6.4377682403433473E-2</v>
      </c>
      <c r="L658" s="67">
        <v>74</v>
      </c>
    </row>
    <row r="659" spans="1:12" x14ac:dyDescent="0.3">
      <c r="A659" s="76">
        <v>46220</v>
      </c>
      <c r="B659" s="67">
        <v>808</v>
      </c>
      <c r="C659" s="67">
        <v>25934</v>
      </c>
      <c r="D659" s="67">
        <v>25</v>
      </c>
      <c r="E659" s="67">
        <v>9</v>
      </c>
      <c r="F659" s="67">
        <v>5</v>
      </c>
      <c r="G659" s="67">
        <v>5</v>
      </c>
      <c r="H659" s="67">
        <v>46</v>
      </c>
      <c r="I659" s="67">
        <v>7</v>
      </c>
      <c r="J659" s="67">
        <v>44</v>
      </c>
      <c r="K659" s="77">
        <v>5.4455445544554455E-2</v>
      </c>
      <c r="L659" s="67">
        <v>53</v>
      </c>
    </row>
    <row r="660" spans="1:12" x14ac:dyDescent="0.3">
      <c r="A660" s="76">
        <v>46221</v>
      </c>
      <c r="B660" s="67">
        <v>1069</v>
      </c>
      <c r="C660" s="67">
        <v>35831</v>
      </c>
      <c r="D660" s="67">
        <v>30</v>
      </c>
      <c r="E660" s="67">
        <v>11</v>
      </c>
      <c r="F660" s="67">
        <v>5</v>
      </c>
      <c r="G660" s="67">
        <v>4</v>
      </c>
      <c r="H660" s="67">
        <v>93</v>
      </c>
      <c r="I660" s="67">
        <v>10</v>
      </c>
      <c r="J660" s="67">
        <v>50</v>
      </c>
      <c r="K660" s="77">
        <v>4.6772684752104769E-2</v>
      </c>
      <c r="L660" s="67">
        <v>103</v>
      </c>
    </row>
    <row r="661" spans="1:12" x14ac:dyDescent="0.3">
      <c r="A661" s="76">
        <v>46222</v>
      </c>
      <c r="B661" s="67">
        <v>802</v>
      </c>
      <c r="C661" s="67">
        <v>22522</v>
      </c>
      <c r="D661" s="67">
        <v>37</v>
      </c>
      <c r="E661" s="67">
        <v>10</v>
      </c>
      <c r="F661" s="67">
        <v>2</v>
      </c>
      <c r="G661" s="67">
        <v>3</v>
      </c>
      <c r="H661" s="67">
        <v>39</v>
      </c>
      <c r="I661" s="67">
        <v>8</v>
      </c>
      <c r="J661" s="67">
        <v>52</v>
      </c>
      <c r="K661" s="77">
        <v>6.4837905236907731E-2</v>
      </c>
      <c r="L661" s="67">
        <v>47</v>
      </c>
    </row>
    <row r="662" spans="1:12" x14ac:dyDescent="0.3">
      <c r="A662" s="76">
        <v>46223</v>
      </c>
      <c r="B662" s="67">
        <v>1081</v>
      </c>
      <c r="C662" s="67">
        <v>34737</v>
      </c>
      <c r="D662" s="67">
        <v>34</v>
      </c>
      <c r="E662" s="67">
        <v>16</v>
      </c>
      <c r="F662" s="67">
        <v>4</v>
      </c>
      <c r="G662" s="67">
        <v>4</v>
      </c>
      <c r="H662" s="67">
        <v>49</v>
      </c>
      <c r="I662" s="67">
        <v>10</v>
      </c>
      <c r="J662" s="67">
        <v>58</v>
      </c>
      <c r="K662" s="77">
        <v>5.3654024051803882E-2</v>
      </c>
      <c r="L662" s="67">
        <v>59</v>
      </c>
    </row>
    <row r="663" spans="1:12" x14ac:dyDescent="0.3">
      <c r="A663" s="76">
        <v>46224</v>
      </c>
      <c r="B663" s="67">
        <v>907</v>
      </c>
      <c r="C663" s="67">
        <v>36645</v>
      </c>
      <c r="D663" s="67">
        <v>30</v>
      </c>
      <c r="E663" s="67">
        <v>11</v>
      </c>
      <c r="F663" s="67">
        <v>3</v>
      </c>
      <c r="G663" s="67">
        <v>4</v>
      </c>
      <c r="H663" s="67">
        <v>54</v>
      </c>
      <c r="I663" s="67">
        <v>5</v>
      </c>
      <c r="J663" s="67">
        <v>48</v>
      </c>
      <c r="K663" s="77">
        <v>5.2921719955898568E-2</v>
      </c>
      <c r="L663" s="67">
        <v>59</v>
      </c>
    </row>
    <row r="664" spans="1:12" x14ac:dyDescent="0.3">
      <c r="A664" s="76">
        <v>46225</v>
      </c>
      <c r="B664" s="67">
        <v>1210</v>
      </c>
      <c r="C664" s="67">
        <v>19978</v>
      </c>
      <c r="D664" s="67">
        <v>53</v>
      </c>
      <c r="E664" s="67">
        <v>22</v>
      </c>
      <c r="F664" s="67">
        <v>6</v>
      </c>
      <c r="G664" s="67">
        <v>5</v>
      </c>
      <c r="H664" s="67">
        <v>86</v>
      </c>
      <c r="I664" s="67">
        <v>11</v>
      </c>
      <c r="J664" s="67">
        <v>86</v>
      </c>
      <c r="K664" s="77">
        <v>7.1074380165289261E-2</v>
      </c>
      <c r="L664" s="67">
        <v>97</v>
      </c>
    </row>
    <row r="665" spans="1:12" x14ac:dyDescent="0.3">
      <c r="A665" s="76">
        <v>46226</v>
      </c>
      <c r="B665" s="67">
        <v>1121</v>
      </c>
      <c r="C665" s="67">
        <v>27010</v>
      </c>
      <c r="D665" s="67">
        <v>31</v>
      </c>
      <c r="E665" s="67">
        <v>14</v>
      </c>
      <c r="F665" s="67">
        <v>4</v>
      </c>
      <c r="G665" s="67">
        <v>5</v>
      </c>
      <c r="H665" s="67">
        <v>51</v>
      </c>
      <c r="I665" s="67">
        <v>11</v>
      </c>
      <c r="J665" s="67">
        <v>54</v>
      </c>
      <c r="K665" s="77">
        <v>4.8171275646743977E-2</v>
      </c>
      <c r="L665" s="67">
        <v>62</v>
      </c>
    </row>
    <row r="666" spans="1:12" x14ac:dyDescent="0.3">
      <c r="A666" s="76">
        <v>46227</v>
      </c>
      <c r="B666" s="67">
        <v>914</v>
      </c>
      <c r="C666" s="67">
        <v>24116</v>
      </c>
      <c r="D666" s="67">
        <v>35</v>
      </c>
      <c r="E666" s="67">
        <v>13</v>
      </c>
      <c r="F666" s="67">
        <v>3</v>
      </c>
      <c r="G666" s="67">
        <v>4</v>
      </c>
      <c r="H666" s="67">
        <v>45</v>
      </c>
      <c r="I666" s="67">
        <v>5</v>
      </c>
      <c r="J666" s="67">
        <v>55</v>
      </c>
      <c r="K666" s="77">
        <v>6.0175054704595186E-2</v>
      </c>
      <c r="L666" s="67">
        <v>50</v>
      </c>
    </row>
    <row r="667" spans="1:12" x14ac:dyDescent="0.3">
      <c r="A667" s="76">
        <v>46228</v>
      </c>
      <c r="B667" s="67">
        <v>1180</v>
      </c>
      <c r="C667" s="67">
        <v>32497</v>
      </c>
      <c r="D667" s="67">
        <v>34</v>
      </c>
      <c r="E667" s="67">
        <v>15</v>
      </c>
      <c r="F667" s="67">
        <v>5</v>
      </c>
      <c r="G667" s="67">
        <v>4</v>
      </c>
      <c r="H667" s="67">
        <v>69</v>
      </c>
      <c r="I667" s="67">
        <v>13</v>
      </c>
      <c r="J667" s="67">
        <v>58</v>
      </c>
      <c r="K667" s="77">
        <v>4.9152542372881358E-2</v>
      </c>
      <c r="L667" s="67">
        <v>82</v>
      </c>
    </row>
    <row r="668" spans="1:12" x14ac:dyDescent="0.3">
      <c r="A668" s="76">
        <v>46229</v>
      </c>
      <c r="B668" s="67">
        <v>1020</v>
      </c>
      <c r="C668" s="67">
        <v>21291</v>
      </c>
      <c r="D668" s="67">
        <v>28</v>
      </c>
      <c r="E668" s="67">
        <v>17</v>
      </c>
      <c r="F668" s="67">
        <v>4</v>
      </c>
      <c r="G668" s="67">
        <v>5</v>
      </c>
      <c r="H668" s="67">
        <v>83</v>
      </c>
      <c r="I668" s="67">
        <v>11</v>
      </c>
      <c r="J668" s="67">
        <v>54</v>
      </c>
      <c r="K668" s="77">
        <v>5.2941176470588235E-2</v>
      </c>
      <c r="L668" s="67">
        <v>94</v>
      </c>
    </row>
    <row r="669" spans="1:12" x14ac:dyDescent="0.3">
      <c r="A669" s="76">
        <v>46230</v>
      </c>
      <c r="B669" s="67">
        <v>988</v>
      </c>
      <c r="C669" s="67">
        <v>29201</v>
      </c>
      <c r="D669" s="67">
        <v>37</v>
      </c>
      <c r="E669" s="67">
        <v>14</v>
      </c>
      <c r="F669" s="67">
        <v>5</v>
      </c>
      <c r="G669" s="67">
        <v>5</v>
      </c>
      <c r="H669" s="67">
        <v>55</v>
      </c>
      <c r="I669" s="67">
        <v>8</v>
      </c>
      <c r="J669" s="67">
        <v>61</v>
      </c>
      <c r="K669" s="77">
        <v>6.1740890688259109E-2</v>
      </c>
      <c r="L669" s="67">
        <v>63</v>
      </c>
    </row>
    <row r="670" spans="1:12" x14ac:dyDescent="0.3">
      <c r="A670" s="76">
        <v>46231</v>
      </c>
      <c r="B670" s="67">
        <v>892</v>
      </c>
      <c r="C670" s="67">
        <v>29789</v>
      </c>
      <c r="D670" s="67">
        <v>23</v>
      </c>
      <c r="E670" s="67">
        <v>12</v>
      </c>
      <c r="F670" s="67">
        <v>5</v>
      </c>
      <c r="G670" s="67">
        <v>4</v>
      </c>
      <c r="H670" s="67">
        <v>77</v>
      </c>
      <c r="I670" s="67">
        <v>13</v>
      </c>
      <c r="J670" s="67">
        <v>44</v>
      </c>
      <c r="K670" s="77">
        <v>4.9327354260089683E-2</v>
      </c>
      <c r="L670" s="67">
        <v>90</v>
      </c>
    </row>
    <row r="671" spans="1:12" x14ac:dyDescent="0.3">
      <c r="A671" s="76">
        <v>46232</v>
      </c>
      <c r="B671" s="67">
        <v>1266</v>
      </c>
      <c r="C671" s="67">
        <v>26054</v>
      </c>
      <c r="D671" s="67">
        <v>40</v>
      </c>
      <c r="E671" s="67">
        <v>13</v>
      </c>
      <c r="F671" s="67">
        <v>5</v>
      </c>
      <c r="G671" s="67">
        <v>4</v>
      </c>
      <c r="H671" s="67">
        <v>98</v>
      </c>
      <c r="I671" s="67">
        <v>10</v>
      </c>
      <c r="J671" s="67">
        <v>62</v>
      </c>
      <c r="K671" s="77">
        <v>4.8973143759873619E-2</v>
      </c>
      <c r="L671" s="67">
        <v>108</v>
      </c>
    </row>
    <row r="672" spans="1:12" x14ac:dyDescent="0.3">
      <c r="A672" s="76">
        <v>46233</v>
      </c>
      <c r="B672" s="67">
        <v>1061</v>
      </c>
      <c r="C672" s="67">
        <v>34366</v>
      </c>
      <c r="D672" s="67">
        <v>41</v>
      </c>
      <c r="E672" s="67">
        <v>19</v>
      </c>
      <c r="F672" s="67">
        <v>3</v>
      </c>
      <c r="G672" s="67">
        <v>3</v>
      </c>
      <c r="H672" s="67">
        <v>62</v>
      </c>
      <c r="I672" s="67">
        <v>16</v>
      </c>
      <c r="J672" s="67">
        <v>66</v>
      </c>
      <c r="K672" s="77">
        <v>6.2205466540999059E-2</v>
      </c>
      <c r="L672" s="67">
        <v>78</v>
      </c>
    </row>
    <row r="673" spans="1:12" x14ac:dyDescent="0.3">
      <c r="A673" s="76">
        <v>46234</v>
      </c>
      <c r="B673" s="67">
        <v>1088</v>
      </c>
      <c r="C673" s="67">
        <v>27251</v>
      </c>
      <c r="D673" s="67">
        <v>34</v>
      </c>
      <c r="E673" s="67">
        <v>17</v>
      </c>
      <c r="F673" s="67">
        <v>4</v>
      </c>
      <c r="G673" s="67">
        <v>4</v>
      </c>
      <c r="H673" s="67">
        <v>68</v>
      </c>
      <c r="I673" s="67">
        <v>11</v>
      </c>
      <c r="J673" s="67">
        <v>59</v>
      </c>
      <c r="K673" s="77">
        <v>5.422794117647059E-2</v>
      </c>
      <c r="L673" s="67">
        <v>79</v>
      </c>
    </row>
    <row r="674" spans="1:12" x14ac:dyDescent="0.3">
      <c r="A674" s="76">
        <v>46235</v>
      </c>
      <c r="B674" s="67">
        <v>1088</v>
      </c>
      <c r="C674" s="67">
        <v>29726</v>
      </c>
      <c r="D674" s="67">
        <v>37</v>
      </c>
      <c r="E674" s="67">
        <v>19</v>
      </c>
      <c r="F674" s="67">
        <v>5</v>
      </c>
      <c r="G674" s="67">
        <v>4</v>
      </c>
      <c r="H674" s="67">
        <v>88</v>
      </c>
      <c r="I674" s="67">
        <v>12</v>
      </c>
      <c r="J674" s="67">
        <v>65</v>
      </c>
      <c r="K674" s="77">
        <v>5.9742647058823532E-2</v>
      </c>
      <c r="L674" s="67">
        <v>100</v>
      </c>
    </row>
    <row r="675" spans="1:12" x14ac:dyDescent="0.3">
      <c r="A675" s="76">
        <v>46236</v>
      </c>
      <c r="B675" s="67">
        <v>1258</v>
      </c>
      <c r="C675" s="67">
        <v>39103</v>
      </c>
      <c r="D675" s="67">
        <v>32</v>
      </c>
      <c r="E675" s="67">
        <v>19</v>
      </c>
      <c r="F675" s="67">
        <v>5</v>
      </c>
      <c r="G675" s="67">
        <v>5</v>
      </c>
      <c r="H675" s="67">
        <v>100</v>
      </c>
      <c r="I675" s="67">
        <v>14</v>
      </c>
      <c r="J675" s="67">
        <v>61</v>
      </c>
      <c r="K675" s="77">
        <v>4.8489666136724958E-2</v>
      </c>
      <c r="L675" s="67">
        <v>114</v>
      </c>
    </row>
    <row r="676" spans="1:12" x14ac:dyDescent="0.3">
      <c r="A676" s="76">
        <v>46237</v>
      </c>
      <c r="B676" s="67">
        <v>981</v>
      </c>
      <c r="C676" s="67">
        <v>32574</v>
      </c>
      <c r="D676" s="67">
        <v>31</v>
      </c>
      <c r="E676" s="67">
        <v>10</v>
      </c>
      <c r="F676" s="67">
        <v>4</v>
      </c>
      <c r="G676" s="67">
        <v>3</v>
      </c>
      <c r="H676" s="67">
        <v>92</v>
      </c>
      <c r="I676" s="67">
        <v>10</v>
      </c>
      <c r="J676" s="67">
        <v>48</v>
      </c>
      <c r="K676" s="77">
        <v>4.8929663608562692E-2</v>
      </c>
      <c r="L676" s="67">
        <v>102</v>
      </c>
    </row>
    <row r="677" spans="1:12" x14ac:dyDescent="0.3">
      <c r="A677" s="76">
        <v>46238</v>
      </c>
      <c r="B677" s="67">
        <v>1410</v>
      </c>
      <c r="C677" s="67">
        <v>41451</v>
      </c>
      <c r="D677" s="67">
        <v>32</v>
      </c>
      <c r="E677" s="67">
        <v>21</v>
      </c>
      <c r="F677" s="67">
        <v>4</v>
      </c>
      <c r="G677" s="67">
        <v>5</v>
      </c>
      <c r="H677" s="67">
        <v>79</v>
      </c>
      <c r="I677" s="67">
        <v>13</v>
      </c>
      <c r="J677" s="67">
        <v>62</v>
      </c>
      <c r="K677" s="77">
        <v>4.397163120567376E-2</v>
      </c>
      <c r="L677" s="67">
        <v>92</v>
      </c>
    </row>
    <row r="678" spans="1:12" x14ac:dyDescent="0.3">
      <c r="A678" s="76">
        <v>46239</v>
      </c>
      <c r="B678" s="67">
        <v>944</v>
      </c>
      <c r="C678" s="67">
        <v>23461</v>
      </c>
      <c r="D678" s="67">
        <v>37</v>
      </c>
      <c r="E678" s="67">
        <v>17</v>
      </c>
      <c r="F678" s="67">
        <v>5</v>
      </c>
      <c r="G678" s="67">
        <v>3</v>
      </c>
      <c r="H678" s="67">
        <v>70</v>
      </c>
      <c r="I678" s="67">
        <v>8</v>
      </c>
      <c r="J678" s="67">
        <v>62</v>
      </c>
      <c r="K678" s="77">
        <v>6.5677966101694921E-2</v>
      </c>
      <c r="L678" s="67">
        <v>78</v>
      </c>
    </row>
    <row r="679" spans="1:12" x14ac:dyDescent="0.3">
      <c r="A679" s="76">
        <v>46240</v>
      </c>
      <c r="B679" s="67">
        <v>906</v>
      </c>
      <c r="C679" s="67">
        <v>19654</v>
      </c>
      <c r="D679" s="67">
        <v>29</v>
      </c>
      <c r="E679" s="67">
        <v>16</v>
      </c>
      <c r="F679" s="67">
        <v>5</v>
      </c>
      <c r="G679" s="67">
        <v>4</v>
      </c>
      <c r="H679" s="67">
        <v>56</v>
      </c>
      <c r="I679" s="67">
        <v>9</v>
      </c>
      <c r="J679" s="67">
        <v>54</v>
      </c>
      <c r="K679" s="77">
        <v>5.9602649006622516E-2</v>
      </c>
      <c r="L679" s="67">
        <v>65</v>
      </c>
    </row>
    <row r="680" spans="1:12" x14ac:dyDescent="0.3">
      <c r="A680" s="76">
        <v>46241</v>
      </c>
      <c r="B680" s="67">
        <v>1311</v>
      </c>
      <c r="C680" s="67">
        <v>21315</v>
      </c>
      <c r="D680" s="67">
        <v>42</v>
      </c>
      <c r="E680" s="67">
        <v>24</v>
      </c>
      <c r="F680" s="67">
        <v>4</v>
      </c>
      <c r="G680" s="67">
        <v>7</v>
      </c>
      <c r="H680" s="67">
        <v>91</v>
      </c>
      <c r="I680" s="67">
        <v>13</v>
      </c>
      <c r="J680" s="67">
        <v>77</v>
      </c>
      <c r="K680" s="77">
        <v>5.8733790999237222E-2</v>
      </c>
      <c r="L680" s="67">
        <v>104</v>
      </c>
    </row>
    <row r="681" spans="1:12" x14ac:dyDescent="0.3">
      <c r="A681" s="76">
        <v>46242</v>
      </c>
      <c r="B681" s="67">
        <v>1385</v>
      </c>
      <c r="C681" s="67">
        <v>32716</v>
      </c>
      <c r="D681" s="67">
        <v>40</v>
      </c>
      <c r="E681" s="67">
        <v>20</v>
      </c>
      <c r="F681" s="67">
        <v>5</v>
      </c>
      <c r="G681" s="67">
        <v>5</v>
      </c>
      <c r="H681" s="67">
        <v>66</v>
      </c>
      <c r="I681" s="67">
        <v>13</v>
      </c>
      <c r="J681" s="67">
        <v>70</v>
      </c>
      <c r="K681" s="77">
        <v>5.0541516245487361E-2</v>
      </c>
      <c r="L681" s="67">
        <v>79</v>
      </c>
    </row>
    <row r="682" spans="1:12" x14ac:dyDescent="0.3">
      <c r="A682" s="76">
        <v>46243</v>
      </c>
      <c r="B682" s="67">
        <v>1312</v>
      </c>
      <c r="C682" s="67">
        <v>39462</v>
      </c>
      <c r="D682" s="67">
        <v>60</v>
      </c>
      <c r="E682" s="67">
        <v>19</v>
      </c>
      <c r="F682" s="67">
        <v>5</v>
      </c>
      <c r="G682" s="67">
        <v>7</v>
      </c>
      <c r="H682" s="67">
        <v>60</v>
      </c>
      <c r="I682" s="67">
        <v>14</v>
      </c>
      <c r="J682" s="67">
        <v>91</v>
      </c>
      <c r="K682" s="77">
        <v>6.9359756097560982E-2</v>
      </c>
      <c r="L682" s="67">
        <v>74</v>
      </c>
    </row>
    <row r="683" spans="1:12" x14ac:dyDescent="0.3">
      <c r="A683" s="76">
        <v>46244</v>
      </c>
      <c r="B683" s="67">
        <v>1198</v>
      </c>
      <c r="C683" s="67">
        <v>31747</v>
      </c>
      <c r="D683" s="67">
        <v>46</v>
      </c>
      <c r="E683" s="67">
        <v>21</v>
      </c>
      <c r="F683" s="67">
        <v>6</v>
      </c>
      <c r="G683" s="67">
        <v>4</v>
      </c>
      <c r="H683" s="67">
        <v>62</v>
      </c>
      <c r="I683" s="67">
        <v>12</v>
      </c>
      <c r="J683" s="67">
        <v>77</v>
      </c>
      <c r="K683" s="77">
        <v>6.42737896494157E-2</v>
      </c>
      <c r="L683" s="67">
        <v>74</v>
      </c>
    </row>
    <row r="684" spans="1:12" x14ac:dyDescent="0.3">
      <c r="A684" s="76">
        <v>46245</v>
      </c>
      <c r="B684" s="67">
        <v>1465</v>
      </c>
      <c r="C684" s="67">
        <v>37870</v>
      </c>
      <c r="D684" s="67">
        <v>59</v>
      </c>
      <c r="E684" s="67">
        <v>25</v>
      </c>
      <c r="F684" s="67">
        <v>5</v>
      </c>
      <c r="G684" s="67">
        <v>5</v>
      </c>
      <c r="H684" s="67">
        <v>121</v>
      </c>
      <c r="I684" s="67">
        <v>14</v>
      </c>
      <c r="J684" s="67">
        <v>94</v>
      </c>
      <c r="K684" s="77">
        <v>6.4163822525597269E-2</v>
      </c>
      <c r="L684" s="67">
        <v>135</v>
      </c>
    </row>
    <row r="685" spans="1:12" x14ac:dyDescent="0.3">
      <c r="A685" s="76">
        <v>46246</v>
      </c>
      <c r="B685" s="67">
        <v>1044</v>
      </c>
      <c r="C685" s="67">
        <v>26663</v>
      </c>
      <c r="D685" s="67">
        <v>30</v>
      </c>
      <c r="E685" s="67">
        <v>10</v>
      </c>
      <c r="F685" s="67">
        <v>3</v>
      </c>
      <c r="G685" s="67">
        <v>4</v>
      </c>
      <c r="H685" s="67">
        <v>46</v>
      </c>
      <c r="I685" s="67">
        <v>8</v>
      </c>
      <c r="J685" s="67">
        <v>47</v>
      </c>
      <c r="K685" s="77">
        <v>4.5019157088122604E-2</v>
      </c>
      <c r="L685" s="67">
        <v>54</v>
      </c>
    </row>
    <row r="686" spans="1:12" x14ac:dyDescent="0.3">
      <c r="A686" s="76">
        <v>46247</v>
      </c>
      <c r="B686" s="67">
        <v>1268</v>
      </c>
      <c r="C686" s="67">
        <v>30804</v>
      </c>
      <c r="D686" s="67">
        <v>37</v>
      </c>
      <c r="E686" s="67">
        <v>11</v>
      </c>
      <c r="F686" s="67">
        <v>5</v>
      </c>
      <c r="G686" s="67">
        <v>6</v>
      </c>
      <c r="H686" s="67">
        <v>63</v>
      </c>
      <c r="I686" s="67">
        <v>10</v>
      </c>
      <c r="J686" s="67">
        <v>59</v>
      </c>
      <c r="K686" s="77">
        <v>4.6529968454258677E-2</v>
      </c>
      <c r="L686" s="67">
        <v>73</v>
      </c>
    </row>
    <row r="687" spans="1:12" x14ac:dyDescent="0.3">
      <c r="A687" s="76">
        <v>46248</v>
      </c>
      <c r="B687" s="67">
        <v>1078</v>
      </c>
      <c r="C687" s="67">
        <v>24801</v>
      </c>
      <c r="D687" s="67">
        <v>35</v>
      </c>
      <c r="E687" s="67">
        <v>17</v>
      </c>
      <c r="F687" s="67">
        <v>4</v>
      </c>
      <c r="G687" s="67">
        <v>5</v>
      </c>
      <c r="H687" s="67">
        <v>48</v>
      </c>
      <c r="I687" s="67">
        <v>13</v>
      </c>
      <c r="J687" s="67">
        <v>61</v>
      </c>
      <c r="K687" s="77">
        <v>5.6586270871985159E-2</v>
      </c>
      <c r="L687" s="67">
        <v>61</v>
      </c>
    </row>
    <row r="688" spans="1:12" x14ac:dyDescent="0.3">
      <c r="A688" s="76">
        <v>46249</v>
      </c>
      <c r="B688" s="67">
        <v>1190</v>
      </c>
      <c r="C688" s="67">
        <v>31974</v>
      </c>
      <c r="D688" s="67">
        <v>44</v>
      </c>
      <c r="E688" s="67">
        <v>16</v>
      </c>
      <c r="F688" s="67">
        <v>4</v>
      </c>
      <c r="G688" s="67">
        <v>4</v>
      </c>
      <c r="H688" s="67">
        <v>73</v>
      </c>
      <c r="I688" s="67">
        <v>10</v>
      </c>
      <c r="J688" s="67">
        <v>68</v>
      </c>
      <c r="K688" s="77">
        <v>5.7142857142857141E-2</v>
      </c>
      <c r="L688" s="67">
        <v>83</v>
      </c>
    </row>
    <row r="689" spans="1:12" x14ac:dyDescent="0.3">
      <c r="A689" s="76">
        <v>46250</v>
      </c>
      <c r="B689" s="67">
        <v>1337</v>
      </c>
      <c r="C689" s="67">
        <v>34543</v>
      </c>
      <c r="D689" s="67">
        <v>43</v>
      </c>
      <c r="E689" s="67">
        <v>15</v>
      </c>
      <c r="F689" s="67">
        <v>4</v>
      </c>
      <c r="G689" s="67">
        <v>7</v>
      </c>
      <c r="H689" s="67">
        <v>112</v>
      </c>
      <c r="I689" s="67">
        <v>10</v>
      </c>
      <c r="J689" s="67">
        <v>69</v>
      </c>
      <c r="K689" s="77">
        <v>5.1608077786088259E-2</v>
      </c>
      <c r="L689" s="67">
        <v>122</v>
      </c>
    </row>
    <row r="690" spans="1:12" x14ac:dyDescent="0.3">
      <c r="A690" s="76">
        <v>46251</v>
      </c>
      <c r="B690" s="67">
        <v>850</v>
      </c>
      <c r="C690" s="67">
        <v>29256</v>
      </c>
      <c r="D690" s="67">
        <v>29</v>
      </c>
      <c r="E690" s="67">
        <v>10</v>
      </c>
      <c r="F690" s="67">
        <v>3</v>
      </c>
      <c r="G690" s="67">
        <v>2</v>
      </c>
      <c r="H690" s="67">
        <v>58</v>
      </c>
      <c r="I690" s="67">
        <v>7</v>
      </c>
      <c r="J690" s="67">
        <v>44</v>
      </c>
      <c r="K690" s="77">
        <v>5.1764705882352942E-2</v>
      </c>
      <c r="L690" s="67">
        <v>65</v>
      </c>
    </row>
    <row r="691" spans="1:12" x14ac:dyDescent="0.3">
      <c r="A691" s="76">
        <v>46252</v>
      </c>
      <c r="B691" s="67">
        <v>1210</v>
      </c>
      <c r="C691" s="67">
        <v>32086</v>
      </c>
      <c r="D691" s="67">
        <v>45</v>
      </c>
      <c r="E691" s="67">
        <v>19</v>
      </c>
      <c r="F691" s="67">
        <v>5</v>
      </c>
      <c r="G691" s="67">
        <v>6</v>
      </c>
      <c r="H691" s="67">
        <v>70</v>
      </c>
      <c r="I691" s="67">
        <v>11</v>
      </c>
      <c r="J691" s="67">
        <v>75</v>
      </c>
      <c r="K691" s="77">
        <v>6.1983471074380167E-2</v>
      </c>
      <c r="L691" s="67">
        <v>81</v>
      </c>
    </row>
    <row r="692" spans="1:12" x14ac:dyDescent="0.3">
      <c r="A692" s="76">
        <v>46253</v>
      </c>
      <c r="B692" s="67">
        <v>988</v>
      </c>
      <c r="C692" s="67">
        <v>28219</v>
      </c>
      <c r="D692" s="67">
        <v>37</v>
      </c>
      <c r="E692" s="67">
        <v>15</v>
      </c>
      <c r="F692" s="67">
        <v>4</v>
      </c>
      <c r="G692" s="67">
        <v>3</v>
      </c>
      <c r="H692" s="67">
        <v>42</v>
      </c>
      <c r="I692" s="67">
        <v>7</v>
      </c>
      <c r="J692" s="67">
        <v>59</v>
      </c>
      <c r="K692" s="77">
        <v>5.9716599190283402E-2</v>
      </c>
      <c r="L692" s="67">
        <v>49</v>
      </c>
    </row>
    <row r="693" spans="1:12" x14ac:dyDescent="0.3">
      <c r="A693" s="76">
        <v>46254</v>
      </c>
      <c r="B693" s="67">
        <v>1139</v>
      </c>
      <c r="C693" s="67">
        <v>33009</v>
      </c>
      <c r="D693" s="67">
        <v>37</v>
      </c>
      <c r="E693" s="67">
        <v>13</v>
      </c>
      <c r="F693" s="67">
        <v>3</v>
      </c>
      <c r="G693" s="67">
        <v>6</v>
      </c>
      <c r="H693" s="67">
        <v>73</v>
      </c>
      <c r="I693" s="67">
        <v>10</v>
      </c>
      <c r="J693" s="67">
        <v>59</v>
      </c>
      <c r="K693" s="77">
        <v>5.1799824407374892E-2</v>
      </c>
      <c r="L693" s="67">
        <v>83</v>
      </c>
    </row>
    <row r="694" spans="1:12" x14ac:dyDescent="0.3">
      <c r="A694" s="76">
        <v>46255</v>
      </c>
      <c r="B694" s="67">
        <v>1112</v>
      </c>
      <c r="C694" s="67">
        <v>33539</v>
      </c>
      <c r="D694" s="67">
        <v>34</v>
      </c>
      <c r="E694" s="67">
        <v>13</v>
      </c>
      <c r="F694" s="67">
        <v>5</v>
      </c>
      <c r="G694" s="67">
        <v>5</v>
      </c>
      <c r="H694" s="67">
        <v>70</v>
      </c>
      <c r="I694" s="67">
        <v>10</v>
      </c>
      <c r="J694" s="67">
        <v>57</v>
      </c>
      <c r="K694" s="77">
        <v>5.1258992805755396E-2</v>
      </c>
      <c r="L694" s="67">
        <v>80</v>
      </c>
    </row>
    <row r="695" spans="1:12" x14ac:dyDescent="0.3">
      <c r="A695" s="76">
        <v>46256</v>
      </c>
      <c r="B695" s="67">
        <v>1235</v>
      </c>
      <c r="C695" s="67">
        <v>28477</v>
      </c>
      <c r="D695" s="67">
        <v>22</v>
      </c>
      <c r="E695" s="67">
        <v>17</v>
      </c>
      <c r="F695" s="67">
        <v>7</v>
      </c>
      <c r="G695" s="67">
        <v>5</v>
      </c>
      <c r="H695" s="67">
        <v>79</v>
      </c>
      <c r="I695" s="67">
        <v>11</v>
      </c>
      <c r="J695" s="67">
        <v>51</v>
      </c>
      <c r="K695" s="77">
        <v>4.1295546558704453E-2</v>
      </c>
      <c r="L695" s="67">
        <v>90</v>
      </c>
    </row>
    <row r="696" spans="1:12" x14ac:dyDescent="0.3">
      <c r="A696" s="76">
        <v>46257</v>
      </c>
      <c r="B696" s="67">
        <v>948</v>
      </c>
      <c r="C696" s="67">
        <v>17049</v>
      </c>
      <c r="D696" s="67">
        <v>32</v>
      </c>
      <c r="E696" s="67">
        <v>13</v>
      </c>
      <c r="F696" s="67">
        <v>4</v>
      </c>
      <c r="G696" s="67">
        <v>5</v>
      </c>
      <c r="H696" s="67">
        <v>52</v>
      </c>
      <c r="I696" s="67">
        <v>10</v>
      </c>
      <c r="J696" s="67">
        <v>54</v>
      </c>
      <c r="K696" s="77">
        <v>5.6962025316455694E-2</v>
      </c>
      <c r="L696" s="67">
        <v>62</v>
      </c>
    </row>
    <row r="697" spans="1:12" x14ac:dyDescent="0.3">
      <c r="A697" s="76">
        <v>46258</v>
      </c>
      <c r="B697" s="67">
        <v>1153</v>
      </c>
      <c r="C697" s="67">
        <v>26005</v>
      </c>
      <c r="D697" s="67">
        <v>44</v>
      </c>
      <c r="E697" s="67">
        <v>18</v>
      </c>
      <c r="F697" s="67">
        <v>5</v>
      </c>
      <c r="G697" s="67">
        <v>5</v>
      </c>
      <c r="H697" s="67">
        <v>71</v>
      </c>
      <c r="I697" s="67">
        <v>9</v>
      </c>
      <c r="J697" s="67">
        <v>72</v>
      </c>
      <c r="K697" s="77">
        <v>6.2445793581960105E-2</v>
      </c>
      <c r="L697" s="67">
        <v>80</v>
      </c>
    </row>
    <row r="698" spans="1:12" x14ac:dyDescent="0.3">
      <c r="A698" s="76">
        <v>46259</v>
      </c>
      <c r="B698" s="67">
        <v>1345</v>
      </c>
      <c r="C698" s="67">
        <v>38336</v>
      </c>
      <c r="D698" s="67">
        <v>51</v>
      </c>
      <c r="E698" s="67">
        <v>18</v>
      </c>
      <c r="F698" s="67">
        <v>6</v>
      </c>
      <c r="G698" s="67">
        <v>6</v>
      </c>
      <c r="H698" s="67">
        <v>75</v>
      </c>
      <c r="I698" s="67">
        <v>10</v>
      </c>
      <c r="J698" s="67">
        <v>81</v>
      </c>
      <c r="K698" s="77">
        <v>6.0223048327137547E-2</v>
      </c>
      <c r="L698" s="67">
        <v>85</v>
      </c>
    </row>
    <row r="699" spans="1:12" x14ac:dyDescent="0.3">
      <c r="A699" s="76">
        <v>46260</v>
      </c>
      <c r="B699" s="67">
        <v>1073</v>
      </c>
      <c r="C699" s="67">
        <v>26730</v>
      </c>
      <c r="D699" s="67">
        <v>18</v>
      </c>
      <c r="E699" s="67">
        <v>15</v>
      </c>
      <c r="F699" s="67">
        <v>4</v>
      </c>
      <c r="G699" s="67">
        <v>4</v>
      </c>
      <c r="H699" s="67">
        <v>76</v>
      </c>
      <c r="I699" s="67">
        <v>10</v>
      </c>
      <c r="J699" s="67">
        <v>41</v>
      </c>
      <c r="K699" s="77">
        <v>3.8210624417520968E-2</v>
      </c>
      <c r="L699" s="67">
        <v>86</v>
      </c>
    </row>
    <row r="700" spans="1:12" x14ac:dyDescent="0.3">
      <c r="A700" s="76">
        <v>46261</v>
      </c>
      <c r="B700" s="67">
        <v>912</v>
      </c>
      <c r="C700" s="67">
        <v>22467</v>
      </c>
      <c r="D700" s="67">
        <v>26</v>
      </c>
      <c r="E700" s="67">
        <v>9</v>
      </c>
      <c r="F700" s="67">
        <v>3</v>
      </c>
      <c r="G700" s="67">
        <v>4</v>
      </c>
      <c r="H700" s="67">
        <v>66</v>
      </c>
      <c r="I700" s="67">
        <v>9</v>
      </c>
      <c r="J700" s="67">
        <v>42</v>
      </c>
      <c r="K700" s="77">
        <v>4.6052631578947366E-2</v>
      </c>
      <c r="L700" s="67">
        <v>75</v>
      </c>
    </row>
    <row r="701" spans="1:12" x14ac:dyDescent="0.3">
      <c r="A701" s="76">
        <v>46262</v>
      </c>
      <c r="B701" s="67">
        <v>953</v>
      </c>
      <c r="C701" s="67">
        <v>23017</v>
      </c>
      <c r="D701" s="67">
        <v>25</v>
      </c>
      <c r="E701" s="67">
        <v>14</v>
      </c>
      <c r="F701" s="67">
        <v>5</v>
      </c>
      <c r="G701" s="67">
        <v>3</v>
      </c>
      <c r="H701" s="67">
        <v>48</v>
      </c>
      <c r="I701" s="67">
        <v>8</v>
      </c>
      <c r="J701" s="67">
        <v>47</v>
      </c>
      <c r="K701" s="77">
        <v>4.9317943336831059E-2</v>
      </c>
      <c r="L701" s="67">
        <v>56</v>
      </c>
    </row>
    <row r="702" spans="1:12" x14ac:dyDescent="0.3">
      <c r="A702" s="76">
        <v>46263</v>
      </c>
      <c r="B702" s="67">
        <v>1382</v>
      </c>
      <c r="C702" s="67">
        <v>43586</v>
      </c>
      <c r="D702" s="67">
        <v>28</v>
      </c>
      <c r="E702" s="67">
        <v>20</v>
      </c>
      <c r="F702" s="67">
        <v>6</v>
      </c>
      <c r="G702" s="67">
        <v>5</v>
      </c>
      <c r="H702" s="67">
        <v>87</v>
      </c>
      <c r="I702" s="67">
        <v>15</v>
      </c>
      <c r="J702" s="67">
        <v>59</v>
      </c>
      <c r="K702" s="77">
        <v>4.2691751085383499E-2</v>
      </c>
      <c r="L702" s="67">
        <v>102</v>
      </c>
    </row>
    <row r="703" spans="1:12" x14ac:dyDescent="0.3">
      <c r="A703" s="76">
        <v>46264</v>
      </c>
      <c r="B703" s="67">
        <v>916</v>
      </c>
      <c r="C703" s="67">
        <v>24990</v>
      </c>
      <c r="D703" s="67">
        <v>29</v>
      </c>
      <c r="E703" s="67">
        <v>13</v>
      </c>
      <c r="F703" s="67">
        <v>3</v>
      </c>
      <c r="G703" s="67">
        <v>4</v>
      </c>
      <c r="H703" s="67">
        <v>57</v>
      </c>
      <c r="I703" s="67">
        <v>7</v>
      </c>
      <c r="J703" s="67">
        <v>49</v>
      </c>
      <c r="K703" s="77">
        <v>5.3493449781659388E-2</v>
      </c>
      <c r="L703" s="67">
        <v>64</v>
      </c>
    </row>
    <row r="704" spans="1:12" x14ac:dyDescent="0.3">
      <c r="A704" s="76">
        <v>46265</v>
      </c>
      <c r="B704" s="67">
        <v>870</v>
      </c>
      <c r="C704" s="67">
        <v>19075</v>
      </c>
      <c r="D704" s="67">
        <v>28</v>
      </c>
      <c r="E704" s="67">
        <v>13</v>
      </c>
      <c r="F704" s="67">
        <v>4</v>
      </c>
      <c r="G704" s="67">
        <v>3</v>
      </c>
      <c r="H704" s="67">
        <v>84</v>
      </c>
      <c r="I704" s="67">
        <v>8</v>
      </c>
      <c r="J704" s="67">
        <v>48</v>
      </c>
      <c r="K704" s="77">
        <v>5.5172413793103448E-2</v>
      </c>
      <c r="L704" s="67">
        <v>92</v>
      </c>
    </row>
    <row r="705" spans="1:12" x14ac:dyDescent="0.3">
      <c r="A705" s="76">
        <v>46266</v>
      </c>
      <c r="B705" s="67">
        <v>988</v>
      </c>
      <c r="C705" s="67">
        <v>25181</v>
      </c>
      <c r="D705" s="67">
        <v>44</v>
      </c>
      <c r="E705" s="67">
        <v>12</v>
      </c>
      <c r="F705" s="67">
        <v>3</v>
      </c>
      <c r="G705" s="67">
        <v>5</v>
      </c>
      <c r="H705" s="67">
        <v>64</v>
      </c>
      <c r="I705" s="67">
        <v>7</v>
      </c>
      <c r="J705" s="67">
        <v>64</v>
      </c>
      <c r="K705" s="77">
        <v>6.4777327935222673E-2</v>
      </c>
      <c r="L705" s="67">
        <v>71</v>
      </c>
    </row>
    <row r="706" spans="1:12" x14ac:dyDescent="0.3">
      <c r="A706" s="76">
        <v>46267</v>
      </c>
      <c r="B706" s="67">
        <v>935</v>
      </c>
      <c r="C706" s="67">
        <v>33200</v>
      </c>
      <c r="D706" s="67">
        <v>34</v>
      </c>
      <c r="E706" s="67">
        <v>11</v>
      </c>
      <c r="F706" s="67">
        <v>3</v>
      </c>
      <c r="G706" s="67">
        <v>4</v>
      </c>
      <c r="H706" s="67">
        <v>66</v>
      </c>
      <c r="I706" s="67">
        <v>11</v>
      </c>
      <c r="J706" s="67">
        <v>52</v>
      </c>
      <c r="K706" s="77">
        <v>5.5614973262032089E-2</v>
      </c>
      <c r="L706" s="67">
        <v>77</v>
      </c>
    </row>
    <row r="707" spans="1:12" x14ac:dyDescent="0.3">
      <c r="A707" s="76">
        <v>46268</v>
      </c>
      <c r="B707" s="67">
        <v>1000</v>
      </c>
      <c r="C707" s="67">
        <v>27454</v>
      </c>
      <c r="D707" s="67">
        <v>29</v>
      </c>
      <c r="E707" s="67">
        <v>14</v>
      </c>
      <c r="F707" s="67">
        <v>5</v>
      </c>
      <c r="G707" s="67">
        <v>3</v>
      </c>
      <c r="H707" s="67">
        <v>48</v>
      </c>
      <c r="I707" s="67">
        <v>12</v>
      </c>
      <c r="J707" s="67">
        <v>51</v>
      </c>
      <c r="K707" s="77">
        <v>5.0999999999999997E-2</v>
      </c>
      <c r="L707" s="67">
        <v>60</v>
      </c>
    </row>
    <row r="708" spans="1:12" x14ac:dyDescent="0.3">
      <c r="A708" s="76">
        <v>46269</v>
      </c>
      <c r="B708" s="67">
        <v>926</v>
      </c>
      <c r="C708" s="67">
        <v>45602</v>
      </c>
      <c r="D708" s="67">
        <v>27</v>
      </c>
      <c r="E708" s="67">
        <v>11</v>
      </c>
      <c r="F708" s="67">
        <v>3</v>
      </c>
      <c r="G708" s="67">
        <v>4</v>
      </c>
      <c r="H708" s="67">
        <v>57</v>
      </c>
      <c r="I708" s="67">
        <v>11</v>
      </c>
      <c r="J708" s="67">
        <v>45</v>
      </c>
      <c r="K708" s="77">
        <v>4.859611231101512E-2</v>
      </c>
      <c r="L708" s="67">
        <v>68</v>
      </c>
    </row>
    <row r="709" spans="1:12" x14ac:dyDescent="0.3">
      <c r="A709" s="76">
        <v>46270</v>
      </c>
      <c r="B709" s="67">
        <v>1360</v>
      </c>
      <c r="C709" s="67">
        <v>37748</v>
      </c>
      <c r="D709" s="67">
        <v>33</v>
      </c>
      <c r="E709" s="67">
        <v>20</v>
      </c>
      <c r="F709" s="67">
        <v>7</v>
      </c>
      <c r="G709" s="67">
        <v>6</v>
      </c>
      <c r="H709" s="67">
        <v>101</v>
      </c>
      <c r="I709" s="67">
        <v>11</v>
      </c>
      <c r="J709" s="67">
        <v>66</v>
      </c>
      <c r="K709" s="77">
        <v>4.8529411764705883E-2</v>
      </c>
      <c r="L709" s="67">
        <v>112</v>
      </c>
    </row>
    <row r="710" spans="1:12" x14ac:dyDescent="0.3">
      <c r="A710" s="76">
        <v>46271</v>
      </c>
      <c r="B710" s="67">
        <v>1085</v>
      </c>
      <c r="C710" s="67">
        <v>24509</v>
      </c>
      <c r="D710" s="67">
        <v>29</v>
      </c>
      <c r="E710" s="67">
        <v>13</v>
      </c>
      <c r="F710" s="67">
        <v>4</v>
      </c>
      <c r="G710" s="67">
        <v>5</v>
      </c>
      <c r="H710" s="67">
        <v>49</v>
      </c>
      <c r="I710" s="67">
        <v>12</v>
      </c>
      <c r="J710" s="67">
        <v>51</v>
      </c>
      <c r="K710" s="77">
        <v>4.7004608294930875E-2</v>
      </c>
      <c r="L710" s="67">
        <v>61</v>
      </c>
    </row>
    <row r="711" spans="1:12" x14ac:dyDescent="0.3">
      <c r="A711" s="76">
        <v>46272</v>
      </c>
      <c r="B711" s="67">
        <v>1152</v>
      </c>
      <c r="C711" s="67">
        <v>24856</v>
      </c>
      <c r="D711" s="67">
        <v>36</v>
      </c>
      <c r="E711" s="67">
        <v>20</v>
      </c>
      <c r="F711" s="67">
        <v>4</v>
      </c>
      <c r="G711" s="67">
        <v>6</v>
      </c>
      <c r="H711" s="67">
        <v>49</v>
      </c>
      <c r="I711" s="67">
        <v>14</v>
      </c>
      <c r="J711" s="67">
        <v>66</v>
      </c>
      <c r="K711" s="77">
        <v>5.7291666666666664E-2</v>
      </c>
      <c r="L711" s="67">
        <v>63</v>
      </c>
    </row>
    <row r="712" spans="1:12" x14ac:dyDescent="0.3">
      <c r="A712" s="76">
        <v>46273</v>
      </c>
      <c r="B712" s="67">
        <v>1120</v>
      </c>
      <c r="C712" s="67">
        <v>38391</v>
      </c>
      <c r="D712" s="67">
        <v>33</v>
      </c>
      <c r="E712" s="67">
        <v>11</v>
      </c>
      <c r="F712" s="67">
        <v>4</v>
      </c>
      <c r="G712" s="67">
        <v>5</v>
      </c>
      <c r="H712" s="67">
        <v>61</v>
      </c>
      <c r="I712" s="67">
        <v>11</v>
      </c>
      <c r="J712" s="67">
        <v>53</v>
      </c>
      <c r="K712" s="77">
        <v>4.732142857142857E-2</v>
      </c>
      <c r="L712" s="67">
        <v>72</v>
      </c>
    </row>
    <row r="713" spans="1:12" x14ac:dyDescent="0.3">
      <c r="A713" s="76">
        <v>46274</v>
      </c>
      <c r="B713" s="67">
        <v>1608</v>
      </c>
      <c r="C713" s="67">
        <v>41560</v>
      </c>
      <c r="D713" s="67">
        <v>79</v>
      </c>
      <c r="E713" s="67">
        <v>15</v>
      </c>
      <c r="F713" s="67">
        <v>7</v>
      </c>
      <c r="G713" s="67">
        <v>5</v>
      </c>
      <c r="H713" s="67">
        <v>76</v>
      </c>
      <c r="I713" s="67">
        <v>19</v>
      </c>
      <c r="J713" s="67">
        <v>106</v>
      </c>
      <c r="K713" s="77">
        <v>6.5920398009950254E-2</v>
      </c>
      <c r="L713" s="67">
        <v>95</v>
      </c>
    </row>
    <row r="714" spans="1:12" x14ac:dyDescent="0.3">
      <c r="A714" s="76">
        <v>46275</v>
      </c>
      <c r="B714" s="67">
        <v>1072</v>
      </c>
      <c r="C714" s="67">
        <v>24279</v>
      </c>
      <c r="D714" s="67">
        <v>44</v>
      </c>
      <c r="E714" s="67">
        <v>14</v>
      </c>
      <c r="F714" s="67">
        <v>5</v>
      </c>
      <c r="G714" s="67">
        <v>5</v>
      </c>
      <c r="H714" s="67">
        <v>80</v>
      </c>
      <c r="I714" s="67">
        <v>10</v>
      </c>
      <c r="J714" s="67">
        <v>68</v>
      </c>
      <c r="K714" s="77">
        <v>6.3432835820895525E-2</v>
      </c>
      <c r="L714" s="67">
        <v>90</v>
      </c>
    </row>
    <row r="715" spans="1:12" x14ac:dyDescent="0.3">
      <c r="A715" s="76">
        <v>46276</v>
      </c>
      <c r="B715" s="67">
        <v>1017</v>
      </c>
      <c r="C715" s="67">
        <v>27515</v>
      </c>
      <c r="D715" s="67">
        <v>26</v>
      </c>
      <c r="E715" s="67">
        <v>16</v>
      </c>
      <c r="F715" s="67">
        <v>3</v>
      </c>
      <c r="G715" s="67">
        <v>4</v>
      </c>
      <c r="H715" s="67">
        <v>65</v>
      </c>
      <c r="I715" s="67">
        <v>11</v>
      </c>
      <c r="J715" s="67">
        <v>49</v>
      </c>
      <c r="K715" s="77">
        <v>4.8180924287118974E-2</v>
      </c>
      <c r="L715" s="67">
        <v>76</v>
      </c>
    </row>
    <row r="716" spans="1:12" x14ac:dyDescent="0.3">
      <c r="A716" s="76">
        <v>46277</v>
      </c>
      <c r="B716" s="67">
        <v>1042</v>
      </c>
      <c r="C716" s="67">
        <v>23983</v>
      </c>
      <c r="D716" s="67">
        <v>33</v>
      </c>
      <c r="E716" s="67">
        <v>11</v>
      </c>
      <c r="F716" s="67">
        <v>6</v>
      </c>
      <c r="G716" s="67">
        <v>4</v>
      </c>
      <c r="H716" s="67">
        <v>45</v>
      </c>
      <c r="I716" s="67">
        <v>13</v>
      </c>
      <c r="J716" s="67">
        <v>54</v>
      </c>
      <c r="K716" s="77">
        <v>5.1823416506717852E-2</v>
      </c>
      <c r="L716" s="67">
        <v>58</v>
      </c>
    </row>
    <row r="717" spans="1:12" x14ac:dyDescent="0.3">
      <c r="A717" s="76">
        <v>46278</v>
      </c>
      <c r="B717" s="67">
        <v>1168</v>
      </c>
      <c r="C717" s="67">
        <v>18258</v>
      </c>
      <c r="D717" s="67">
        <v>36</v>
      </c>
      <c r="E717" s="67">
        <v>15</v>
      </c>
      <c r="F717" s="67">
        <v>5</v>
      </c>
      <c r="G717" s="67">
        <v>4</v>
      </c>
      <c r="H717" s="67">
        <v>64</v>
      </c>
      <c r="I717" s="67">
        <v>14</v>
      </c>
      <c r="J717" s="67">
        <v>60</v>
      </c>
      <c r="K717" s="77">
        <v>5.1369863013698627E-2</v>
      </c>
      <c r="L717" s="67">
        <v>78</v>
      </c>
    </row>
    <row r="718" spans="1:12" x14ac:dyDescent="0.3">
      <c r="A718" s="76">
        <v>46279</v>
      </c>
      <c r="B718" s="67">
        <v>1215</v>
      </c>
      <c r="C718" s="67">
        <v>28772</v>
      </c>
      <c r="D718" s="67">
        <v>39</v>
      </c>
      <c r="E718" s="67">
        <v>15</v>
      </c>
      <c r="F718" s="67">
        <v>5</v>
      </c>
      <c r="G718" s="67">
        <v>5</v>
      </c>
      <c r="H718" s="67">
        <v>62</v>
      </c>
      <c r="I718" s="67">
        <v>10</v>
      </c>
      <c r="J718" s="67">
        <v>64</v>
      </c>
      <c r="K718" s="77">
        <v>5.2674897119341563E-2</v>
      </c>
      <c r="L718" s="67">
        <v>72</v>
      </c>
    </row>
    <row r="719" spans="1:12" x14ac:dyDescent="0.3">
      <c r="A719" s="76">
        <v>46280</v>
      </c>
      <c r="B719" s="67">
        <v>1092</v>
      </c>
      <c r="C719" s="67">
        <v>35932</v>
      </c>
      <c r="D719" s="67">
        <v>37</v>
      </c>
      <c r="E719" s="67">
        <v>14</v>
      </c>
      <c r="F719" s="67">
        <v>5</v>
      </c>
      <c r="G719" s="67">
        <v>5</v>
      </c>
      <c r="H719" s="67">
        <v>61</v>
      </c>
      <c r="I719" s="67">
        <v>10</v>
      </c>
      <c r="J719" s="67">
        <v>61</v>
      </c>
      <c r="K719" s="77">
        <v>5.5860805860805864E-2</v>
      </c>
      <c r="L719" s="67">
        <v>71</v>
      </c>
    </row>
    <row r="720" spans="1:12" x14ac:dyDescent="0.3">
      <c r="A720" s="76">
        <v>46281</v>
      </c>
      <c r="B720" s="67">
        <v>1274</v>
      </c>
      <c r="C720" s="67">
        <v>36082</v>
      </c>
      <c r="D720" s="67">
        <v>34</v>
      </c>
      <c r="E720" s="67">
        <v>25</v>
      </c>
      <c r="F720" s="67">
        <v>4</v>
      </c>
      <c r="G720" s="67">
        <v>5</v>
      </c>
      <c r="H720" s="67">
        <v>90</v>
      </c>
      <c r="I720" s="67">
        <v>13</v>
      </c>
      <c r="J720" s="67">
        <v>68</v>
      </c>
      <c r="K720" s="77">
        <v>5.3375196232339092E-2</v>
      </c>
      <c r="L720" s="67">
        <v>103</v>
      </c>
    </row>
    <row r="721" spans="1:12" x14ac:dyDescent="0.3">
      <c r="A721" s="76">
        <v>46282</v>
      </c>
      <c r="B721" s="67">
        <v>1296</v>
      </c>
      <c r="C721" s="67">
        <v>51610</v>
      </c>
      <c r="D721" s="67">
        <v>50</v>
      </c>
      <c r="E721" s="67">
        <v>19</v>
      </c>
      <c r="F721" s="67">
        <v>7</v>
      </c>
      <c r="G721" s="67">
        <v>8</v>
      </c>
      <c r="H721" s="67">
        <v>80</v>
      </c>
      <c r="I721" s="67">
        <v>9</v>
      </c>
      <c r="J721" s="67">
        <v>84</v>
      </c>
      <c r="K721" s="77">
        <v>6.4814814814814811E-2</v>
      </c>
      <c r="L721" s="67">
        <v>89</v>
      </c>
    </row>
    <row r="722" spans="1:12" x14ac:dyDescent="0.3">
      <c r="A722" s="76">
        <v>46283</v>
      </c>
      <c r="B722" s="67">
        <v>973</v>
      </c>
      <c r="C722" s="67">
        <v>32305</v>
      </c>
      <c r="D722" s="67">
        <v>29</v>
      </c>
      <c r="E722" s="67">
        <v>15</v>
      </c>
      <c r="F722" s="67">
        <v>3</v>
      </c>
      <c r="G722" s="67">
        <v>3</v>
      </c>
      <c r="H722" s="67">
        <v>50</v>
      </c>
      <c r="I722" s="67">
        <v>10</v>
      </c>
      <c r="J722" s="67">
        <v>50</v>
      </c>
      <c r="K722" s="77">
        <v>5.1387461459403906E-2</v>
      </c>
      <c r="L722" s="67">
        <v>60</v>
      </c>
    </row>
    <row r="723" spans="1:12" x14ac:dyDescent="0.3">
      <c r="A723" s="76">
        <v>46284</v>
      </c>
      <c r="B723" s="67">
        <v>1660</v>
      </c>
      <c r="C723" s="67">
        <v>53962</v>
      </c>
      <c r="D723" s="67">
        <v>69</v>
      </c>
      <c r="E723" s="67">
        <v>17</v>
      </c>
      <c r="F723" s="67">
        <v>8</v>
      </c>
      <c r="G723" s="67">
        <v>6</v>
      </c>
      <c r="H723" s="67">
        <v>108</v>
      </c>
      <c r="I723" s="67">
        <v>20</v>
      </c>
      <c r="J723" s="67">
        <v>100</v>
      </c>
      <c r="K723" s="77">
        <v>6.0240963855421686E-2</v>
      </c>
      <c r="L723" s="67">
        <v>128</v>
      </c>
    </row>
    <row r="724" spans="1:12" x14ac:dyDescent="0.3">
      <c r="A724" s="76">
        <v>46285</v>
      </c>
      <c r="B724" s="67">
        <v>1223</v>
      </c>
      <c r="C724" s="67">
        <v>62037</v>
      </c>
      <c r="D724" s="67">
        <v>31</v>
      </c>
      <c r="E724" s="67">
        <v>10</v>
      </c>
      <c r="F724" s="67">
        <v>4</v>
      </c>
      <c r="G724" s="67">
        <v>4</v>
      </c>
      <c r="H724" s="67">
        <v>80</v>
      </c>
      <c r="I724" s="67">
        <v>11</v>
      </c>
      <c r="J724" s="67">
        <v>49</v>
      </c>
      <c r="K724" s="77">
        <v>4.006541291905151E-2</v>
      </c>
      <c r="L724" s="67">
        <v>91</v>
      </c>
    </row>
    <row r="725" spans="1:12" x14ac:dyDescent="0.3">
      <c r="A725" s="76">
        <v>46286</v>
      </c>
      <c r="B725" s="67">
        <v>1052</v>
      </c>
      <c r="C725" s="67">
        <v>33927</v>
      </c>
      <c r="D725" s="67">
        <v>36</v>
      </c>
      <c r="E725" s="67">
        <v>15</v>
      </c>
      <c r="F725" s="67">
        <v>5</v>
      </c>
      <c r="G725" s="67">
        <v>4</v>
      </c>
      <c r="H725" s="67">
        <v>63</v>
      </c>
      <c r="I725" s="67">
        <v>13</v>
      </c>
      <c r="J725" s="67">
        <v>60</v>
      </c>
      <c r="K725" s="77">
        <v>5.7034220532319393E-2</v>
      </c>
      <c r="L725" s="67">
        <v>76</v>
      </c>
    </row>
    <row r="726" spans="1:12" x14ac:dyDescent="0.3">
      <c r="A726" s="76">
        <v>46287</v>
      </c>
      <c r="B726" s="67">
        <v>1140</v>
      </c>
      <c r="C726" s="67">
        <v>35408</v>
      </c>
      <c r="D726" s="67">
        <v>23</v>
      </c>
      <c r="E726" s="67">
        <v>11</v>
      </c>
      <c r="F726" s="67">
        <v>5</v>
      </c>
      <c r="G726" s="67">
        <v>4</v>
      </c>
      <c r="H726" s="67">
        <v>60</v>
      </c>
      <c r="I726" s="67">
        <v>13</v>
      </c>
      <c r="J726" s="67">
        <v>43</v>
      </c>
      <c r="K726" s="77">
        <v>3.7719298245614034E-2</v>
      </c>
      <c r="L726" s="67">
        <v>73</v>
      </c>
    </row>
    <row r="727" spans="1:12" x14ac:dyDescent="0.3">
      <c r="A727" s="76">
        <v>46288</v>
      </c>
      <c r="B727" s="67">
        <v>1068</v>
      </c>
      <c r="C727" s="67">
        <v>27851</v>
      </c>
      <c r="D727" s="67">
        <v>32</v>
      </c>
      <c r="E727" s="67">
        <v>15</v>
      </c>
      <c r="F727" s="67">
        <v>4</v>
      </c>
      <c r="G727" s="67">
        <v>4</v>
      </c>
      <c r="H727" s="67">
        <v>69</v>
      </c>
      <c r="I727" s="67">
        <v>8</v>
      </c>
      <c r="J727" s="67">
        <v>55</v>
      </c>
      <c r="K727" s="77">
        <v>5.1498127340823971E-2</v>
      </c>
      <c r="L727" s="67">
        <v>77</v>
      </c>
    </row>
    <row r="728" spans="1:12" x14ac:dyDescent="0.3">
      <c r="A728" s="76">
        <v>46289</v>
      </c>
      <c r="B728" s="67">
        <v>1220</v>
      </c>
      <c r="C728" s="67">
        <v>23421</v>
      </c>
      <c r="D728" s="67">
        <v>37</v>
      </c>
      <c r="E728" s="67">
        <v>13</v>
      </c>
      <c r="F728" s="67">
        <v>3</v>
      </c>
      <c r="G728" s="67">
        <v>4</v>
      </c>
      <c r="H728" s="67">
        <v>106</v>
      </c>
      <c r="I728" s="67">
        <v>13</v>
      </c>
      <c r="J728" s="67">
        <v>57</v>
      </c>
      <c r="K728" s="77">
        <v>4.6721311475409838E-2</v>
      </c>
      <c r="L728" s="67">
        <v>119</v>
      </c>
    </row>
    <row r="729" spans="1:12" x14ac:dyDescent="0.3">
      <c r="A729" s="76">
        <v>46290</v>
      </c>
      <c r="B729" s="67">
        <v>969</v>
      </c>
      <c r="C729" s="67">
        <v>17997</v>
      </c>
      <c r="D729" s="67">
        <v>28</v>
      </c>
      <c r="E729" s="67">
        <v>20</v>
      </c>
      <c r="F729" s="67">
        <v>4</v>
      </c>
      <c r="G729" s="67">
        <v>3</v>
      </c>
      <c r="H729" s="67">
        <v>72</v>
      </c>
      <c r="I729" s="67">
        <v>12</v>
      </c>
      <c r="J729" s="67">
        <v>55</v>
      </c>
      <c r="K729" s="77">
        <v>5.6759545923632609E-2</v>
      </c>
      <c r="L729" s="67">
        <v>84</v>
      </c>
    </row>
    <row r="730" spans="1:12" x14ac:dyDescent="0.3">
      <c r="A730" s="76">
        <v>46291</v>
      </c>
      <c r="B730" s="67">
        <v>1529</v>
      </c>
      <c r="C730" s="67">
        <v>49535</v>
      </c>
      <c r="D730" s="67">
        <v>41</v>
      </c>
      <c r="E730" s="67">
        <v>14</v>
      </c>
      <c r="F730" s="67">
        <v>7</v>
      </c>
      <c r="G730" s="67">
        <v>7</v>
      </c>
      <c r="H730" s="67">
        <v>97</v>
      </c>
      <c r="I730" s="67">
        <v>12</v>
      </c>
      <c r="J730" s="67">
        <v>69</v>
      </c>
      <c r="K730" s="77">
        <v>4.5127534336167431E-2</v>
      </c>
      <c r="L730" s="67">
        <v>109</v>
      </c>
    </row>
    <row r="731" spans="1:12" x14ac:dyDescent="0.3">
      <c r="A731" s="76">
        <v>46292</v>
      </c>
      <c r="B731" s="67">
        <v>1382</v>
      </c>
      <c r="C731" s="67">
        <v>42400</v>
      </c>
      <c r="D731" s="67">
        <v>42</v>
      </c>
      <c r="E731" s="67">
        <v>19</v>
      </c>
      <c r="F731" s="67">
        <v>6</v>
      </c>
      <c r="G731" s="67">
        <v>5</v>
      </c>
      <c r="H731" s="67">
        <v>78</v>
      </c>
      <c r="I731" s="67">
        <v>15</v>
      </c>
      <c r="J731" s="67">
        <v>72</v>
      </c>
      <c r="K731" s="77">
        <v>5.2098408104196817E-2</v>
      </c>
      <c r="L731" s="67">
        <v>93</v>
      </c>
    </row>
    <row r="732" spans="1:12" x14ac:dyDescent="0.3">
      <c r="A732" s="76">
        <v>46293</v>
      </c>
      <c r="B732" s="67">
        <v>1001</v>
      </c>
      <c r="C732" s="67">
        <v>19211</v>
      </c>
      <c r="D732" s="67">
        <v>37</v>
      </c>
      <c r="E732" s="67">
        <v>13</v>
      </c>
      <c r="F732" s="67">
        <v>4</v>
      </c>
      <c r="G732" s="67">
        <v>3</v>
      </c>
      <c r="H732" s="67">
        <v>64</v>
      </c>
      <c r="I732" s="67">
        <v>12</v>
      </c>
      <c r="J732" s="67">
        <v>57</v>
      </c>
      <c r="K732" s="77">
        <v>5.6943056943056944E-2</v>
      </c>
      <c r="L732" s="67">
        <v>76</v>
      </c>
    </row>
    <row r="733" spans="1:12" x14ac:dyDescent="0.3">
      <c r="A733" s="76">
        <v>46294</v>
      </c>
      <c r="B733" s="67">
        <v>1019</v>
      </c>
      <c r="C733" s="67">
        <v>28439</v>
      </c>
      <c r="D733" s="67">
        <v>35</v>
      </c>
      <c r="E733" s="67">
        <v>14</v>
      </c>
      <c r="F733" s="67">
        <v>6</v>
      </c>
      <c r="G733" s="67">
        <v>5</v>
      </c>
      <c r="H733" s="67">
        <v>54</v>
      </c>
      <c r="I733" s="67">
        <v>8</v>
      </c>
      <c r="J733" s="67">
        <v>60</v>
      </c>
      <c r="K733" s="77">
        <v>5.8881256133464184E-2</v>
      </c>
      <c r="L733" s="67">
        <v>62</v>
      </c>
    </row>
    <row r="734" spans="1:12" x14ac:dyDescent="0.3">
      <c r="A734" s="76">
        <v>46295</v>
      </c>
      <c r="B734" s="67">
        <v>1135</v>
      </c>
      <c r="C734" s="67">
        <v>34043</v>
      </c>
      <c r="D734" s="67">
        <v>23</v>
      </c>
      <c r="E734" s="67">
        <v>13</v>
      </c>
      <c r="F734" s="67">
        <v>4</v>
      </c>
      <c r="G734" s="67">
        <v>4</v>
      </c>
      <c r="H734" s="67">
        <v>79</v>
      </c>
      <c r="I734" s="67">
        <v>12</v>
      </c>
      <c r="J734" s="67">
        <v>44</v>
      </c>
      <c r="K734" s="77">
        <v>3.8766519823788544E-2</v>
      </c>
      <c r="L734" s="67">
        <v>91</v>
      </c>
    </row>
    <row r="735" spans="1:12" x14ac:dyDescent="0.3">
      <c r="A735" s="76">
        <v>46296</v>
      </c>
      <c r="B735" s="67">
        <v>926</v>
      </c>
      <c r="C735" s="67">
        <v>21875</v>
      </c>
      <c r="D735" s="67">
        <v>34</v>
      </c>
      <c r="E735" s="67">
        <v>11</v>
      </c>
      <c r="F735" s="67">
        <v>4</v>
      </c>
      <c r="G735" s="67">
        <v>6</v>
      </c>
      <c r="H735" s="67">
        <v>60</v>
      </c>
      <c r="I735" s="67">
        <v>9</v>
      </c>
      <c r="J735" s="67">
        <v>55</v>
      </c>
      <c r="K735" s="77">
        <v>5.9395248380129592E-2</v>
      </c>
      <c r="L735" s="67">
        <v>69</v>
      </c>
    </row>
    <row r="736" spans="1:12" x14ac:dyDescent="0.3">
      <c r="A736" s="76">
        <v>46297</v>
      </c>
      <c r="B736" s="67">
        <v>1192</v>
      </c>
      <c r="C736" s="67">
        <v>24450</v>
      </c>
      <c r="D736" s="67">
        <v>41</v>
      </c>
      <c r="E736" s="67">
        <v>18</v>
      </c>
      <c r="F736" s="67">
        <v>4</v>
      </c>
      <c r="G736" s="67">
        <v>4</v>
      </c>
      <c r="H736" s="67">
        <v>77</v>
      </c>
      <c r="I736" s="67">
        <v>11</v>
      </c>
      <c r="J736" s="67">
        <v>67</v>
      </c>
      <c r="K736" s="77">
        <v>5.620805369127517E-2</v>
      </c>
      <c r="L736" s="67">
        <v>88</v>
      </c>
    </row>
    <row r="737" spans="1:12" x14ac:dyDescent="0.3">
      <c r="A737" s="76">
        <v>46298</v>
      </c>
      <c r="B737" s="67">
        <v>1419</v>
      </c>
      <c r="C737" s="67">
        <v>51346</v>
      </c>
      <c r="D737" s="67">
        <v>38</v>
      </c>
      <c r="E737" s="67">
        <v>18</v>
      </c>
      <c r="F737" s="67">
        <v>6</v>
      </c>
      <c r="G737" s="67">
        <v>6</v>
      </c>
      <c r="H737" s="67">
        <v>75</v>
      </c>
      <c r="I737" s="67">
        <v>12</v>
      </c>
      <c r="J737" s="67">
        <v>68</v>
      </c>
      <c r="K737" s="77">
        <v>4.7921071176885127E-2</v>
      </c>
      <c r="L737" s="67">
        <v>87</v>
      </c>
    </row>
    <row r="738" spans="1:12" x14ac:dyDescent="0.3">
      <c r="A738" s="76">
        <v>46299</v>
      </c>
      <c r="B738" s="67">
        <v>1241</v>
      </c>
      <c r="C738" s="67">
        <v>40208</v>
      </c>
      <c r="D738" s="67">
        <v>35</v>
      </c>
      <c r="E738" s="67">
        <v>11</v>
      </c>
      <c r="F738" s="67">
        <v>3</v>
      </c>
      <c r="G738" s="67">
        <v>5</v>
      </c>
      <c r="H738" s="67">
        <v>89</v>
      </c>
      <c r="I738" s="67">
        <v>15</v>
      </c>
      <c r="J738" s="67">
        <v>54</v>
      </c>
      <c r="K738" s="77">
        <v>4.3513295729250605E-2</v>
      </c>
      <c r="L738" s="67">
        <v>104</v>
      </c>
    </row>
    <row r="739" spans="1:12" x14ac:dyDescent="0.3">
      <c r="A739" s="76">
        <v>46300</v>
      </c>
      <c r="B739" s="67">
        <v>1081</v>
      </c>
      <c r="C739" s="67">
        <v>37775</v>
      </c>
      <c r="D739" s="67">
        <v>34</v>
      </c>
      <c r="E739" s="67">
        <v>12</v>
      </c>
      <c r="F739" s="67">
        <v>4</v>
      </c>
      <c r="G739" s="67">
        <v>5</v>
      </c>
      <c r="H739" s="67">
        <v>71</v>
      </c>
      <c r="I739" s="67">
        <v>9</v>
      </c>
      <c r="J739" s="67">
        <v>55</v>
      </c>
      <c r="K739" s="77">
        <v>5.0878815911193337E-2</v>
      </c>
      <c r="L739" s="67">
        <v>80</v>
      </c>
    </row>
    <row r="740" spans="1:12" x14ac:dyDescent="0.3">
      <c r="A740" s="76">
        <v>46301</v>
      </c>
      <c r="B740" s="67">
        <v>1119</v>
      </c>
      <c r="C740" s="67">
        <v>25880</v>
      </c>
      <c r="D740" s="67">
        <v>45</v>
      </c>
      <c r="E740" s="67">
        <v>19</v>
      </c>
      <c r="F740" s="67">
        <v>5</v>
      </c>
      <c r="G740" s="67">
        <v>5</v>
      </c>
      <c r="H740" s="67">
        <v>77</v>
      </c>
      <c r="I740" s="67">
        <v>8</v>
      </c>
      <c r="J740" s="67">
        <v>74</v>
      </c>
      <c r="K740" s="77">
        <v>6.6130473637176043E-2</v>
      </c>
      <c r="L740" s="67">
        <v>85</v>
      </c>
    </row>
    <row r="741" spans="1:12" x14ac:dyDescent="0.3">
      <c r="A741" s="76">
        <v>46302</v>
      </c>
      <c r="B741" s="67">
        <v>948</v>
      </c>
      <c r="C741" s="67">
        <v>32039</v>
      </c>
      <c r="D741" s="67">
        <v>44</v>
      </c>
      <c r="E741" s="67">
        <v>17</v>
      </c>
      <c r="F741" s="67">
        <v>4</v>
      </c>
      <c r="G741" s="67">
        <v>3</v>
      </c>
      <c r="H741" s="67">
        <v>45</v>
      </c>
      <c r="I741" s="67">
        <v>9</v>
      </c>
      <c r="J741" s="67">
        <v>68</v>
      </c>
      <c r="K741" s="77">
        <v>7.1729957805907171E-2</v>
      </c>
      <c r="L741" s="67">
        <v>54</v>
      </c>
    </row>
    <row r="742" spans="1:12" x14ac:dyDescent="0.3">
      <c r="A742" s="76">
        <v>46303</v>
      </c>
      <c r="B742" s="67">
        <v>1521</v>
      </c>
      <c r="C742" s="67">
        <v>43731</v>
      </c>
      <c r="D742" s="67">
        <v>35</v>
      </c>
      <c r="E742" s="67">
        <v>24</v>
      </c>
      <c r="F742" s="67">
        <v>5</v>
      </c>
      <c r="G742" s="67">
        <v>7</v>
      </c>
      <c r="H742" s="67">
        <v>111</v>
      </c>
      <c r="I742" s="67">
        <v>21</v>
      </c>
      <c r="J742" s="67">
        <v>71</v>
      </c>
      <c r="K742" s="77">
        <v>4.6679815910585142E-2</v>
      </c>
      <c r="L742" s="67">
        <v>132</v>
      </c>
    </row>
    <row r="743" spans="1:12" x14ac:dyDescent="0.3">
      <c r="A743" s="76">
        <v>46304</v>
      </c>
      <c r="B743" s="67">
        <v>1151</v>
      </c>
      <c r="C743" s="67">
        <v>21771</v>
      </c>
      <c r="D743" s="67">
        <v>40</v>
      </c>
      <c r="E743" s="67">
        <v>24</v>
      </c>
      <c r="F743" s="67">
        <v>5</v>
      </c>
      <c r="G743" s="67">
        <v>7</v>
      </c>
      <c r="H743" s="67">
        <v>83</v>
      </c>
      <c r="I743" s="67">
        <v>10</v>
      </c>
      <c r="J743" s="67">
        <v>76</v>
      </c>
      <c r="K743" s="77">
        <v>6.6029539530842743E-2</v>
      </c>
      <c r="L743" s="67">
        <v>93</v>
      </c>
    </row>
    <row r="744" spans="1:12" x14ac:dyDescent="0.3">
      <c r="A744" s="76">
        <v>46305</v>
      </c>
      <c r="B744" s="67">
        <v>1498</v>
      </c>
      <c r="C744" s="67">
        <v>49489</v>
      </c>
      <c r="D744" s="67">
        <v>42</v>
      </c>
      <c r="E744" s="67">
        <v>21</v>
      </c>
      <c r="F744" s="67">
        <v>6</v>
      </c>
      <c r="G744" s="67">
        <v>7</v>
      </c>
      <c r="H744" s="67">
        <v>94</v>
      </c>
      <c r="I744" s="67">
        <v>18</v>
      </c>
      <c r="J744" s="67">
        <v>76</v>
      </c>
      <c r="K744" s="77">
        <v>5.0734312416555405E-2</v>
      </c>
      <c r="L744" s="67">
        <v>112</v>
      </c>
    </row>
    <row r="745" spans="1:12" x14ac:dyDescent="0.3">
      <c r="A745" s="76">
        <v>46306</v>
      </c>
      <c r="B745" s="67">
        <v>1057</v>
      </c>
      <c r="C745" s="67">
        <v>33254</v>
      </c>
      <c r="D745" s="67">
        <v>31</v>
      </c>
      <c r="E745" s="67">
        <v>15</v>
      </c>
      <c r="F745" s="67">
        <v>4</v>
      </c>
      <c r="G745" s="67">
        <v>4</v>
      </c>
      <c r="H745" s="67">
        <v>89</v>
      </c>
      <c r="I745" s="67">
        <v>7</v>
      </c>
      <c r="J745" s="67">
        <v>54</v>
      </c>
      <c r="K745" s="77">
        <v>5.1087984862819298E-2</v>
      </c>
      <c r="L745" s="67">
        <v>96</v>
      </c>
    </row>
    <row r="746" spans="1:12" x14ac:dyDescent="0.3">
      <c r="A746" s="76">
        <v>46307</v>
      </c>
      <c r="B746" s="67">
        <v>1209</v>
      </c>
      <c r="C746" s="67">
        <v>35549</v>
      </c>
      <c r="D746" s="67">
        <v>35</v>
      </c>
      <c r="E746" s="67">
        <v>18</v>
      </c>
      <c r="F746" s="67">
        <v>3</v>
      </c>
      <c r="G746" s="67">
        <v>4</v>
      </c>
      <c r="H746" s="67">
        <v>56</v>
      </c>
      <c r="I746" s="67">
        <v>9</v>
      </c>
      <c r="J746" s="67">
        <v>60</v>
      </c>
      <c r="K746" s="77">
        <v>4.9627791563275438E-2</v>
      </c>
      <c r="L746" s="67">
        <v>65</v>
      </c>
    </row>
    <row r="747" spans="1:12" x14ac:dyDescent="0.3">
      <c r="A747" s="76">
        <v>46308</v>
      </c>
      <c r="B747" s="67">
        <v>795</v>
      </c>
      <c r="C747" s="67">
        <v>27632</v>
      </c>
      <c r="D747" s="67">
        <v>22</v>
      </c>
      <c r="E747" s="67">
        <v>10</v>
      </c>
      <c r="F747" s="67">
        <v>3</v>
      </c>
      <c r="G747" s="67">
        <v>4</v>
      </c>
      <c r="H747" s="67">
        <v>44</v>
      </c>
      <c r="I747" s="67">
        <v>7</v>
      </c>
      <c r="J747" s="67">
        <v>39</v>
      </c>
      <c r="K747" s="77">
        <v>4.9056603773584909E-2</v>
      </c>
      <c r="L747" s="67">
        <v>51</v>
      </c>
    </row>
    <row r="748" spans="1:12" x14ac:dyDescent="0.3">
      <c r="A748" s="76">
        <v>46309</v>
      </c>
      <c r="B748" s="67">
        <v>849</v>
      </c>
      <c r="C748" s="67">
        <v>21680</v>
      </c>
      <c r="D748" s="67">
        <v>34</v>
      </c>
      <c r="E748" s="67">
        <v>12</v>
      </c>
      <c r="F748" s="67">
        <v>3</v>
      </c>
      <c r="G748" s="67">
        <v>3</v>
      </c>
      <c r="H748" s="67">
        <v>37</v>
      </c>
      <c r="I748" s="67">
        <v>9</v>
      </c>
      <c r="J748" s="67">
        <v>52</v>
      </c>
      <c r="K748" s="77">
        <v>6.1248527679623084E-2</v>
      </c>
      <c r="L748" s="67">
        <v>46</v>
      </c>
    </row>
    <row r="749" spans="1:12" x14ac:dyDescent="0.3">
      <c r="A749" s="76">
        <v>46310</v>
      </c>
      <c r="B749" s="67">
        <v>829</v>
      </c>
      <c r="C749" s="67">
        <v>20207</v>
      </c>
      <c r="D749" s="67">
        <v>22</v>
      </c>
      <c r="E749" s="67">
        <v>8</v>
      </c>
      <c r="F749" s="67">
        <v>4</v>
      </c>
      <c r="G749" s="67">
        <v>4</v>
      </c>
      <c r="H749" s="67">
        <v>47</v>
      </c>
      <c r="I749" s="67">
        <v>9</v>
      </c>
      <c r="J749" s="67">
        <v>38</v>
      </c>
      <c r="K749" s="77">
        <v>4.5838359469240045E-2</v>
      </c>
      <c r="L749" s="67">
        <v>56</v>
      </c>
    </row>
    <row r="750" spans="1:12" x14ac:dyDescent="0.3">
      <c r="A750" s="76">
        <v>46311</v>
      </c>
      <c r="B750" s="67">
        <v>904</v>
      </c>
      <c r="C750" s="67">
        <v>27867</v>
      </c>
      <c r="D750" s="67">
        <v>34</v>
      </c>
      <c r="E750" s="67">
        <v>13</v>
      </c>
      <c r="F750" s="67">
        <v>5</v>
      </c>
      <c r="G750" s="67">
        <v>3</v>
      </c>
      <c r="H750" s="67">
        <v>60</v>
      </c>
      <c r="I750" s="67">
        <v>11</v>
      </c>
      <c r="J750" s="67">
        <v>55</v>
      </c>
      <c r="K750" s="77">
        <v>6.0840707964601767E-2</v>
      </c>
      <c r="L750" s="67">
        <v>71</v>
      </c>
    </row>
    <row r="751" spans="1:12" x14ac:dyDescent="0.3">
      <c r="A751" s="76">
        <v>46312</v>
      </c>
      <c r="B751" s="67">
        <v>906</v>
      </c>
      <c r="C751" s="67">
        <v>17414</v>
      </c>
      <c r="D751" s="67">
        <v>28</v>
      </c>
      <c r="E751" s="67">
        <v>11</v>
      </c>
      <c r="F751" s="67">
        <v>4</v>
      </c>
      <c r="G751" s="67">
        <v>3</v>
      </c>
      <c r="H751" s="67">
        <v>58</v>
      </c>
      <c r="I751" s="67">
        <v>10</v>
      </c>
      <c r="J751" s="67">
        <v>46</v>
      </c>
      <c r="K751" s="77">
        <v>5.0772626931567331E-2</v>
      </c>
      <c r="L751" s="67">
        <v>68</v>
      </c>
    </row>
    <row r="752" spans="1:12" x14ac:dyDescent="0.3">
      <c r="A752" s="76">
        <v>46313</v>
      </c>
      <c r="B752" s="67">
        <v>1169</v>
      </c>
      <c r="C752" s="67">
        <v>37892</v>
      </c>
      <c r="D752" s="67">
        <v>21</v>
      </c>
      <c r="E752" s="67">
        <v>17</v>
      </c>
      <c r="F752" s="67">
        <v>4</v>
      </c>
      <c r="G752" s="67">
        <v>5</v>
      </c>
      <c r="H752" s="67">
        <v>78</v>
      </c>
      <c r="I752" s="67">
        <v>8</v>
      </c>
      <c r="J752" s="67">
        <v>47</v>
      </c>
      <c r="K752" s="77">
        <v>4.0205303678357569E-2</v>
      </c>
      <c r="L752" s="67">
        <v>86</v>
      </c>
    </row>
    <row r="753" spans="1:12" x14ac:dyDescent="0.3">
      <c r="A753" s="76">
        <v>46314</v>
      </c>
      <c r="B753" s="67">
        <v>1007</v>
      </c>
      <c r="C753" s="67">
        <v>19251</v>
      </c>
      <c r="D753" s="67">
        <v>22</v>
      </c>
      <c r="E753" s="67">
        <v>21</v>
      </c>
      <c r="F753" s="67">
        <v>4</v>
      </c>
      <c r="G753" s="67">
        <v>4</v>
      </c>
      <c r="H753" s="67">
        <v>62</v>
      </c>
      <c r="I753" s="67">
        <v>10</v>
      </c>
      <c r="J753" s="67">
        <v>51</v>
      </c>
      <c r="K753" s="77">
        <v>5.0645481628599803E-2</v>
      </c>
      <c r="L753" s="67">
        <v>72</v>
      </c>
    </row>
    <row r="754" spans="1:12" x14ac:dyDescent="0.3">
      <c r="A754" s="76">
        <v>46315</v>
      </c>
      <c r="B754" s="67">
        <v>1106</v>
      </c>
      <c r="C754" s="67">
        <v>26064</v>
      </c>
      <c r="D754" s="67">
        <v>46</v>
      </c>
      <c r="E754" s="67">
        <v>20</v>
      </c>
      <c r="F754" s="67">
        <v>4</v>
      </c>
      <c r="G754" s="67">
        <v>5</v>
      </c>
      <c r="H754" s="67">
        <v>66</v>
      </c>
      <c r="I754" s="67">
        <v>12</v>
      </c>
      <c r="J754" s="67">
        <v>75</v>
      </c>
      <c r="K754" s="77">
        <v>6.7811934900542492E-2</v>
      </c>
      <c r="L754" s="67">
        <v>78</v>
      </c>
    </row>
    <row r="755" spans="1:12" x14ac:dyDescent="0.3">
      <c r="A755" s="76">
        <v>46316</v>
      </c>
      <c r="B755" s="67">
        <v>1021</v>
      </c>
      <c r="C755" s="67">
        <v>28490</v>
      </c>
      <c r="D755" s="67">
        <v>46</v>
      </c>
      <c r="E755" s="67">
        <v>16</v>
      </c>
      <c r="F755" s="67">
        <v>3</v>
      </c>
      <c r="G755" s="67">
        <v>4</v>
      </c>
      <c r="H755" s="67">
        <v>81</v>
      </c>
      <c r="I755" s="67">
        <v>8</v>
      </c>
      <c r="J755" s="67">
        <v>69</v>
      </c>
      <c r="K755" s="77">
        <v>6.7580803134182174E-2</v>
      </c>
      <c r="L755" s="67">
        <v>89</v>
      </c>
    </row>
    <row r="756" spans="1:12" x14ac:dyDescent="0.3">
      <c r="A756" s="76">
        <v>46317</v>
      </c>
      <c r="B756" s="67">
        <v>1017</v>
      </c>
      <c r="C756" s="67">
        <v>30690</v>
      </c>
      <c r="D756" s="67">
        <v>45</v>
      </c>
      <c r="E756" s="67">
        <v>15</v>
      </c>
      <c r="F756" s="67">
        <v>3</v>
      </c>
      <c r="G756" s="67">
        <v>4</v>
      </c>
      <c r="H756" s="67">
        <v>70</v>
      </c>
      <c r="I756" s="67">
        <v>10</v>
      </c>
      <c r="J756" s="67">
        <v>67</v>
      </c>
      <c r="K756" s="77">
        <v>6.5880039331366769E-2</v>
      </c>
      <c r="L756" s="67">
        <v>80</v>
      </c>
    </row>
    <row r="757" spans="1:12" x14ac:dyDescent="0.3">
      <c r="A757" s="76">
        <v>46318</v>
      </c>
      <c r="B757" s="67">
        <v>906</v>
      </c>
      <c r="C757" s="67">
        <v>15541</v>
      </c>
      <c r="D757" s="67">
        <v>31</v>
      </c>
      <c r="E757" s="67">
        <v>11</v>
      </c>
      <c r="F757" s="67">
        <v>4</v>
      </c>
      <c r="G757" s="67">
        <v>4</v>
      </c>
      <c r="H757" s="67">
        <v>59</v>
      </c>
      <c r="I757" s="67">
        <v>8</v>
      </c>
      <c r="J757" s="67">
        <v>50</v>
      </c>
      <c r="K757" s="77">
        <v>5.518763796909492E-2</v>
      </c>
      <c r="L757" s="67">
        <v>67</v>
      </c>
    </row>
  </sheetData>
  <phoneticPr fontId="1" type="noConversion"/>
  <dataValidations count="3">
    <dataValidation allowBlank="1" showInputMessage="1" showErrorMessage="1" prompt="Likes + Saves + Comments + Shares" sqref="K2" xr:uid="{14E6A7FF-A640-4CF5-85C2-9DA3EFAF2476}"/>
    <dataValidation allowBlank="1" showInputMessage="1" showErrorMessage="1" prompt="Profile Visits + New Followers" sqref="L2" xr:uid="{081E390F-45D7-40E9-BFBC-F69022DD563B}"/>
    <dataValidation allowBlank="1" showInputMessage="1" showErrorMessage="1" prompt="Likes + Saves + Comments + Shares" sqref="J2" xr:uid="{1C721686-2B19-4711-B71A-8CC195E58A0D}"/>
  </dataValidations>
  <pageMargins left="0.7" right="0.7" top="0.75" bottom="0.75" header="0.3" footer="0.3"/>
  <ignoredErrors>
    <ignoredError sqref="J3:K4 L3:L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9520-6823-49CC-ACD9-6627972909B9}">
  <dimension ref="A1:L701"/>
  <sheetViews>
    <sheetView workbookViewId="0">
      <selection activeCell="B2" sqref="B2"/>
    </sheetView>
  </sheetViews>
  <sheetFormatPr baseColWidth="10" defaultRowHeight="14.4" x14ac:dyDescent="0.3"/>
  <cols>
    <col min="1" max="1" width="13" style="34" bestFit="1" customWidth="1"/>
    <col min="2" max="2" width="16.88671875" style="19" bestFit="1" customWidth="1"/>
    <col min="3" max="3" width="20.33203125" style="19" customWidth="1"/>
    <col min="4" max="4" width="8.21875" style="19" bestFit="1" customWidth="1"/>
    <col min="5" max="5" width="7.109375" style="19" bestFit="1" customWidth="1"/>
    <col min="6" max="6" width="11.6640625" style="19" bestFit="1" customWidth="1"/>
    <col min="7" max="7" width="8" style="19" bestFit="1" customWidth="1"/>
    <col min="8" max="8" width="13.44140625" style="19" bestFit="1" customWidth="1"/>
    <col min="9" max="9" width="14.6640625" style="19" bestFit="1" customWidth="1"/>
    <col min="10" max="10" width="12.5546875" style="19" bestFit="1" customWidth="1"/>
    <col min="11" max="11" width="16.88671875" style="19" bestFit="1" customWidth="1"/>
    <col min="12" max="12" width="16" style="19" customWidth="1"/>
  </cols>
  <sheetData>
    <row r="1" spans="1:12" ht="18.600000000000001" thickBot="1" x14ac:dyDescent="0.35">
      <c r="A1" s="22" t="s">
        <v>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A2" s="19" t="s">
        <v>9</v>
      </c>
      <c r="B2" s="19" t="s">
        <v>11</v>
      </c>
      <c r="C2" s="19" t="s">
        <v>57</v>
      </c>
      <c r="D2" s="19" t="s">
        <v>14</v>
      </c>
      <c r="E2" s="19" t="s">
        <v>16</v>
      </c>
      <c r="F2" s="19" t="s">
        <v>18</v>
      </c>
      <c r="G2" s="19" t="s">
        <v>19</v>
      </c>
      <c r="H2" s="19" t="s">
        <v>21</v>
      </c>
      <c r="I2" s="19" t="s">
        <v>23</v>
      </c>
      <c r="J2" s="19" t="s">
        <v>24</v>
      </c>
      <c r="K2" s="19" t="s">
        <v>25</v>
      </c>
      <c r="L2" s="19" t="s">
        <v>26</v>
      </c>
    </row>
    <row r="3" spans="1:12" x14ac:dyDescent="0.3">
      <c r="A3" s="34" cm="1">
        <f t="array" ref="A3:A32">IFERROR(_xlfn._xlws.SORT(_xlfn._xlws.FILTER(DataTbl[Date],(DataTbl[Date]&gt;=Dashboard!$D$7)*(DataTbl[Date]&lt;=Dashboard!$E$7))),"")</f>
        <v>46289</v>
      </c>
      <c r="B3" s="19" cm="1">
        <f t="array" ref="B3:B32">IFERROR(_xlfn.XLOOKUP(_xlfn.ANCHORARRAY(A3),DataTbl[Date],DataTbl[Views]),"")</f>
        <v>1220</v>
      </c>
      <c r="C3" s="19" cm="1">
        <f t="array" ref="C3:C32">IFERROR(_xlfn.XLOOKUP(_xlfn.ANCHORARRAY(A3),DataTbl[Date],DataTbl[Total Watch Time (s)]),"")</f>
        <v>23421</v>
      </c>
      <c r="D3" s="19" cm="1">
        <f t="array" ref="D3:D32">IFERROR(_xlfn.XLOOKUP(_xlfn.ANCHORARRAY(A3),DataTbl[Date],DataTbl[Likes]),"")</f>
        <v>37</v>
      </c>
      <c r="E3" s="19" cm="1">
        <f t="array" ref="E3:E32">IFERROR(_xlfn.XLOOKUP(_xlfn.ANCHORARRAY($A$3),DataTbl[Date],DataTbl[Saves]),"")</f>
        <v>13</v>
      </c>
      <c r="F3" s="19" cm="1">
        <f t="array" ref="F3:F32">IFERROR(_xlfn.XLOOKUP(_xlfn.ANCHORARRAY($A$3),DataTbl[Date],DataTbl[Comments]),"")</f>
        <v>3</v>
      </c>
      <c r="G3" s="19" cm="1">
        <f t="array" ref="G3:G32">IFERROR(_xlfn.XLOOKUP(_xlfn.ANCHORARRAY($A$3),DataTbl[Date],DataTbl[Shares]),"")</f>
        <v>4</v>
      </c>
      <c r="H3" s="19" cm="1">
        <f t="array" ref="H3:H32">IFERROR(_xlfn.XLOOKUP(_xlfn.ANCHORARRAY($A$3),DataTbl[Date],DataTbl[Profile Visits]),"")</f>
        <v>106</v>
      </c>
      <c r="I3" s="19" cm="1">
        <f t="array" ref="I3:I32">IFERROR(_xlfn.XLOOKUP(_xlfn.ANCHORARRAY($A$3),DataTbl[Date],DataTbl[New Followers]),"")</f>
        <v>13</v>
      </c>
      <c r="J3" s="19" cm="1">
        <f t="array" ref="J3:J32">IFERROR(_xlfn.XLOOKUP(_xlfn.ANCHORARRAY($A$3),DataTbl[Date],DataTbl[Engagement]),"")</f>
        <v>57</v>
      </c>
      <c r="K3" s="21" cm="1">
        <f t="array" ref="K3:K32">IFERROR(_xlfn.XLOOKUP(_xlfn.ANCHORARRAY($A$3),DataTbl[Date],DataTbl[Engagement Rate]),"")</f>
        <v>4.6721311475409838E-2</v>
      </c>
      <c r="L3" s="19" cm="1">
        <f t="array" ref="L3:L32">IFERROR(_xlfn.XLOOKUP(_xlfn.ANCHORARRAY($A$3),DataTbl[Date],DataTbl[Brand Awareness]),"")</f>
        <v>119</v>
      </c>
    </row>
    <row r="4" spans="1:12" x14ac:dyDescent="0.3">
      <c r="A4" s="34">
        <v>46290</v>
      </c>
      <c r="B4" s="19">
        <v>969</v>
      </c>
      <c r="C4" s="19">
        <v>17997</v>
      </c>
      <c r="D4" s="19">
        <v>28</v>
      </c>
      <c r="E4" s="19">
        <v>20</v>
      </c>
      <c r="F4" s="19">
        <v>4</v>
      </c>
      <c r="G4" s="19">
        <v>3</v>
      </c>
      <c r="H4" s="19">
        <v>72</v>
      </c>
      <c r="I4" s="19">
        <v>12</v>
      </c>
      <c r="J4" s="19">
        <v>55</v>
      </c>
      <c r="K4" s="20">
        <v>5.6759545923632609E-2</v>
      </c>
      <c r="L4" s="19">
        <v>84</v>
      </c>
    </row>
    <row r="5" spans="1:12" x14ac:dyDescent="0.3">
      <c r="A5" s="34">
        <v>46291</v>
      </c>
      <c r="B5" s="19">
        <v>1529</v>
      </c>
      <c r="C5" s="19">
        <v>49535</v>
      </c>
      <c r="D5" s="19">
        <v>41</v>
      </c>
      <c r="E5" s="19">
        <v>14</v>
      </c>
      <c r="F5" s="19">
        <v>7</v>
      </c>
      <c r="G5" s="19">
        <v>7</v>
      </c>
      <c r="H5" s="19">
        <v>97</v>
      </c>
      <c r="I5" s="19">
        <v>12</v>
      </c>
      <c r="J5" s="19">
        <v>69</v>
      </c>
      <c r="K5" s="20">
        <v>4.5127534336167431E-2</v>
      </c>
      <c r="L5" s="19">
        <v>109</v>
      </c>
    </row>
    <row r="6" spans="1:12" x14ac:dyDescent="0.3">
      <c r="A6" s="34">
        <v>46292</v>
      </c>
      <c r="B6" s="19">
        <v>1382</v>
      </c>
      <c r="C6" s="19">
        <v>42400</v>
      </c>
      <c r="D6" s="19">
        <v>42</v>
      </c>
      <c r="E6" s="19">
        <v>19</v>
      </c>
      <c r="F6" s="19">
        <v>6</v>
      </c>
      <c r="G6" s="19">
        <v>5</v>
      </c>
      <c r="H6" s="19">
        <v>78</v>
      </c>
      <c r="I6" s="19">
        <v>15</v>
      </c>
      <c r="J6" s="19">
        <v>72</v>
      </c>
      <c r="K6" s="20">
        <v>5.2098408104196817E-2</v>
      </c>
      <c r="L6" s="19">
        <v>93</v>
      </c>
    </row>
    <row r="7" spans="1:12" x14ac:dyDescent="0.3">
      <c r="A7" s="34">
        <v>46293</v>
      </c>
      <c r="B7" s="19">
        <v>1001</v>
      </c>
      <c r="C7" s="19">
        <v>19211</v>
      </c>
      <c r="D7" s="19">
        <v>37</v>
      </c>
      <c r="E7" s="19">
        <v>13</v>
      </c>
      <c r="F7" s="19">
        <v>4</v>
      </c>
      <c r="G7" s="19">
        <v>3</v>
      </c>
      <c r="H7" s="19">
        <v>64</v>
      </c>
      <c r="I7" s="19">
        <v>12</v>
      </c>
      <c r="J7" s="19">
        <v>57</v>
      </c>
      <c r="K7" s="20">
        <v>5.6943056943056944E-2</v>
      </c>
      <c r="L7" s="19">
        <v>76</v>
      </c>
    </row>
    <row r="8" spans="1:12" x14ac:dyDescent="0.3">
      <c r="A8" s="34">
        <v>46294</v>
      </c>
      <c r="B8" s="19">
        <v>1019</v>
      </c>
      <c r="C8" s="19">
        <v>28439</v>
      </c>
      <c r="D8" s="19">
        <v>35</v>
      </c>
      <c r="E8" s="19">
        <v>14</v>
      </c>
      <c r="F8" s="19">
        <v>6</v>
      </c>
      <c r="G8" s="19">
        <v>5</v>
      </c>
      <c r="H8" s="19">
        <v>54</v>
      </c>
      <c r="I8" s="19">
        <v>8</v>
      </c>
      <c r="J8" s="19">
        <v>60</v>
      </c>
      <c r="K8" s="20">
        <v>5.8881256133464184E-2</v>
      </c>
      <c r="L8" s="19">
        <v>62</v>
      </c>
    </row>
    <row r="9" spans="1:12" x14ac:dyDescent="0.3">
      <c r="A9" s="34">
        <v>46295</v>
      </c>
      <c r="B9" s="19">
        <v>1135</v>
      </c>
      <c r="C9" s="19">
        <v>34043</v>
      </c>
      <c r="D9" s="19">
        <v>23</v>
      </c>
      <c r="E9" s="19">
        <v>13</v>
      </c>
      <c r="F9" s="19">
        <v>4</v>
      </c>
      <c r="G9" s="19">
        <v>4</v>
      </c>
      <c r="H9" s="19">
        <v>79</v>
      </c>
      <c r="I9" s="19">
        <v>12</v>
      </c>
      <c r="J9" s="19">
        <v>44</v>
      </c>
      <c r="K9" s="20">
        <v>3.8766519823788544E-2</v>
      </c>
      <c r="L9" s="19">
        <v>91</v>
      </c>
    </row>
    <row r="10" spans="1:12" x14ac:dyDescent="0.3">
      <c r="A10" s="34">
        <v>46296</v>
      </c>
      <c r="B10" s="19">
        <v>926</v>
      </c>
      <c r="C10" s="19">
        <v>21875</v>
      </c>
      <c r="D10" s="19">
        <v>34</v>
      </c>
      <c r="E10" s="19">
        <v>11</v>
      </c>
      <c r="F10" s="19">
        <v>4</v>
      </c>
      <c r="G10" s="19">
        <v>6</v>
      </c>
      <c r="H10" s="19">
        <v>60</v>
      </c>
      <c r="I10" s="19">
        <v>9</v>
      </c>
      <c r="J10" s="19">
        <v>55</v>
      </c>
      <c r="K10" s="20">
        <v>5.9395248380129592E-2</v>
      </c>
      <c r="L10" s="19">
        <v>69</v>
      </c>
    </row>
    <row r="11" spans="1:12" x14ac:dyDescent="0.3">
      <c r="A11" s="34">
        <v>46297</v>
      </c>
      <c r="B11" s="19">
        <v>1192</v>
      </c>
      <c r="C11" s="19">
        <v>24450</v>
      </c>
      <c r="D11" s="19">
        <v>41</v>
      </c>
      <c r="E11" s="19">
        <v>18</v>
      </c>
      <c r="F11" s="19">
        <v>4</v>
      </c>
      <c r="G11" s="19">
        <v>4</v>
      </c>
      <c r="H11" s="19">
        <v>77</v>
      </c>
      <c r="I11" s="19">
        <v>11</v>
      </c>
      <c r="J11" s="19">
        <v>67</v>
      </c>
      <c r="K11" s="20">
        <v>5.620805369127517E-2</v>
      </c>
      <c r="L11" s="19">
        <v>88</v>
      </c>
    </row>
    <row r="12" spans="1:12" x14ac:dyDescent="0.3">
      <c r="A12" s="34">
        <v>46298</v>
      </c>
      <c r="B12" s="19">
        <v>1419</v>
      </c>
      <c r="C12" s="19">
        <v>51346</v>
      </c>
      <c r="D12" s="19">
        <v>38</v>
      </c>
      <c r="E12" s="19">
        <v>18</v>
      </c>
      <c r="F12" s="19">
        <v>6</v>
      </c>
      <c r="G12" s="19">
        <v>6</v>
      </c>
      <c r="H12" s="19">
        <v>75</v>
      </c>
      <c r="I12" s="19">
        <v>12</v>
      </c>
      <c r="J12" s="19">
        <v>68</v>
      </c>
      <c r="K12" s="20">
        <v>4.7921071176885127E-2</v>
      </c>
      <c r="L12" s="19">
        <v>87</v>
      </c>
    </row>
    <row r="13" spans="1:12" x14ac:dyDescent="0.3">
      <c r="A13" s="34">
        <v>46299</v>
      </c>
      <c r="B13" s="19">
        <v>1241</v>
      </c>
      <c r="C13" s="19">
        <v>40208</v>
      </c>
      <c r="D13" s="19">
        <v>35</v>
      </c>
      <c r="E13" s="19">
        <v>11</v>
      </c>
      <c r="F13" s="19">
        <v>3</v>
      </c>
      <c r="G13" s="19">
        <v>5</v>
      </c>
      <c r="H13" s="19">
        <v>89</v>
      </c>
      <c r="I13" s="19">
        <v>15</v>
      </c>
      <c r="J13" s="19">
        <v>54</v>
      </c>
      <c r="K13" s="20">
        <v>4.3513295729250605E-2</v>
      </c>
      <c r="L13" s="19">
        <v>104</v>
      </c>
    </row>
    <row r="14" spans="1:12" x14ac:dyDescent="0.3">
      <c r="A14" s="34">
        <v>46300</v>
      </c>
      <c r="B14" s="19">
        <v>1081</v>
      </c>
      <c r="C14" s="19">
        <v>37775</v>
      </c>
      <c r="D14" s="19">
        <v>34</v>
      </c>
      <c r="E14" s="19">
        <v>12</v>
      </c>
      <c r="F14" s="19">
        <v>4</v>
      </c>
      <c r="G14" s="19">
        <v>5</v>
      </c>
      <c r="H14" s="19">
        <v>71</v>
      </c>
      <c r="I14" s="19">
        <v>9</v>
      </c>
      <c r="J14" s="19">
        <v>55</v>
      </c>
      <c r="K14" s="20">
        <v>5.0878815911193337E-2</v>
      </c>
      <c r="L14" s="19">
        <v>80</v>
      </c>
    </row>
    <row r="15" spans="1:12" x14ac:dyDescent="0.3">
      <c r="A15" s="34">
        <v>46301</v>
      </c>
      <c r="B15" s="19">
        <v>1119</v>
      </c>
      <c r="C15" s="19">
        <v>25880</v>
      </c>
      <c r="D15" s="19">
        <v>45</v>
      </c>
      <c r="E15" s="19">
        <v>19</v>
      </c>
      <c r="F15" s="19">
        <v>5</v>
      </c>
      <c r="G15" s="19">
        <v>5</v>
      </c>
      <c r="H15" s="19">
        <v>77</v>
      </c>
      <c r="I15" s="19">
        <v>8</v>
      </c>
      <c r="J15" s="19">
        <v>74</v>
      </c>
      <c r="K15" s="20">
        <v>6.6130473637176043E-2</v>
      </c>
      <c r="L15" s="19">
        <v>85</v>
      </c>
    </row>
    <row r="16" spans="1:12" x14ac:dyDescent="0.3">
      <c r="A16" s="34">
        <v>46302</v>
      </c>
      <c r="B16" s="19">
        <v>948</v>
      </c>
      <c r="C16" s="19">
        <v>32039</v>
      </c>
      <c r="D16" s="19">
        <v>44</v>
      </c>
      <c r="E16" s="19">
        <v>17</v>
      </c>
      <c r="F16" s="19">
        <v>4</v>
      </c>
      <c r="G16" s="19">
        <v>3</v>
      </c>
      <c r="H16" s="19">
        <v>45</v>
      </c>
      <c r="I16" s="19">
        <v>9</v>
      </c>
      <c r="J16" s="19">
        <v>68</v>
      </c>
      <c r="K16" s="20">
        <v>7.1729957805907171E-2</v>
      </c>
      <c r="L16" s="19">
        <v>54</v>
      </c>
    </row>
    <row r="17" spans="1:12" x14ac:dyDescent="0.3">
      <c r="A17" s="34">
        <v>46303</v>
      </c>
      <c r="B17" s="19">
        <v>1521</v>
      </c>
      <c r="C17" s="19">
        <v>43731</v>
      </c>
      <c r="D17" s="19">
        <v>35</v>
      </c>
      <c r="E17" s="19">
        <v>24</v>
      </c>
      <c r="F17" s="19">
        <v>5</v>
      </c>
      <c r="G17" s="19">
        <v>7</v>
      </c>
      <c r="H17" s="19">
        <v>111</v>
      </c>
      <c r="I17" s="19">
        <v>21</v>
      </c>
      <c r="J17" s="19">
        <v>71</v>
      </c>
      <c r="K17" s="20">
        <v>4.6679815910585142E-2</v>
      </c>
      <c r="L17" s="19">
        <v>132</v>
      </c>
    </row>
    <row r="18" spans="1:12" x14ac:dyDescent="0.3">
      <c r="A18" s="34">
        <v>46304</v>
      </c>
      <c r="B18" s="19">
        <v>1151</v>
      </c>
      <c r="C18" s="19">
        <v>21771</v>
      </c>
      <c r="D18" s="19">
        <v>40</v>
      </c>
      <c r="E18" s="19">
        <v>24</v>
      </c>
      <c r="F18" s="19">
        <v>5</v>
      </c>
      <c r="G18" s="19">
        <v>7</v>
      </c>
      <c r="H18" s="19">
        <v>83</v>
      </c>
      <c r="I18" s="19">
        <v>10</v>
      </c>
      <c r="J18" s="19">
        <v>76</v>
      </c>
      <c r="K18" s="20">
        <v>6.6029539530842743E-2</v>
      </c>
      <c r="L18" s="19">
        <v>93</v>
      </c>
    </row>
    <row r="19" spans="1:12" x14ac:dyDescent="0.3">
      <c r="A19" s="34">
        <v>46305</v>
      </c>
      <c r="B19" s="19">
        <v>1498</v>
      </c>
      <c r="C19" s="19">
        <v>49489</v>
      </c>
      <c r="D19" s="19">
        <v>42</v>
      </c>
      <c r="E19" s="19">
        <v>21</v>
      </c>
      <c r="F19" s="19">
        <v>6</v>
      </c>
      <c r="G19" s="19">
        <v>7</v>
      </c>
      <c r="H19" s="19">
        <v>94</v>
      </c>
      <c r="I19" s="19">
        <v>18</v>
      </c>
      <c r="J19" s="19">
        <v>76</v>
      </c>
      <c r="K19" s="20">
        <v>5.0734312416555405E-2</v>
      </c>
      <c r="L19" s="19">
        <v>112</v>
      </c>
    </row>
    <row r="20" spans="1:12" x14ac:dyDescent="0.3">
      <c r="A20" s="34">
        <v>46306</v>
      </c>
      <c r="B20" s="19">
        <v>1057</v>
      </c>
      <c r="C20" s="19">
        <v>33254</v>
      </c>
      <c r="D20" s="19">
        <v>31</v>
      </c>
      <c r="E20" s="19">
        <v>15</v>
      </c>
      <c r="F20" s="19">
        <v>4</v>
      </c>
      <c r="G20" s="19">
        <v>4</v>
      </c>
      <c r="H20" s="19">
        <v>89</v>
      </c>
      <c r="I20" s="19">
        <v>7</v>
      </c>
      <c r="J20" s="19">
        <v>54</v>
      </c>
      <c r="K20" s="20">
        <v>5.1087984862819298E-2</v>
      </c>
      <c r="L20" s="19">
        <v>96</v>
      </c>
    </row>
    <row r="21" spans="1:12" x14ac:dyDescent="0.3">
      <c r="A21" s="34">
        <v>46307</v>
      </c>
      <c r="B21" s="19">
        <v>1209</v>
      </c>
      <c r="C21" s="19">
        <v>35549</v>
      </c>
      <c r="D21" s="19">
        <v>35</v>
      </c>
      <c r="E21" s="19">
        <v>18</v>
      </c>
      <c r="F21" s="19">
        <v>3</v>
      </c>
      <c r="G21" s="19">
        <v>4</v>
      </c>
      <c r="H21" s="19">
        <v>56</v>
      </c>
      <c r="I21" s="19">
        <v>9</v>
      </c>
      <c r="J21" s="19">
        <v>60</v>
      </c>
      <c r="K21" s="20">
        <v>4.9627791563275438E-2</v>
      </c>
      <c r="L21" s="19">
        <v>65</v>
      </c>
    </row>
    <row r="22" spans="1:12" x14ac:dyDescent="0.3">
      <c r="A22" s="34">
        <v>46308</v>
      </c>
      <c r="B22" s="19">
        <v>795</v>
      </c>
      <c r="C22" s="19">
        <v>27632</v>
      </c>
      <c r="D22" s="19">
        <v>22</v>
      </c>
      <c r="E22" s="19">
        <v>10</v>
      </c>
      <c r="F22" s="19">
        <v>3</v>
      </c>
      <c r="G22" s="19">
        <v>4</v>
      </c>
      <c r="H22" s="19">
        <v>44</v>
      </c>
      <c r="I22" s="19">
        <v>7</v>
      </c>
      <c r="J22" s="19">
        <v>39</v>
      </c>
      <c r="K22" s="20">
        <v>4.9056603773584909E-2</v>
      </c>
      <c r="L22" s="19">
        <v>51</v>
      </c>
    </row>
    <row r="23" spans="1:12" x14ac:dyDescent="0.3">
      <c r="A23" s="34">
        <v>46309</v>
      </c>
      <c r="B23" s="19">
        <v>849</v>
      </c>
      <c r="C23" s="19">
        <v>21680</v>
      </c>
      <c r="D23" s="19">
        <v>34</v>
      </c>
      <c r="E23" s="19">
        <v>12</v>
      </c>
      <c r="F23" s="19">
        <v>3</v>
      </c>
      <c r="G23" s="19">
        <v>3</v>
      </c>
      <c r="H23" s="19">
        <v>37</v>
      </c>
      <c r="I23" s="19">
        <v>9</v>
      </c>
      <c r="J23" s="19">
        <v>52</v>
      </c>
      <c r="K23" s="20">
        <v>6.1248527679623084E-2</v>
      </c>
      <c r="L23" s="19">
        <v>46</v>
      </c>
    </row>
    <row r="24" spans="1:12" x14ac:dyDescent="0.3">
      <c r="A24" s="34">
        <v>46310</v>
      </c>
      <c r="B24" s="19">
        <v>829</v>
      </c>
      <c r="C24" s="19">
        <v>20207</v>
      </c>
      <c r="D24" s="19">
        <v>22</v>
      </c>
      <c r="E24" s="19">
        <v>8</v>
      </c>
      <c r="F24" s="19">
        <v>4</v>
      </c>
      <c r="G24" s="19">
        <v>4</v>
      </c>
      <c r="H24" s="19">
        <v>47</v>
      </c>
      <c r="I24" s="19">
        <v>9</v>
      </c>
      <c r="J24" s="19">
        <v>38</v>
      </c>
      <c r="K24" s="20">
        <v>4.5838359469240045E-2</v>
      </c>
      <c r="L24" s="19">
        <v>56</v>
      </c>
    </row>
    <row r="25" spans="1:12" x14ac:dyDescent="0.3">
      <c r="A25" s="34">
        <v>46311</v>
      </c>
      <c r="B25" s="19">
        <v>904</v>
      </c>
      <c r="C25" s="19">
        <v>27867</v>
      </c>
      <c r="D25" s="19">
        <v>34</v>
      </c>
      <c r="E25" s="19">
        <v>13</v>
      </c>
      <c r="F25" s="19">
        <v>5</v>
      </c>
      <c r="G25" s="19">
        <v>3</v>
      </c>
      <c r="H25" s="19">
        <v>60</v>
      </c>
      <c r="I25" s="19">
        <v>11</v>
      </c>
      <c r="J25" s="19">
        <v>55</v>
      </c>
      <c r="K25" s="20">
        <v>6.0840707964601767E-2</v>
      </c>
      <c r="L25" s="19">
        <v>71</v>
      </c>
    </row>
    <row r="26" spans="1:12" x14ac:dyDescent="0.3">
      <c r="A26" s="34">
        <v>46312</v>
      </c>
      <c r="B26" s="19">
        <v>906</v>
      </c>
      <c r="C26" s="19">
        <v>17414</v>
      </c>
      <c r="D26" s="19">
        <v>28</v>
      </c>
      <c r="E26" s="19">
        <v>11</v>
      </c>
      <c r="F26" s="19">
        <v>4</v>
      </c>
      <c r="G26" s="19">
        <v>3</v>
      </c>
      <c r="H26" s="19">
        <v>58</v>
      </c>
      <c r="I26" s="19">
        <v>10</v>
      </c>
      <c r="J26" s="19">
        <v>46</v>
      </c>
      <c r="K26" s="20">
        <v>5.0772626931567331E-2</v>
      </c>
      <c r="L26" s="19">
        <v>68</v>
      </c>
    </row>
    <row r="27" spans="1:12" x14ac:dyDescent="0.3">
      <c r="A27" s="34">
        <v>46313</v>
      </c>
      <c r="B27" s="19">
        <v>1169</v>
      </c>
      <c r="C27" s="19">
        <v>37892</v>
      </c>
      <c r="D27" s="19">
        <v>21</v>
      </c>
      <c r="E27" s="19">
        <v>17</v>
      </c>
      <c r="F27" s="19">
        <v>4</v>
      </c>
      <c r="G27" s="19">
        <v>5</v>
      </c>
      <c r="H27" s="19">
        <v>78</v>
      </c>
      <c r="I27" s="19">
        <v>8</v>
      </c>
      <c r="J27" s="19">
        <v>47</v>
      </c>
      <c r="K27" s="20">
        <v>4.0205303678357569E-2</v>
      </c>
      <c r="L27" s="19">
        <v>86</v>
      </c>
    </row>
    <row r="28" spans="1:12" x14ac:dyDescent="0.3">
      <c r="A28" s="34">
        <v>46314</v>
      </c>
      <c r="B28" s="19">
        <v>1007</v>
      </c>
      <c r="C28" s="19">
        <v>19251</v>
      </c>
      <c r="D28" s="19">
        <v>22</v>
      </c>
      <c r="E28" s="19">
        <v>21</v>
      </c>
      <c r="F28" s="19">
        <v>4</v>
      </c>
      <c r="G28" s="19">
        <v>4</v>
      </c>
      <c r="H28" s="19">
        <v>62</v>
      </c>
      <c r="I28" s="19">
        <v>10</v>
      </c>
      <c r="J28" s="19">
        <v>51</v>
      </c>
      <c r="K28" s="20">
        <v>5.0645481628599803E-2</v>
      </c>
      <c r="L28" s="19">
        <v>72</v>
      </c>
    </row>
    <row r="29" spans="1:12" x14ac:dyDescent="0.3">
      <c r="A29" s="34">
        <v>46315</v>
      </c>
      <c r="B29" s="19">
        <v>1106</v>
      </c>
      <c r="C29" s="19">
        <v>26064</v>
      </c>
      <c r="D29" s="19">
        <v>46</v>
      </c>
      <c r="E29" s="19">
        <v>20</v>
      </c>
      <c r="F29" s="19">
        <v>4</v>
      </c>
      <c r="G29" s="19">
        <v>5</v>
      </c>
      <c r="H29" s="19">
        <v>66</v>
      </c>
      <c r="I29" s="19">
        <v>12</v>
      </c>
      <c r="J29" s="19">
        <v>75</v>
      </c>
      <c r="K29" s="20">
        <v>6.7811934900542492E-2</v>
      </c>
      <c r="L29" s="19">
        <v>78</v>
      </c>
    </row>
    <row r="30" spans="1:12" x14ac:dyDescent="0.3">
      <c r="A30" s="34">
        <v>46316</v>
      </c>
      <c r="B30" s="19">
        <v>1021</v>
      </c>
      <c r="C30" s="19">
        <v>28490</v>
      </c>
      <c r="D30" s="19">
        <v>46</v>
      </c>
      <c r="E30" s="19">
        <v>16</v>
      </c>
      <c r="F30" s="19">
        <v>3</v>
      </c>
      <c r="G30" s="19">
        <v>4</v>
      </c>
      <c r="H30" s="19">
        <v>81</v>
      </c>
      <c r="I30" s="19">
        <v>8</v>
      </c>
      <c r="J30" s="19">
        <v>69</v>
      </c>
      <c r="K30" s="20">
        <v>6.7580803134182174E-2</v>
      </c>
      <c r="L30" s="19">
        <v>89</v>
      </c>
    </row>
    <row r="31" spans="1:12" x14ac:dyDescent="0.3">
      <c r="A31" s="34">
        <v>46317</v>
      </c>
      <c r="B31" s="19">
        <v>1017</v>
      </c>
      <c r="C31" s="19">
        <v>30690</v>
      </c>
      <c r="D31" s="19">
        <v>45</v>
      </c>
      <c r="E31" s="19">
        <v>15</v>
      </c>
      <c r="F31" s="19">
        <v>3</v>
      </c>
      <c r="G31" s="19">
        <v>4</v>
      </c>
      <c r="H31" s="19">
        <v>70</v>
      </c>
      <c r="I31" s="19">
        <v>10</v>
      </c>
      <c r="J31" s="19">
        <v>67</v>
      </c>
      <c r="K31" s="20">
        <v>6.5880039331366769E-2</v>
      </c>
      <c r="L31" s="19">
        <v>80</v>
      </c>
    </row>
    <row r="32" spans="1:12" x14ac:dyDescent="0.3">
      <c r="A32" s="34">
        <v>46318</v>
      </c>
      <c r="B32" s="19">
        <v>906</v>
      </c>
      <c r="C32" s="19">
        <v>15541</v>
      </c>
      <c r="D32" s="19">
        <v>31</v>
      </c>
      <c r="E32" s="19">
        <v>11</v>
      </c>
      <c r="F32" s="19">
        <v>4</v>
      </c>
      <c r="G32" s="19">
        <v>4</v>
      </c>
      <c r="H32" s="19">
        <v>59</v>
      </c>
      <c r="I32" s="19">
        <v>8</v>
      </c>
      <c r="J32" s="19">
        <v>50</v>
      </c>
      <c r="K32" s="20">
        <v>5.518763796909492E-2</v>
      </c>
      <c r="L32" s="19">
        <v>67</v>
      </c>
    </row>
    <row r="33" spans="11:11" x14ac:dyDescent="0.3">
      <c r="K33" s="20"/>
    </row>
    <row r="34" spans="11:11" x14ac:dyDescent="0.3">
      <c r="K34" s="20"/>
    </row>
    <row r="35" spans="11:11" x14ac:dyDescent="0.3">
      <c r="K35" s="20"/>
    </row>
    <row r="36" spans="11:11" x14ac:dyDescent="0.3">
      <c r="K36" s="20"/>
    </row>
    <row r="37" spans="11:11" x14ac:dyDescent="0.3">
      <c r="K37" s="20"/>
    </row>
    <row r="38" spans="11:11" x14ac:dyDescent="0.3">
      <c r="K38" s="20"/>
    </row>
    <row r="39" spans="11:11" x14ac:dyDescent="0.3">
      <c r="K39" s="20"/>
    </row>
    <row r="40" spans="11:11" x14ac:dyDescent="0.3">
      <c r="K40" s="20"/>
    </row>
    <row r="41" spans="11:11" x14ac:dyDescent="0.3">
      <c r="K41" s="20"/>
    </row>
    <row r="42" spans="11:11" x14ac:dyDescent="0.3">
      <c r="K42" s="20"/>
    </row>
    <row r="43" spans="11:11" x14ac:dyDescent="0.3">
      <c r="K43" s="20"/>
    </row>
    <row r="44" spans="11:11" x14ac:dyDescent="0.3">
      <c r="K44" s="20"/>
    </row>
    <row r="45" spans="11:11" x14ac:dyDescent="0.3">
      <c r="K45" s="20"/>
    </row>
    <row r="46" spans="11:11" x14ac:dyDescent="0.3">
      <c r="K46" s="20"/>
    </row>
    <row r="47" spans="11:11" x14ac:dyDescent="0.3">
      <c r="K47" s="20"/>
    </row>
    <row r="48" spans="11:11" x14ac:dyDescent="0.3">
      <c r="K48" s="20"/>
    </row>
    <row r="49" spans="11:11" x14ac:dyDescent="0.3">
      <c r="K49" s="20"/>
    </row>
    <row r="50" spans="11:11" x14ac:dyDescent="0.3">
      <c r="K50" s="20"/>
    </row>
    <row r="51" spans="11:11" x14ac:dyDescent="0.3">
      <c r="K51" s="20"/>
    </row>
    <row r="52" spans="11:11" x14ac:dyDescent="0.3">
      <c r="K52" s="20"/>
    </row>
    <row r="53" spans="11:11" x14ac:dyDescent="0.3">
      <c r="K53" s="20"/>
    </row>
    <row r="54" spans="11:11" x14ac:dyDescent="0.3">
      <c r="K54" s="20"/>
    </row>
    <row r="55" spans="11:11" x14ac:dyDescent="0.3">
      <c r="K55" s="20"/>
    </row>
    <row r="56" spans="11:11" x14ac:dyDescent="0.3">
      <c r="K56" s="20"/>
    </row>
    <row r="57" spans="11:11" x14ac:dyDescent="0.3">
      <c r="K57" s="20"/>
    </row>
    <row r="58" spans="11:11" x14ac:dyDescent="0.3">
      <c r="K58" s="20"/>
    </row>
    <row r="59" spans="11:11" x14ac:dyDescent="0.3">
      <c r="K59" s="20"/>
    </row>
    <row r="60" spans="11:11" x14ac:dyDescent="0.3">
      <c r="K60" s="20"/>
    </row>
    <row r="61" spans="11:11" x14ac:dyDescent="0.3">
      <c r="K61" s="20"/>
    </row>
    <row r="62" spans="11:11" x14ac:dyDescent="0.3">
      <c r="K62" s="20"/>
    </row>
    <row r="63" spans="11:11" x14ac:dyDescent="0.3">
      <c r="K63" s="20"/>
    </row>
    <row r="64" spans="11:11" x14ac:dyDescent="0.3">
      <c r="K64" s="20"/>
    </row>
    <row r="65" spans="11:11" x14ac:dyDescent="0.3">
      <c r="K65" s="20"/>
    </row>
    <row r="66" spans="11:11" x14ac:dyDescent="0.3">
      <c r="K66" s="20"/>
    </row>
    <row r="67" spans="11:11" x14ac:dyDescent="0.3">
      <c r="K67" s="20"/>
    </row>
    <row r="68" spans="11:11" x14ac:dyDescent="0.3">
      <c r="K68" s="20"/>
    </row>
    <row r="69" spans="11:11" x14ac:dyDescent="0.3">
      <c r="K69" s="20"/>
    </row>
    <row r="70" spans="11:11" x14ac:dyDescent="0.3">
      <c r="K70" s="20"/>
    </row>
    <row r="71" spans="11:11" x14ac:dyDescent="0.3">
      <c r="K71" s="20"/>
    </row>
    <row r="72" spans="11:11" x14ac:dyDescent="0.3">
      <c r="K72" s="20"/>
    </row>
    <row r="73" spans="11:11" x14ac:dyDescent="0.3">
      <c r="K73" s="20"/>
    </row>
    <row r="74" spans="11:11" x14ac:dyDescent="0.3">
      <c r="K74" s="20"/>
    </row>
    <row r="75" spans="11:11" x14ac:dyDescent="0.3">
      <c r="K75" s="20"/>
    </row>
    <row r="76" spans="11:11" x14ac:dyDescent="0.3">
      <c r="K76" s="20"/>
    </row>
    <row r="77" spans="11:11" x14ac:dyDescent="0.3">
      <c r="K77" s="20"/>
    </row>
    <row r="78" spans="11:11" x14ac:dyDescent="0.3">
      <c r="K78" s="20"/>
    </row>
    <row r="79" spans="11:11" x14ac:dyDescent="0.3">
      <c r="K79" s="20"/>
    </row>
    <row r="80" spans="11:11" x14ac:dyDescent="0.3">
      <c r="K80" s="20"/>
    </row>
    <row r="81" spans="11:11" x14ac:dyDescent="0.3">
      <c r="K81" s="20"/>
    </row>
    <row r="82" spans="11:11" x14ac:dyDescent="0.3">
      <c r="K82" s="20"/>
    </row>
    <row r="83" spans="11:11" x14ac:dyDescent="0.3">
      <c r="K83" s="20"/>
    </row>
    <row r="84" spans="11:11" x14ac:dyDescent="0.3">
      <c r="K84" s="20"/>
    </row>
    <row r="85" spans="11:11" x14ac:dyDescent="0.3">
      <c r="K85" s="20"/>
    </row>
    <row r="86" spans="11:11" x14ac:dyDescent="0.3">
      <c r="K86" s="20"/>
    </row>
    <row r="87" spans="11:11" x14ac:dyDescent="0.3">
      <c r="K87" s="20"/>
    </row>
    <row r="88" spans="11:11" x14ac:dyDescent="0.3">
      <c r="K88" s="20"/>
    </row>
    <row r="89" spans="11:11" x14ac:dyDescent="0.3">
      <c r="K89" s="20"/>
    </row>
    <row r="90" spans="11:11" x14ac:dyDescent="0.3">
      <c r="K90" s="20"/>
    </row>
    <row r="91" spans="11:11" x14ac:dyDescent="0.3">
      <c r="K91" s="20"/>
    </row>
    <row r="92" spans="11:11" x14ac:dyDescent="0.3">
      <c r="K92" s="20"/>
    </row>
    <row r="93" spans="11:11" x14ac:dyDescent="0.3">
      <c r="K93" s="20"/>
    </row>
    <row r="94" spans="11:11" x14ac:dyDescent="0.3">
      <c r="K94" s="20"/>
    </row>
    <row r="95" spans="11:11" x14ac:dyDescent="0.3">
      <c r="K95" s="20"/>
    </row>
    <row r="96" spans="11:11" x14ac:dyDescent="0.3">
      <c r="K96" s="20"/>
    </row>
    <row r="97" spans="11:11" x14ac:dyDescent="0.3">
      <c r="K97" s="20"/>
    </row>
    <row r="98" spans="11:11" x14ac:dyDescent="0.3">
      <c r="K98" s="20"/>
    </row>
    <row r="99" spans="11:11" x14ac:dyDescent="0.3">
      <c r="K99" s="20"/>
    </row>
    <row r="100" spans="11:11" x14ac:dyDescent="0.3">
      <c r="K100" s="20"/>
    </row>
    <row r="101" spans="11:11" x14ac:dyDescent="0.3">
      <c r="K101" s="20"/>
    </row>
    <row r="102" spans="11:11" x14ac:dyDescent="0.3">
      <c r="K102" s="20"/>
    </row>
    <row r="103" spans="11:11" x14ac:dyDescent="0.3">
      <c r="K103" s="20"/>
    </row>
    <row r="104" spans="11:11" x14ac:dyDescent="0.3">
      <c r="K104" s="20"/>
    </row>
    <row r="105" spans="11:11" x14ac:dyDescent="0.3">
      <c r="K105" s="20"/>
    </row>
    <row r="106" spans="11:11" x14ac:dyDescent="0.3">
      <c r="K106" s="20"/>
    </row>
    <row r="107" spans="11:11" x14ac:dyDescent="0.3">
      <c r="K107" s="20"/>
    </row>
    <row r="108" spans="11:11" x14ac:dyDescent="0.3">
      <c r="K108" s="20"/>
    </row>
    <row r="109" spans="11:11" x14ac:dyDescent="0.3">
      <c r="K109" s="20"/>
    </row>
    <row r="110" spans="11:11" x14ac:dyDescent="0.3">
      <c r="K110" s="20"/>
    </row>
    <row r="111" spans="11:11" x14ac:dyDescent="0.3">
      <c r="K111" s="20"/>
    </row>
    <row r="112" spans="11:11" x14ac:dyDescent="0.3">
      <c r="K112" s="20"/>
    </row>
    <row r="113" spans="11:11" x14ac:dyDescent="0.3">
      <c r="K113" s="20"/>
    </row>
    <row r="114" spans="11:11" x14ac:dyDescent="0.3">
      <c r="K114" s="20"/>
    </row>
    <row r="115" spans="11:11" x14ac:dyDescent="0.3">
      <c r="K115" s="20"/>
    </row>
    <row r="116" spans="11:11" x14ac:dyDescent="0.3">
      <c r="K116" s="20"/>
    </row>
    <row r="117" spans="11:11" x14ac:dyDescent="0.3">
      <c r="K117" s="20"/>
    </row>
    <row r="118" spans="11:11" x14ac:dyDescent="0.3">
      <c r="K118" s="20"/>
    </row>
    <row r="119" spans="11:11" x14ac:dyDescent="0.3">
      <c r="K119" s="20"/>
    </row>
    <row r="120" spans="11:11" x14ac:dyDescent="0.3">
      <c r="K120" s="20"/>
    </row>
    <row r="121" spans="11:11" x14ac:dyDescent="0.3">
      <c r="K121" s="20"/>
    </row>
    <row r="122" spans="11:11" x14ac:dyDescent="0.3">
      <c r="K122" s="20"/>
    </row>
    <row r="123" spans="11:11" x14ac:dyDescent="0.3">
      <c r="K123" s="20"/>
    </row>
    <row r="124" spans="11:11" x14ac:dyDescent="0.3">
      <c r="K124" s="20"/>
    </row>
    <row r="125" spans="11:11" x14ac:dyDescent="0.3">
      <c r="K125" s="20"/>
    </row>
    <row r="126" spans="11:11" x14ac:dyDescent="0.3">
      <c r="K126" s="20"/>
    </row>
    <row r="127" spans="11:11" x14ac:dyDescent="0.3">
      <c r="K127" s="20"/>
    </row>
    <row r="128" spans="11:11" x14ac:dyDescent="0.3">
      <c r="K128" s="20"/>
    </row>
    <row r="129" spans="11:11" x14ac:dyDescent="0.3">
      <c r="K129" s="20"/>
    </row>
    <row r="130" spans="11:11" x14ac:dyDescent="0.3">
      <c r="K130" s="20"/>
    </row>
    <row r="131" spans="11:11" x14ac:dyDescent="0.3">
      <c r="K131" s="20"/>
    </row>
    <row r="132" spans="11:11" x14ac:dyDescent="0.3">
      <c r="K132" s="20"/>
    </row>
    <row r="133" spans="11:11" x14ac:dyDescent="0.3">
      <c r="K133" s="20"/>
    </row>
    <row r="134" spans="11:11" x14ac:dyDescent="0.3">
      <c r="K134" s="20"/>
    </row>
    <row r="135" spans="11:11" x14ac:dyDescent="0.3">
      <c r="K135" s="20"/>
    </row>
    <row r="136" spans="11:11" x14ac:dyDescent="0.3">
      <c r="K136" s="20"/>
    </row>
    <row r="137" spans="11:11" x14ac:dyDescent="0.3">
      <c r="K137" s="20"/>
    </row>
    <row r="138" spans="11:11" x14ac:dyDescent="0.3">
      <c r="K138" s="20"/>
    </row>
    <row r="139" spans="11:11" x14ac:dyDescent="0.3">
      <c r="K139" s="20"/>
    </row>
    <row r="140" spans="11:11" x14ac:dyDescent="0.3">
      <c r="K140" s="20"/>
    </row>
    <row r="141" spans="11:11" x14ac:dyDescent="0.3">
      <c r="K141" s="20"/>
    </row>
    <row r="142" spans="11:11" x14ac:dyDescent="0.3">
      <c r="K142" s="20"/>
    </row>
    <row r="143" spans="11:11" x14ac:dyDescent="0.3">
      <c r="K143" s="20"/>
    </row>
    <row r="144" spans="11:11" x14ac:dyDescent="0.3">
      <c r="K144" s="20"/>
    </row>
    <row r="145" spans="11:11" x14ac:dyDescent="0.3">
      <c r="K145" s="20"/>
    </row>
    <row r="146" spans="11:11" x14ac:dyDescent="0.3">
      <c r="K146" s="20"/>
    </row>
    <row r="147" spans="11:11" x14ac:dyDescent="0.3">
      <c r="K147" s="20"/>
    </row>
    <row r="148" spans="11:11" x14ac:dyDescent="0.3">
      <c r="K148" s="20"/>
    </row>
    <row r="149" spans="11:11" x14ac:dyDescent="0.3">
      <c r="K149" s="20"/>
    </row>
    <row r="150" spans="11:11" x14ac:dyDescent="0.3">
      <c r="K150" s="20"/>
    </row>
    <row r="151" spans="11:11" x14ac:dyDescent="0.3">
      <c r="K151" s="20"/>
    </row>
    <row r="152" spans="11:11" x14ac:dyDescent="0.3">
      <c r="K152" s="20"/>
    </row>
    <row r="153" spans="11:11" x14ac:dyDescent="0.3">
      <c r="K153" s="20"/>
    </row>
    <row r="154" spans="11:11" x14ac:dyDescent="0.3">
      <c r="K154" s="20"/>
    </row>
    <row r="155" spans="11:11" x14ac:dyDescent="0.3">
      <c r="K155" s="20"/>
    </row>
    <row r="156" spans="11:11" x14ac:dyDescent="0.3">
      <c r="K156" s="20"/>
    </row>
    <row r="157" spans="11:11" x14ac:dyDescent="0.3">
      <c r="K157" s="20"/>
    </row>
    <row r="158" spans="11:11" x14ac:dyDescent="0.3">
      <c r="K158" s="20"/>
    </row>
    <row r="159" spans="11:11" x14ac:dyDescent="0.3">
      <c r="K159" s="20"/>
    </row>
    <row r="160" spans="11:11" x14ac:dyDescent="0.3">
      <c r="K160" s="20"/>
    </row>
    <row r="161" spans="11:11" x14ac:dyDescent="0.3">
      <c r="K161" s="20"/>
    </row>
    <row r="162" spans="11:11" x14ac:dyDescent="0.3">
      <c r="K162" s="20"/>
    </row>
    <row r="163" spans="11:11" x14ac:dyDescent="0.3">
      <c r="K163" s="20"/>
    </row>
    <row r="164" spans="11:11" x14ac:dyDescent="0.3">
      <c r="K164" s="20"/>
    </row>
    <row r="165" spans="11:11" x14ac:dyDescent="0.3">
      <c r="K165" s="20"/>
    </row>
    <row r="166" spans="11:11" x14ac:dyDescent="0.3">
      <c r="K166" s="20"/>
    </row>
    <row r="167" spans="11:11" x14ac:dyDescent="0.3">
      <c r="K167" s="20"/>
    </row>
    <row r="168" spans="11:11" x14ac:dyDescent="0.3">
      <c r="K168" s="20"/>
    </row>
    <row r="169" spans="11:11" x14ac:dyDescent="0.3">
      <c r="K169" s="20"/>
    </row>
    <row r="170" spans="11:11" x14ac:dyDescent="0.3">
      <c r="K170" s="20"/>
    </row>
    <row r="171" spans="11:11" x14ac:dyDescent="0.3">
      <c r="K171" s="20"/>
    </row>
    <row r="172" spans="11:11" x14ac:dyDescent="0.3">
      <c r="K172" s="20"/>
    </row>
    <row r="173" spans="11:11" x14ac:dyDescent="0.3">
      <c r="K173" s="20"/>
    </row>
    <row r="174" spans="11:11" x14ac:dyDescent="0.3">
      <c r="K174" s="20"/>
    </row>
    <row r="175" spans="11:11" x14ac:dyDescent="0.3">
      <c r="K175" s="20"/>
    </row>
    <row r="176" spans="11:11" x14ac:dyDescent="0.3">
      <c r="K176" s="20"/>
    </row>
    <row r="177" spans="11:11" x14ac:dyDescent="0.3">
      <c r="K177" s="20"/>
    </row>
    <row r="178" spans="11:11" x14ac:dyDescent="0.3">
      <c r="K178" s="20"/>
    </row>
    <row r="179" spans="11:11" x14ac:dyDescent="0.3">
      <c r="K179" s="20"/>
    </row>
    <row r="180" spans="11:11" x14ac:dyDescent="0.3">
      <c r="K180" s="20"/>
    </row>
    <row r="181" spans="11:11" x14ac:dyDescent="0.3">
      <c r="K181" s="20"/>
    </row>
    <row r="182" spans="11:11" x14ac:dyDescent="0.3">
      <c r="K182" s="20"/>
    </row>
    <row r="183" spans="11:11" x14ac:dyDescent="0.3">
      <c r="K183" s="20"/>
    </row>
    <row r="184" spans="11:11" x14ac:dyDescent="0.3">
      <c r="K184" s="20"/>
    </row>
    <row r="185" spans="11:11" x14ac:dyDescent="0.3">
      <c r="K185" s="20"/>
    </row>
    <row r="186" spans="11:11" x14ac:dyDescent="0.3">
      <c r="K186" s="20"/>
    </row>
    <row r="187" spans="11:11" x14ac:dyDescent="0.3">
      <c r="K187" s="20"/>
    </row>
    <row r="188" spans="11:11" x14ac:dyDescent="0.3">
      <c r="K188" s="20"/>
    </row>
    <row r="189" spans="11:11" x14ac:dyDescent="0.3">
      <c r="K189" s="20"/>
    </row>
    <row r="190" spans="11:11" x14ac:dyDescent="0.3">
      <c r="K190" s="20"/>
    </row>
    <row r="191" spans="11:11" x14ac:dyDescent="0.3">
      <c r="K191" s="20"/>
    </row>
    <row r="192" spans="11:11" x14ac:dyDescent="0.3">
      <c r="K192" s="20"/>
    </row>
    <row r="193" spans="11:11" x14ac:dyDescent="0.3">
      <c r="K193" s="20"/>
    </row>
    <row r="194" spans="11:11" x14ac:dyDescent="0.3">
      <c r="K194" s="20"/>
    </row>
    <row r="195" spans="11:11" x14ac:dyDescent="0.3">
      <c r="K195" s="20"/>
    </row>
    <row r="196" spans="11:11" x14ac:dyDescent="0.3">
      <c r="K196" s="20"/>
    </row>
    <row r="197" spans="11:11" x14ac:dyDescent="0.3">
      <c r="K197" s="20"/>
    </row>
    <row r="198" spans="11:11" x14ac:dyDescent="0.3">
      <c r="K198" s="20"/>
    </row>
    <row r="199" spans="11:11" x14ac:dyDescent="0.3">
      <c r="K199" s="20"/>
    </row>
    <row r="200" spans="11:11" x14ac:dyDescent="0.3">
      <c r="K200" s="20"/>
    </row>
    <row r="201" spans="11:11" x14ac:dyDescent="0.3">
      <c r="K201" s="20"/>
    </row>
    <row r="202" spans="11:11" x14ac:dyDescent="0.3">
      <c r="K202" s="20"/>
    </row>
    <row r="203" spans="11:11" x14ac:dyDescent="0.3">
      <c r="K203" s="20"/>
    </row>
    <row r="204" spans="11:11" x14ac:dyDescent="0.3">
      <c r="K204" s="20"/>
    </row>
    <row r="205" spans="11:11" x14ac:dyDescent="0.3">
      <c r="K205" s="20"/>
    </row>
    <row r="206" spans="11:11" x14ac:dyDescent="0.3">
      <c r="K206" s="20"/>
    </row>
    <row r="207" spans="11:11" x14ac:dyDescent="0.3">
      <c r="K207" s="20"/>
    </row>
    <row r="208" spans="11:11" x14ac:dyDescent="0.3">
      <c r="K208" s="20"/>
    </row>
    <row r="209" spans="11:11" x14ac:dyDescent="0.3">
      <c r="K209" s="20"/>
    </row>
    <row r="210" spans="11:11" x14ac:dyDescent="0.3">
      <c r="K210" s="20"/>
    </row>
    <row r="211" spans="11:11" x14ac:dyDescent="0.3">
      <c r="K211" s="20"/>
    </row>
    <row r="212" spans="11:11" x14ac:dyDescent="0.3">
      <c r="K212" s="20"/>
    </row>
    <row r="213" spans="11:11" x14ac:dyDescent="0.3">
      <c r="K213" s="20"/>
    </row>
    <row r="214" spans="11:11" x14ac:dyDescent="0.3">
      <c r="K214" s="20"/>
    </row>
    <row r="215" spans="11:11" x14ac:dyDescent="0.3">
      <c r="K215" s="20"/>
    </row>
    <row r="216" spans="11:11" x14ac:dyDescent="0.3">
      <c r="K216" s="20"/>
    </row>
    <row r="217" spans="11:11" x14ac:dyDescent="0.3">
      <c r="K217" s="20"/>
    </row>
    <row r="218" spans="11:11" x14ac:dyDescent="0.3">
      <c r="K218" s="20"/>
    </row>
    <row r="219" spans="11:11" x14ac:dyDescent="0.3">
      <c r="K219" s="20"/>
    </row>
    <row r="220" spans="11:11" x14ac:dyDescent="0.3">
      <c r="K220" s="20"/>
    </row>
    <row r="221" spans="11:11" x14ac:dyDescent="0.3">
      <c r="K221" s="20"/>
    </row>
    <row r="222" spans="11:11" x14ac:dyDescent="0.3">
      <c r="K222" s="20"/>
    </row>
    <row r="223" spans="11:11" x14ac:dyDescent="0.3">
      <c r="K223" s="20"/>
    </row>
    <row r="224" spans="11:11" x14ac:dyDescent="0.3">
      <c r="K224" s="20"/>
    </row>
    <row r="225" spans="11:11" x14ac:dyDescent="0.3">
      <c r="K225" s="20"/>
    </row>
    <row r="226" spans="11:11" x14ac:dyDescent="0.3">
      <c r="K226" s="20"/>
    </row>
    <row r="227" spans="11:11" x14ac:dyDescent="0.3">
      <c r="K227" s="20"/>
    </row>
    <row r="228" spans="11:11" x14ac:dyDescent="0.3">
      <c r="K228" s="20"/>
    </row>
    <row r="229" spans="11:11" x14ac:dyDescent="0.3">
      <c r="K229" s="20"/>
    </row>
    <row r="230" spans="11:11" x14ac:dyDescent="0.3">
      <c r="K230" s="20"/>
    </row>
    <row r="231" spans="11:11" x14ac:dyDescent="0.3">
      <c r="K231" s="20"/>
    </row>
    <row r="232" spans="11:11" x14ac:dyDescent="0.3">
      <c r="K232" s="20"/>
    </row>
    <row r="233" spans="11:11" x14ac:dyDescent="0.3">
      <c r="K233" s="20"/>
    </row>
    <row r="234" spans="11:11" x14ac:dyDescent="0.3">
      <c r="K234" s="20"/>
    </row>
    <row r="235" spans="11:11" x14ac:dyDescent="0.3">
      <c r="K235" s="20"/>
    </row>
    <row r="236" spans="11:11" x14ac:dyDescent="0.3">
      <c r="K236" s="20"/>
    </row>
    <row r="237" spans="11:11" x14ac:dyDescent="0.3">
      <c r="K237" s="20"/>
    </row>
    <row r="238" spans="11:11" x14ac:dyDescent="0.3">
      <c r="K238" s="20"/>
    </row>
    <row r="239" spans="11:11" x14ac:dyDescent="0.3">
      <c r="K239" s="20"/>
    </row>
    <row r="240" spans="11:11" x14ac:dyDescent="0.3">
      <c r="K240" s="20"/>
    </row>
    <row r="241" spans="11:11" x14ac:dyDescent="0.3">
      <c r="K241" s="20"/>
    </row>
    <row r="242" spans="11:11" x14ac:dyDescent="0.3">
      <c r="K242" s="20"/>
    </row>
    <row r="243" spans="11:11" x14ac:dyDescent="0.3">
      <c r="K243" s="20"/>
    </row>
    <row r="244" spans="11:11" x14ac:dyDescent="0.3">
      <c r="K244" s="20"/>
    </row>
    <row r="245" spans="11:11" x14ac:dyDescent="0.3">
      <c r="K245" s="20"/>
    </row>
    <row r="246" spans="11:11" x14ac:dyDescent="0.3">
      <c r="K246" s="20"/>
    </row>
    <row r="247" spans="11:11" x14ac:dyDescent="0.3">
      <c r="K247" s="20"/>
    </row>
    <row r="248" spans="11:11" x14ac:dyDescent="0.3">
      <c r="K248" s="20"/>
    </row>
    <row r="249" spans="11:11" x14ac:dyDescent="0.3">
      <c r="K249" s="20"/>
    </row>
    <row r="250" spans="11:11" x14ac:dyDescent="0.3">
      <c r="K250" s="20"/>
    </row>
    <row r="251" spans="11:11" x14ac:dyDescent="0.3">
      <c r="K251" s="20"/>
    </row>
    <row r="252" spans="11:11" x14ac:dyDescent="0.3">
      <c r="K252" s="20"/>
    </row>
    <row r="253" spans="11:11" x14ac:dyDescent="0.3">
      <c r="K253" s="20"/>
    </row>
    <row r="254" spans="11:11" x14ac:dyDescent="0.3">
      <c r="K254" s="20"/>
    </row>
    <row r="255" spans="11:11" x14ac:dyDescent="0.3">
      <c r="K255" s="20"/>
    </row>
    <row r="256" spans="11:11" x14ac:dyDescent="0.3">
      <c r="K256" s="20"/>
    </row>
    <row r="257" spans="11:11" x14ac:dyDescent="0.3">
      <c r="K257" s="20"/>
    </row>
    <row r="258" spans="11:11" x14ac:dyDescent="0.3">
      <c r="K258" s="20"/>
    </row>
    <row r="259" spans="11:11" x14ac:dyDescent="0.3">
      <c r="K259" s="20"/>
    </row>
    <row r="260" spans="11:11" x14ac:dyDescent="0.3">
      <c r="K260" s="20"/>
    </row>
    <row r="261" spans="11:11" x14ac:dyDescent="0.3">
      <c r="K261" s="20"/>
    </row>
    <row r="262" spans="11:11" x14ac:dyDescent="0.3">
      <c r="K262" s="20"/>
    </row>
    <row r="263" spans="11:11" x14ac:dyDescent="0.3">
      <c r="K263" s="20"/>
    </row>
    <row r="264" spans="11:11" x14ac:dyDescent="0.3">
      <c r="K264" s="20"/>
    </row>
    <row r="265" spans="11:11" x14ac:dyDescent="0.3">
      <c r="K265" s="20"/>
    </row>
    <row r="266" spans="11:11" x14ac:dyDescent="0.3">
      <c r="K266" s="20"/>
    </row>
    <row r="267" spans="11:11" x14ac:dyDescent="0.3">
      <c r="K267" s="20"/>
    </row>
    <row r="268" spans="11:11" x14ac:dyDescent="0.3">
      <c r="K268" s="20"/>
    </row>
    <row r="269" spans="11:11" x14ac:dyDescent="0.3">
      <c r="K269" s="20"/>
    </row>
    <row r="270" spans="11:11" x14ac:dyDescent="0.3">
      <c r="K270" s="20"/>
    </row>
    <row r="271" spans="11:11" x14ac:dyDescent="0.3">
      <c r="K271" s="20"/>
    </row>
    <row r="272" spans="11:11" x14ac:dyDescent="0.3">
      <c r="K272" s="20"/>
    </row>
    <row r="273" spans="11:11" x14ac:dyDescent="0.3">
      <c r="K273" s="20"/>
    </row>
    <row r="274" spans="11:11" x14ac:dyDescent="0.3">
      <c r="K274" s="20"/>
    </row>
    <row r="275" spans="11:11" x14ac:dyDescent="0.3">
      <c r="K275" s="20"/>
    </row>
    <row r="276" spans="11:11" x14ac:dyDescent="0.3">
      <c r="K276" s="20"/>
    </row>
    <row r="277" spans="11:11" x14ac:dyDescent="0.3">
      <c r="K277" s="20"/>
    </row>
    <row r="278" spans="11:11" x14ac:dyDescent="0.3">
      <c r="K278" s="20"/>
    </row>
    <row r="279" spans="11:11" x14ac:dyDescent="0.3">
      <c r="K279" s="20"/>
    </row>
    <row r="280" spans="11:11" x14ac:dyDescent="0.3">
      <c r="K280" s="20"/>
    </row>
    <row r="281" spans="11:11" x14ac:dyDescent="0.3">
      <c r="K281" s="20"/>
    </row>
    <row r="282" spans="11:11" x14ac:dyDescent="0.3">
      <c r="K282" s="20"/>
    </row>
    <row r="283" spans="11:11" x14ac:dyDescent="0.3">
      <c r="K283" s="20"/>
    </row>
    <row r="284" spans="11:11" x14ac:dyDescent="0.3">
      <c r="K284" s="20"/>
    </row>
    <row r="285" spans="11:11" x14ac:dyDescent="0.3">
      <c r="K285" s="20"/>
    </row>
    <row r="286" spans="11:11" x14ac:dyDescent="0.3">
      <c r="K286" s="20"/>
    </row>
    <row r="287" spans="11:11" x14ac:dyDescent="0.3">
      <c r="K287" s="20"/>
    </row>
    <row r="288" spans="11:11" x14ac:dyDescent="0.3">
      <c r="K288" s="20"/>
    </row>
    <row r="289" spans="11:11" x14ac:dyDescent="0.3">
      <c r="K289" s="20"/>
    </row>
    <row r="290" spans="11:11" x14ac:dyDescent="0.3">
      <c r="K290" s="20"/>
    </row>
    <row r="291" spans="11:11" x14ac:dyDescent="0.3">
      <c r="K291" s="20"/>
    </row>
    <row r="292" spans="11:11" x14ac:dyDescent="0.3">
      <c r="K292" s="20"/>
    </row>
    <row r="293" spans="11:11" x14ac:dyDescent="0.3">
      <c r="K293" s="20"/>
    </row>
    <row r="294" spans="11:11" x14ac:dyDescent="0.3">
      <c r="K294" s="20"/>
    </row>
    <row r="295" spans="11:11" x14ac:dyDescent="0.3">
      <c r="K295" s="20"/>
    </row>
    <row r="296" spans="11:11" x14ac:dyDescent="0.3">
      <c r="K296" s="20"/>
    </row>
    <row r="297" spans="11:11" x14ac:dyDescent="0.3">
      <c r="K297" s="20"/>
    </row>
    <row r="298" spans="11:11" x14ac:dyDescent="0.3">
      <c r="K298" s="20"/>
    </row>
    <row r="299" spans="11:11" x14ac:dyDescent="0.3">
      <c r="K299" s="20"/>
    </row>
    <row r="300" spans="11:11" x14ac:dyDescent="0.3">
      <c r="K300" s="20"/>
    </row>
    <row r="301" spans="11:11" x14ac:dyDescent="0.3">
      <c r="K301" s="20"/>
    </row>
    <row r="302" spans="11:11" x14ac:dyDescent="0.3">
      <c r="K302" s="20"/>
    </row>
    <row r="303" spans="11:11" x14ac:dyDescent="0.3">
      <c r="K303" s="20"/>
    </row>
    <row r="304" spans="11:11" x14ac:dyDescent="0.3">
      <c r="K304" s="20"/>
    </row>
    <row r="305" spans="11:11" x14ac:dyDescent="0.3">
      <c r="K305" s="20"/>
    </row>
    <row r="306" spans="11:11" x14ac:dyDescent="0.3">
      <c r="K306" s="20"/>
    </row>
    <row r="307" spans="11:11" x14ac:dyDescent="0.3">
      <c r="K307" s="20"/>
    </row>
    <row r="308" spans="11:11" x14ac:dyDescent="0.3">
      <c r="K308" s="20"/>
    </row>
    <row r="309" spans="11:11" x14ac:dyDescent="0.3">
      <c r="K309" s="20"/>
    </row>
    <row r="310" spans="11:11" x14ac:dyDescent="0.3">
      <c r="K310" s="20"/>
    </row>
    <row r="311" spans="11:11" x14ac:dyDescent="0.3">
      <c r="K311" s="20"/>
    </row>
    <row r="312" spans="11:11" x14ac:dyDescent="0.3">
      <c r="K312" s="20"/>
    </row>
    <row r="313" spans="11:11" x14ac:dyDescent="0.3">
      <c r="K313" s="20"/>
    </row>
    <row r="314" spans="11:11" x14ac:dyDescent="0.3">
      <c r="K314" s="20"/>
    </row>
    <row r="315" spans="11:11" x14ac:dyDescent="0.3">
      <c r="K315" s="20"/>
    </row>
    <row r="316" spans="11:11" x14ac:dyDescent="0.3">
      <c r="K316" s="20"/>
    </row>
    <row r="317" spans="11:11" x14ac:dyDescent="0.3">
      <c r="K317" s="20"/>
    </row>
    <row r="318" spans="11:11" x14ac:dyDescent="0.3">
      <c r="K318" s="20"/>
    </row>
    <row r="319" spans="11:11" x14ac:dyDescent="0.3">
      <c r="K319" s="20"/>
    </row>
    <row r="320" spans="11:11" x14ac:dyDescent="0.3">
      <c r="K320" s="20"/>
    </row>
    <row r="321" spans="11:11" x14ac:dyDescent="0.3">
      <c r="K321" s="20"/>
    </row>
    <row r="322" spans="11:11" x14ac:dyDescent="0.3">
      <c r="K322" s="20"/>
    </row>
    <row r="323" spans="11:11" x14ac:dyDescent="0.3">
      <c r="K323" s="20"/>
    </row>
    <row r="324" spans="11:11" x14ac:dyDescent="0.3">
      <c r="K324" s="20"/>
    </row>
    <row r="325" spans="11:11" x14ac:dyDescent="0.3">
      <c r="K325" s="20"/>
    </row>
    <row r="326" spans="11:11" x14ac:dyDescent="0.3">
      <c r="K326" s="20"/>
    </row>
    <row r="327" spans="11:11" x14ac:dyDescent="0.3">
      <c r="K327" s="20"/>
    </row>
    <row r="328" spans="11:11" x14ac:dyDescent="0.3">
      <c r="K328" s="20"/>
    </row>
    <row r="329" spans="11:11" x14ac:dyDescent="0.3">
      <c r="K329" s="20"/>
    </row>
    <row r="330" spans="11:11" x14ac:dyDescent="0.3">
      <c r="K330" s="20"/>
    </row>
    <row r="331" spans="11:11" x14ac:dyDescent="0.3">
      <c r="K331" s="20"/>
    </row>
    <row r="332" spans="11:11" x14ac:dyDescent="0.3">
      <c r="K332" s="20"/>
    </row>
    <row r="333" spans="11:11" x14ac:dyDescent="0.3">
      <c r="K333" s="20"/>
    </row>
    <row r="334" spans="11:11" x14ac:dyDescent="0.3">
      <c r="K334" s="20"/>
    </row>
    <row r="335" spans="11:11" x14ac:dyDescent="0.3">
      <c r="K335" s="20"/>
    </row>
    <row r="336" spans="11:11" x14ac:dyDescent="0.3">
      <c r="K336" s="20"/>
    </row>
    <row r="337" spans="11:11" x14ac:dyDescent="0.3">
      <c r="K337" s="20"/>
    </row>
    <row r="338" spans="11:11" x14ac:dyDescent="0.3">
      <c r="K338" s="20"/>
    </row>
    <row r="339" spans="11:11" x14ac:dyDescent="0.3">
      <c r="K339" s="20"/>
    </row>
    <row r="340" spans="11:11" x14ac:dyDescent="0.3">
      <c r="K340" s="20"/>
    </row>
    <row r="341" spans="11:11" x14ac:dyDescent="0.3">
      <c r="K341" s="20"/>
    </row>
    <row r="342" spans="11:11" x14ac:dyDescent="0.3">
      <c r="K342" s="20"/>
    </row>
    <row r="343" spans="11:11" x14ac:dyDescent="0.3">
      <c r="K343" s="20"/>
    </row>
    <row r="344" spans="11:11" x14ac:dyDescent="0.3">
      <c r="K344" s="20"/>
    </row>
    <row r="345" spans="11:11" x14ac:dyDescent="0.3">
      <c r="K345" s="20"/>
    </row>
    <row r="346" spans="11:11" x14ac:dyDescent="0.3">
      <c r="K346" s="20"/>
    </row>
    <row r="347" spans="11:11" x14ac:dyDescent="0.3">
      <c r="K347" s="20"/>
    </row>
    <row r="348" spans="11:11" x14ac:dyDescent="0.3">
      <c r="K348" s="20"/>
    </row>
    <row r="349" spans="11:11" x14ac:dyDescent="0.3">
      <c r="K349" s="20"/>
    </row>
    <row r="350" spans="11:11" x14ac:dyDescent="0.3">
      <c r="K350" s="20"/>
    </row>
    <row r="351" spans="11:11" x14ac:dyDescent="0.3">
      <c r="K351" s="20"/>
    </row>
    <row r="352" spans="11:11" x14ac:dyDescent="0.3">
      <c r="K352" s="20"/>
    </row>
    <row r="353" spans="11:11" x14ac:dyDescent="0.3">
      <c r="K353" s="20"/>
    </row>
    <row r="354" spans="11:11" x14ac:dyDescent="0.3">
      <c r="K354" s="20"/>
    </row>
    <row r="355" spans="11:11" x14ac:dyDescent="0.3">
      <c r="K355" s="20"/>
    </row>
    <row r="356" spans="11:11" x14ac:dyDescent="0.3">
      <c r="K356" s="20"/>
    </row>
    <row r="357" spans="11:11" x14ac:dyDescent="0.3">
      <c r="K357" s="20"/>
    </row>
    <row r="358" spans="11:11" x14ac:dyDescent="0.3">
      <c r="K358" s="20"/>
    </row>
    <row r="359" spans="11:11" x14ac:dyDescent="0.3">
      <c r="K359" s="20"/>
    </row>
    <row r="360" spans="11:11" x14ac:dyDescent="0.3">
      <c r="K360" s="20"/>
    </row>
    <row r="361" spans="11:11" x14ac:dyDescent="0.3">
      <c r="K361" s="20"/>
    </row>
    <row r="362" spans="11:11" x14ac:dyDescent="0.3">
      <c r="K362" s="20"/>
    </row>
    <row r="363" spans="11:11" x14ac:dyDescent="0.3">
      <c r="K363" s="20"/>
    </row>
    <row r="364" spans="11:11" x14ac:dyDescent="0.3">
      <c r="K364" s="20"/>
    </row>
    <row r="365" spans="11:11" x14ac:dyDescent="0.3">
      <c r="K365" s="20"/>
    </row>
    <row r="366" spans="11:11" x14ac:dyDescent="0.3">
      <c r="K366" s="20"/>
    </row>
    <row r="367" spans="11:11" x14ac:dyDescent="0.3">
      <c r="K367" s="20"/>
    </row>
    <row r="368" spans="11:11" x14ac:dyDescent="0.3">
      <c r="K368" s="20"/>
    </row>
    <row r="369" spans="11:11" x14ac:dyDescent="0.3">
      <c r="K369" s="20"/>
    </row>
    <row r="370" spans="11:11" x14ac:dyDescent="0.3">
      <c r="K370" s="20"/>
    </row>
    <row r="371" spans="11:11" x14ac:dyDescent="0.3">
      <c r="K371" s="20"/>
    </row>
    <row r="372" spans="11:11" x14ac:dyDescent="0.3">
      <c r="K372" s="20"/>
    </row>
    <row r="373" spans="11:11" x14ac:dyDescent="0.3">
      <c r="K373" s="20"/>
    </row>
    <row r="374" spans="11:11" x14ac:dyDescent="0.3">
      <c r="K374" s="20"/>
    </row>
    <row r="375" spans="11:11" x14ac:dyDescent="0.3">
      <c r="K375" s="20"/>
    </row>
    <row r="376" spans="11:11" x14ac:dyDescent="0.3">
      <c r="K376" s="20"/>
    </row>
    <row r="377" spans="11:11" x14ac:dyDescent="0.3">
      <c r="K377" s="20"/>
    </row>
    <row r="378" spans="11:11" x14ac:dyDescent="0.3">
      <c r="K378" s="20"/>
    </row>
    <row r="379" spans="11:11" x14ac:dyDescent="0.3">
      <c r="K379" s="20"/>
    </row>
    <row r="380" spans="11:11" x14ac:dyDescent="0.3">
      <c r="K380" s="20"/>
    </row>
    <row r="381" spans="11:11" x14ac:dyDescent="0.3">
      <c r="K381" s="20"/>
    </row>
    <row r="382" spans="11:11" x14ac:dyDescent="0.3">
      <c r="K382" s="20"/>
    </row>
    <row r="383" spans="11:11" x14ac:dyDescent="0.3">
      <c r="K383" s="20"/>
    </row>
    <row r="384" spans="11:11" x14ac:dyDescent="0.3">
      <c r="K384" s="20"/>
    </row>
    <row r="385" spans="11:11" x14ac:dyDescent="0.3">
      <c r="K385" s="20"/>
    </row>
    <row r="386" spans="11:11" x14ac:dyDescent="0.3">
      <c r="K386" s="20"/>
    </row>
    <row r="387" spans="11:11" x14ac:dyDescent="0.3">
      <c r="K387" s="20"/>
    </row>
    <row r="388" spans="11:11" x14ac:dyDescent="0.3">
      <c r="K388" s="20"/>
    </row>
    <row r="389" spans="11:11" x14ac:dyDescent="0.3">
      <c r="K389" s="20"/>
    </row>
    <row r="390" spans="11:11" x14ac:dyDescent="0.3">
      <c r="K390" s="20"/>
    </row>
    <row r="391" spans="11:11" x14ac:dyDescent="0.3">
      <c r="K391" s="20"/>
    </row>
    <row r="392" spans="11:11" x14ac:dyDescent="0.3">
      <c r="K392" s="20"/>
    </row>
    <row r="393" spans="11:11" x14ac:dyDescent="0.3">
      <c r="K393" s="20"/>
    </row>
    <row r="394" spans="11:11" x14ac:dyDescent="0.3">
      <c r="K394" s="20"/>
    </row>
    <row r="395" spans="11:11" x14ac:dyDescent="0.3">
      <c r="K395" s="20"/>
    </row>
    <row r="396" spans="11:11" x14ac:dyDescent="0.3">
      <c r="K396" s="20"/>
    </row>
    <row r="397" spans="11:11" x14ac:dyDescent="0.3">
      <c r="K397" s="20"/>
    </row>
    <row r="398" spans="11:11" x14ac:dyDescent="0.3">
      <c r="K398" s="20"/>
    </row>
    <row r="399" spans="11:11" x14ac:dyDescent="0.3">
      <c r="K399" s="20"/>
    </row>
    <row r="400" spans="11:11" x14ac:dyDescent="0.3">
      <c r="K400" s="20"/>
    </row>
    <row r="401" spans="11:11" x14ac:dyDescent="0.3">
      <c r="K401" s="20"/>
    </row>
    <row r="402" spans="11:11" x14ac:dyDescent="0.3">
      <c r="K402" s="20"/>
    </row>
    <row r="403" spans="11:11" x14ac:dyDescent="0.3">
      <c r="K403" s="20"/>
    </row>
    <row r="404" spans="11:11" x14ac:dyDescent="0.3">
      <c r="K404" s="20"/>
    </row>
    <row r="405" spans="11:11" x14ac:dyDescent="0.3">
      <c r="K405" s="20"/>
    </row>
    <row r="406" spans="11:11" x14ac:dyDescent="0.3">
      <c r="K406" s="20"/>
    </row>
    <row r="407" spans="11:11" x14ac:dyDescent="0.3">
      <c r="K407" s="20"/>
    </row>
    <row r="408" spans="11:11" x14ac:dyDescent="0.3">
      <c r="K408" s="20"/>
    </row>
    <row r="409" spans="11:11" x14ac:dyDescent="0.3">
      <c r="K409" s="20"/>
    </row>
    <row r="410" spans="11:11" x14ac:dyDescent="0.3">
      <c r="K410" s="20"/>
    </row>
    <row r="411" spans="11:11" x14ac:dyDescent="0.3">
      <c r="K411" s="20"/>
    </row>
    <row r="412" spans="11:11" x14ac:dyDescent="0.3">
      <c r="K412" s="20"/>
    </row>
    <row r="413" spans="11:11" x14ac:dyDescent="0.3">
      <c r="K413" s="20"/>
    </row>
    <row r="414" spans="11:11" x14ac:dyDescent="0.3">
      <c r="K414" s="20"/>
    </row>
    <row r="415" spans="11:11" x14ac:dyDescent="0.3">
      <c r="K415" s="20"/>
    </row>
    <row r="416" spans="11:11" x14ac:dyDescent="0.3">
      <c r="K416" s="20"/>
    </row>
    <row r="417" spans="11:11" x14ac:dyDescent="0.3">
      <c r="K417" s="20"/>
    </row>
    <row r="418" spans="11:11" x14ac:dyDescent="0.3">
      <c r="K418" s="20"/>
    </row>
    <row r="419" spans="11:11" x14ac:dyDescent="0.3">
      <c r="K419" s="20"/>
    </row>
    <row r="420" spans="11:11" x14ac:dyDescent="0.3">
      <c r="K420" s="20"/>
    </row>
    <row r="421" spans="11:11" x14ac:dyDescent="0.3">
      <c r="K421" s="20"/>
    </row>
    <row r="422" spans="11:11" x14ac:dyDescent="0.3">
      <c r="K422" s="20"/>
    </row>
    <row r="423" spans="11:11" x14ac:dyDescent="0.3">
      <c r="K423" s="20"/>
    </row>
    <row r="424" spans="11:11" x14ac:dyDescent="0.3">
      <c r="K424" s="20"/>
    </row>
    <row r="425" spans="11:11" x14ac:dyDescent="0.3">
      <c r="K425" s="20"/>
    </row>
    <row r="426" spans="11:11" x14ac:dyDescent="0.3">
      <c r="K426" s="20"/>
    </row>
    <row r="427" spans="11:11" x14ac:dyDescent="0.3">
      <c r="K427" s="20"/>
    </row>
    <row r="428" spans="11:11" x14ac:dyDescent="0.3">
      <c r="K428" s="20"/>
    </row>
    <row r="429" spans="11:11" x14ac:dyDescent="0.3">
      <c r="K429" s="20"/>
    </row>
    <row r="430" spans="11:11" x14ac:dyDescent="0.3">
      <c r="K430" s="20"/>
    </row>
    <row r="431" spans="11:11" x14ac:dyDescent="0.3">
      <c r="K431" s="20"/>
    </row>
    <row r="432" spans="11:11" x14ac:dyDescent="0.3">
      <c r="K432" s="20"/>
    </row>
    <row r="433" spans="11:11" x14ac:dyDescent="0.3">
      <c r="K433" s="20"/>
    </row>
    <row r="434" spans="11:11" x14ac:dyDescent="0.3">
      <c r="K434" s="20"/>
    </row>
    <row r="435" spans="11:11" x14ac:dyDescent="0.3">
      <c r="K435" s="20"/>
    </row>
    <row r="436" spans="11:11" x14ac:dyDescent="0.3">
      <c r="K436" s="20"/>
    </row>
    <row r="437" spans="11:11" x14ac:dyDescent="0.3">
      <c r="K437" s="20"/>
    </row>
    <row r="438" spans="11:11" x14ac:dyDescent="0.3">
      <c r="K438" s="20"/>
    </row>
    <row r="439" spans="11:11" x14ac:dyDescent="0.3">
      <c r="K439" s="20"/>
    </row>
    <row r="440" spans="11:11" x14ac:dyDescent="0.3">
      <c r="K440" s="20"/>
    </row>
    <row r="441" spans="11:11" x14ac:dyDescent="0.3">
      <c r="K441" s="20"/>
    </row>
    <row r="442" spans="11:11" x14ac:dyDescent="0.3">
      <c r="K442" s="20"/>
    </row>
    <row r="443" spans="11:11" x14ac:dyDescent="0.3">
      <c r="K443" s="20"/>
    </row>
    <row r="444" spans="11:11" x14ac:dyDescent="0.3">
      <c r="K444" s="20"/>
    </row>
    <row r="445" spans="11:11" x14ac:dyDescent="0.3">
      <c r="K445" s="20"/>
    </row>
    <row r="446" spans="11:11" x14ac:dyDescent="0.3">
      <c r="K446" s="20"/>
    </row>
    <row r="447" spans="11:11" x14ac:dyDescent="0.3">
      <c r="K447" s="20"/>
    </row>
    <row r="448" spans="11:11" x14ac:dyDescent="0.3">
      <c r="K448" s="20"/>
    </row>
    <row r="449" spans="11:11" x14ac:dyDescent="0.3">
      <c r="K449" s="20"/>
    </row>
    <row r="450" spans="11:11" x14ac:dyDescent="0.3">
      <c r="K450" s="20"/>
    </row>
    <row r="451" spans="11:11" x14ac:dyDescent="0.3">
      <c r="K451" s="20"/>
    </row>
    <row r="452" spans="11:11" x14ac:dyDescent="0.3">
      <c r="K452" s="20"/>
    </row>
    <row r="453" spans="11:11" x14ac:dyDescent="0.3">
      <c r="K453" s="20"/>
    </row>
    <row r="454" spans="11:11" x14ac:dyDescent="0.3">
      <c r="K454" s="20"/>
    </row>
    <row r="455" spans="11:11" x14ac:dyDescent="0.3">
      <c r="K455" s="20"/>
    </row>
    <row r="456" spans="11:11" x14ac:dyDescent="0.3">
      <c r="K456" s="20"/>
    </row>
    <row r="457" spans="11:11" x14ac:dyDescent="0.3">
      <c r="K457" s="20"/>
    </row>
    <row r="458" spans="11:11" x14ac:dyDescent="0.3">
      <c r="K458" s="20"/>
    </row>
    <row r="459" spans="11:11" x14ac:dyDescent="0.3">
      <c r="K459" s="20"/>
    </row>
    <row r="460" spans="11:11" x14ac:dyDescent="0.3">
      <c r="K460" s="20"/>
    </row>
    <row r="461" spans="11:11" x14ac:dyDescent="0.3">
      <c r="K461" s="20"/>
    </row>
    <row r="462" spans="11:11" x14ac:dyDescent="0.3">
      <c r="K462" s="20"/>
    </row>
    <row r="463" spans="11:11" x14ac:dyDescent="0.3">
      <c r="K463" s="20"/>
    </row>
    <row r="464" spans="11:11" x14ac:dyDescent="0.3">
      <c r="K464" s="20"/>
    </row>
    <row r="465" spans="11:11" x14ac:dyDescent="0.3">
      <c r="K465" s="20"/>
    </row>
    <row r="466" spans="11:11" x14ac:dyDescent="0.3">
      <c r="K466" s="20"/>
    </row>
    <row r="467" spans="11:11" x14ac:dyDescent="0.3">
      <c r="K467" s="20"/>
    </row>
    <row r="468" spans="11:11" x14ac:dyDescent="0.3">
      <c r="K468" s="20"/>
    </row>
    <row r="469" spans="11:11" x14ac:dyDescent="0.3">
      <c r="K469" s="20"/>
    </row>
    <row r="470" spans="11:11" x14ac:dyDescent="0.3">
      <c r="K470" s="20"/>
    </row>
    <row r="471" spans="11:11" x14ac:dyDescent="0.3">
      <c r="K471" s="20"/>
    </row>
    <row r="472" spans="11:11" x14ac:dyDescent="0.3">
      <c r="K472" s="20"/>
    </row>
    <row r="473" spans="11:11" x14ac:dyDescent="0.3">
      <c r="K473" s="20"/>
    </row>
    <row r="474" spans="11:11" x14ac:dyDescent="0.3">
      <c r="K474" s="20"/>
    </row>
    <row r="475" spans="11:11" x14ac:dyDescent="0.3">
      <c r="K475" s="20"/>
    </row>
    <row r="476" spans="11:11" x14ac:dyDescent="0.3">
      <c r="K476" s="20"/>
    </row>
    <row r="477" spans="11:11" x14ac:dyDescent="0.3">
      <c r="K477" s="20"/>
    </row>
    <row r="478" spans="11:11" x14ac:dyDescent="0.3">
      <c r="K478" s="20"/>
    </row>
    <row r="479" spans="11:11" x14ac:dyDescent="0.3">
      <c r="K479" s="20"/>
    </row>
    <row r="480" spans="11:11" x14ac:dyDescent="0.3">
      <c r="K480" s="20"/>
    </row>
    <row r="481" spans="11:11" x14ac:dyDescent="0.3">
      <c r="K481" s="20"/>
    </row>
    <row r="482" spans="11:11" x14ac:dyDescent="0.3">
      <c r="K482" s="20"/>
    </row>
    <row r="483" spans="11:11" x14ac:dyDescent="0.3">
      <c r="K483" s="20"/>
    </row>
    <row r="484" spans="11:11" x14ac:dyDescent="0.3">
      <c r="K484" s="20"/>
    </row>
    <row r="485" spans="11:11" x14ac:dyDescent="0.3">
      <c r="K485" s="20"/>
    </row>
    <row r="486" spans="11:11" x14ac:dyDescent="0.3">
      <c r="K486" s="20"/>
    </row>
    <row r="487" spans="11:11" x14ac:dyDescent="0.3">
      <c r="K487" s="20"/>
    </row>
    <row r="488" spans="11:11" x14ac:dyDescent="0.3">
      <c r="K488" s="20"/>
    </row>
    <row r="489" spans="11:11" x14ac:dyDescent="0.3">
      <c r="K489" s="20"/>
    </row>
    <row r="490" spans="11:11" x14ac:dyDescent="0.3">
      <c r="K490" s="20"/>
    </row>
    <row r="491" spans="11:11" x14ac:dyDescent="0.3">
      <c r="K491" s="20"/>
    </row>
    <row r="492" spans="11:11" x14ac:dyDescent="0.3">
      <c r="K492" s="20"/>
    </row>
    <row r="493" spans="11:11" x14ac:dyDescent="0.3">
      <c r="K493" s="20"/>
    </row>
    <row r="494" spans="11:11" x14ac:dyDescent="0.3">
      <c r="K494" s="20"/>
    </row>
    <row r="495" spans="11:11" x14ac:dyDescent="0.3">
      <c r="K495" s="20"/>
    </row>
    <row r="496" spans="11:11" x14ac:dyDescent="0.3">
      <c r="K496" s="20"/>
    </row>
    <row r="497" spans="11:11" x14ac:dyDescent="0.3">
      <c r="K497" s="20"/>
    </row>
    <row r="498" spans="11:11" x14ac:dyDescent="0.3">
      <c r="K498" s="20"/>
    </row>
    <row r="499" spans="11:11" x14ac:dyDescent="0.3">
      <c r="K499" s="20"/>
    </row>
    <row r="500" spans="11:11" x14ac:dyDescent="0.3">
      <c r="K500" s="20"/>
    </row>
    <row r="501" spans="11:11" x14ac:dyDescent="0.3">
      <c r="K501" s="20"/>
    </row>
    <row r="502" spans="11:11" x14ac:dyDescent="0.3">
      <c r="K502" s="20"/>
    </row>
    <row r="503" spans="11:11" x14ac:dyDescent="0.3">
      <c r="K503" s="20"/>
    </row>
    <row r="504" spans="11:11" x14ac:dyDescent="0.3">
      <c r="K504" s="20"/>
    </row>
    <row r="505" spans="11:11" x14ac:dyDescent="0.3">
      <c r="K505" s="20"/>
    </row>
    <row r="506" spans="11:11" x14ac:dyDescent="0.3">
      <c r="K506" s="20"/>
    </row>
    <row r="507" spans="11:11" x14ac:dyDescent="0.3">
      <c r="K507" s="20"/>
    </row>
    <row r="508" spans="11:11" x14ac:dyDescent="0.3">
      <c r="K508" s="20"/>
    </row>
    <row r="509" spans="11:11" x14ac:dyDescent="0.3">
      <c r="K509" s="20"/>
    </row>
    <row r="510" spans="11:11" x14ac:dyDescent="0.3">
      <c r="K510" s="20"/>
    </row>
    <row r="511" spans="11:11" x14ac:dyDescent="0.3">
      <c r="K511" s="20"/>
    </row>
    <row r="512" spans="11:11" x14ac:dyDescent="0.3">
      <c r="K512" s="20"/>
    </row>
    <row r="513" spans="11:11" x14ac:dyDescent="0.3">
      <c r="K513" s="20"/>
    </row>
    <row r="514" spans="11:11" x14ac:dyDescent="0.3">
      <c r="K514" s="20"/>
    </row>
    <row r="515" spans="11:11" x14ac:dyDescent="0.3">
      <c r="K515" s="20"/>
    </row>
    <row r="516" spans="11:11" x14ac:dyDescent="0.3">
      <c r="K516" s="20"/>
    </row>
    <row r="517" spans="11:11" x14ac:dyDescent="0.3">
      <c r="K517" s="20"/>
    </row>
    <row r="518" spans="11:11" x14ac:dyDescent="0.3">
      <c r="K518" s="20"/>
    </row>
    <row r="519" spans="11:11" x14ac:dyDescent="0.3">
      <c r="K519" s="20"/>
    </row>
    <row r="520" spans="11:11" x14ac:dyDescent="0.3">
      <c r="K520" s="20"/>
    </row>
    <row r="521" spans="11:11" x14ac:dyDescent="0.3">
      <c r="K521" s="20"/>
    </row>
    <row r="522" spans="11:11" x14ac:dyDescent="0.3">
      <c r="K522" s="20"/>
    </row>
    <row r="523" spans="11:11" x14ac:dyDescent="0.3">
      <c r="K523" s="20"/>
    </row>
    <row r="524" spans="11:11" x14ac:dyDescent="0.3">
      <c r="K524" s="20"/>
    </row>
    <row r="525" spans="11:11" x14ac:dyDescent="0.3">
      <c r="K525" s="20"/>
    </row>
    <row r="526" spans="11:11" x14ac:dyDescent="0.3">
      <c r="K526" s="20"/>
    </row>
    <row r="527" spans="11:11" x14ac:dyDescent="0.3">
      <c r="K527" s="20"/>
    </row>
    <row r="528" spans="11:11" x14ac:dyDescent="0.3">
      <c r="K528" s="20"/>
    </row>
    <row r="529" spans="11:11" x14ac:dyDescent="0.3">
      <c r="K529" s="20"/>
    </row>
    <row r="530" spans="11:11" x14ac:dyDescent="0.3">
      <c r="K530" s="20"/>
    </row>
    <row r="531" spans="11:11" x14ac:dyDescent="0.3">
      <c r="K531" s="20"/>
    </row>
    <row r="532" spans="11:11" x14ac:dyDescent="0.3">
      <c r="K532" s="20"/>
    </row>
    <row r="533" spans="11:11" x14ac:dyDescent="0.3">
      <c r="K533" s="20"/>
    </row>
    <row r="534" spans="11:11" x14ac:dyDescent="0.3">
      <c r="K534" s="20"/>
    </row>
    <row r="535" spans="11:11" x14ac:dyDescent="0.3">
      <c r="K535" s="20"/>
    </row>
    <row r="536" spans="11:11" x14ac:dyDescent="0.3">
      <c r="K536" s="20"/>
    </row>
    <row r="537" spans="11:11" x14ac:dyDescent="0.3">
      <c r="K537" s="20"/>
    </row>
    <row r="538" spans="11:11" x14ac:dyDescent="0.3">
      <c r="K538" s="20"/>
    </row>
    <row r="539" spans="11:11" x14ac:dyDescent="0.3">
      <c r="K539" s="20"/>
    </row>
    <row r="540" spans="11:11" x14ac:dyDescent="0.3">
      <c r="K540" s="20"/>
    </row>
    <row r="541" spans="11:11" x14ac:dyDescent="0.3">
      <c r="K541" s="20"/>
    </row>
    <row r="542" spans="11:11" x14ac:dyDescent="0.3">
      <c r="K542" s="20"/>
    </row>
    <row r="543" spans="11:11" x14ac:dyDescent="0.3">
      <c r="K543" s="20"/>
    </row>
    <row r="544" spans="11:11" x14ac:dyDescent="0.3">
      <c r="K544" s="20"/>
    </row>
    <row r="545" spans="11:11" x14ac:dyDescent="0.3">
      <c r="K545" s="20"/>
    </row>
    <row r="546" spans="11:11" x14ac:dyDescent="0.3">
      <c r="K546" s="20"/>
    </row>
    <row r="547" spans="11:11" x14ac:dyDescent="0.3">
      <c r="K547" s="20"/>
    </row>
    <row r="548" spans="11:11" x14ac:dyDescent="0.3">
      <c r="K548" s="20"/>
    </row>
    <row r="549" spans="11:11" x14ac:dyDescent="0.3">
      <c r="K549" s="20"/>
    </row>
    <row r="550" spans="11:11" x14ac:dyDescent="0.3">
      <c r="K550" s="20"/>
    </row>
    <row r="551" spans="11:11" x14ac:dyDescent="0.3">
      <c r="K551" s="20"/>
    </row>
    <row r="552" spans="11:11" x14ac:dyDescent="0.3">
      <c r="K552" s="20"/>
    </row>
    <row r="553" spans="11:11" x14ac:dyDescent="0.3">
      <c r="K553" s="20"/>
    </row>
    <row r="554" spans="11:11" x14ac:dyDescent="0.3">
      <c r="K554" s="20"/>
    </row>
    <row r="555" spans="11:11" x14ac:dyDescent="0.3">
      <c r="K555" s="20"/>
    </row>
    <row r="556" spans="11:11" x14ac:dyDescent="0.3">
      <c r="K556" s="20"/>
    </row>
    <row r="557" spans="11:11" x14ac:dyDescent="0.3">
      <c r="K557" s="20"/>
    </row>
    <row r="558" spans="11:11" x14ac:dyDescent="0.3">
      <c r="K558" s="20"/>
    </row>
    <row r="559" spans="11:11" x14ac:dyDescent="0.3">
      <c r="K559" s="20"/>
    </row>
    <row r="560" spans="11:11" x14ac:dyDescent="0.3">
      <c r="K560" s="20"/>
    </row>
    <row r="561" spans="11:11" x14ac:dyDescent="0.3">
      <c r="K561" s="20"/>
    </row>
    <row r="562" spans="11:11" x14ac:dyDescent="0.3">
      <c r="K562" s="20"/>
    </row>
    <row r="563" spans="11:11" x14ac:dyDescent="0.3">
      <c r="K563" s="20"/>
    </row>
    <row r="564" spans="11:11" x14ac:dyDescent="0.3">
      <c r="K564" s="20"/>
    </row>
    <row r="565" spans="11:11" x14ac:dyDescent="0.3">
      <c r="K565" s="20"/>
    </row>
    <row r="566" spans="11:11" x14ac:dyDescent="0.3">
      <c r="K566" s="20"/>
    </row>
    <row r="567" spans="11:11" x14ac:dyDescent="0.3">
      <c r="K567" s="20"/>
    </row>
    <row r="568" spans="11:11" x14ac:dyDescent="0.3">
      <c r="K568" s="20"/>
    </row>
    <row r="569" spans="11:11" x14ac:dyDescent="0.3">
      <c r="K569" s="20"/>
    </row>
    <row r="570" spans="11:11" x14ac:dyDescent="0.3">
      <c r="K570" s="20"/>
    </row>
    <row r="571" spans="11:11" x14ac:dyDescent="0.3">
      <c r="K571" s="20"/>
    </row>
    <row r="572" spans="11:11" x14ac:dyDescent="0.3">
      <c r="K572" s="20"/>
    </row>
    <row r="573" spans="11:11" x14ac:dyDescent="0.3">
      <c r="K573" s="20"/>
    </row>
    <row r="574" spans="11:11" x14ac:dyDescent="0.3">
      <c r="K574" s="20"/>
    </row>
    <row r="575" spans="11:11" x14ac:dyDescent="0.3">
      <c r="K575" s="20"/>
    </row>
    <row r="576" spans="11:11" x14ac:dyDescent="0.3">
      <c r="K576" s="20"/>
    </row>
    <row r="577" spans="11:11" x14ac:dyDescent="0.3">
      <c r="K577" s="20"/>
    </row>
    <row r="578" spans="11:11" x14ac:dyDescent="0.3">
      <c r="K578" s="20"/>
    </row>
    <row r="579" spans="11:11" x14ac:dyDescent="0.3">
      <c r="K579" s="20"/>
    </row>
    <row r="580" spans="11:11" x14ac:dyDescent="0.3">
      <c r="K580" s="20"/>
    </row>
    <row r="581" spans="11:11" x14ac:dyDescent="0.3">
      <c r="K581" s="20"/>
    </row>
    <row r="582" spans="11:11" x14ac:dyDescent="0.3">
      <c r="K582" s="20"/>
    </row>
    <row r="583" spans="11:11" x14ac:dyDescent="0.3">
      <c r="K583" s="20"/>
    </row>
    <row r="584" spans="11:11" x14ac:dyDescent="0.3">
      <c r="K584" s="20"/>
    </row>
    <row r="585" spans="11:11" x14ac:dyDescent="0.3">
      <c r="K585" s="20"/>
    </row>
    <row r="586" spans="11:11" x14ac:dyDescent="0.3">
      <c r="K586" s="20"/>
    </row>
    <row r="587" spans="11:11" x14ac:dyDescent="0.3">
      <c r="K587" s="20"/>
    </row>
    <row r="588" spans="11:11" x14ac:dyDescent="0.3">
      <c r="K588" s="20"/>
    </row>
    <row r="589" spans="11:11" x14ac:dyDescent="0.3">
      <c r="K589" s="20"/>
    </row>
    <row r="590" spans="11:11" x14ac:dyDescent="0.3">
      <c r="K590" s="20"/>
    </row>
    <row r="591" spans="11:11" x14ac:dyDescent="0.3">
      <c r="K591" s="20"/>
    </row>
    <row r="592" spans="11:11" x14ac:dyDescent="0.3">
      <c r="K592" s="20"/>
    </row>
    <row r="593" spans="11:11" x14ac:dyDescent="0.3">
      <c r="K593" s="20"/>
    </row>
    <row r="594" spans="11:11" x14ac:dyDescent="0.3">
      <c r="K594" s="20"/>
    </row>
    <row r="595" spans="11:11" x14ac:dyDescent="0.3">
      <c r="K595" s="20"/>
    </row>
    <row r="596" spans="11:11" x14ac:dyDescent="0.3">
      <c r="K596" s="20"/>
    </row>
    <row r="597" spans="11:11" x14ac:dyDescent="0.3">
      <c r="K597" s="20"/>
    </row>
    <row r="598" spans="11:11" x14ac:dyDescent="0.3">
      <c r="K598" s="20"/>
    </row>
    <row r="599" spans="11:11" x14ac:dyDescent="0.3">
      <c r="K599" s="20"/>
    </row>
    <row r="600" spans="11:11" x14ac:dyDescent="0.3">
      <c r="K600" s="20"/>
    </row>
    <row r="601" spans="11:11" x14ac:dyDescent="0.3">
      <c r="K601" s="20"/>
    </row>
    <row r="602" spans="11:11" x14ac:dyDescent="0.3">
      <c r="K602" s="20"/>
    </row>
    <row r="603" spans="11:11" x14ac:dyDescent="0.3">
      <c r="K603" s="20"/>
    </row>
    <row r="604" spans="11:11" x14ac:dyDescent="0.3">
      <c r="K604" s="20"/>
    </row>
    <row r="605" spans="11:11" x14ac:dyDescent="0.3">
      <c r="K605" s="20"/>
    </row>
    <row r="606" spans="11:11" x14ac:dyDescent="0.3">
      <c r="K606" s="20"/>
    </row>
    <row r="607" spans="11:11" x14ac:dyDescent="0.3">
      <c r="K607" s="20"/>
    </row>
    <row r="608" spans="11:11" x14ac:dyDescent="0.3">
      <c r="K608" s="20"/>
    </row>
    <row r="609" spans="11:11" x14ac:dyDescent="0.3">
      <c r="K609" s="20"/>
    </row>
    <row r="610" spans="11:11" x14ac:dyDescent="0.3">
      <c r="K610" s="20"/>
    </row>
    <row r="611" spans="11:11" x14ac:dyDescent="0.3">
      <c r="K611" s="20"/>
    </row>
    <row r="612" spans="11:11" x14ac:dyDescent="0.3">
      <c r="K612" s="20"/>
    </row>
    <row r="613" spans="11:11" x14ac:dyDescent="0.3">
      <c r="K613" s="20"/>
    </row>
    <row r="614" spans="11:11" x14ac:dyDescent="0.3">
      <c r="K614" s="20"/>
    </row>
    <row r="615" spans="11:11" x14ac:dyDescent="0.3">
      <c r="K615" s="20"/>
    </row>
    <row r="616" spans="11:11" x14ac:dyDescent="0.3">
      <c r="K616" s="20"/>
    </row>
    <row r="617" spans="11:11" x14ac:dyDescent="0.3">
      <c r="K617" s="20"/>
    </row>
    <row r="618" spans="11:11" x14ac:dyDescent="0.3">
      <c r="K618" s="20"/>
    </row>
    <row r="619" spans="11:11" x14ac:dyDescent="0.3">
      <c r="K619" s="20"/>
    </row>
    <row r="620" spans="11:11" x14ac:dyDescent="0.3">
      <c r="K620" s="20"/>
    </row>
    <row r="621" spans="11:11" x14ac:dyDescent="0.3">
      <c r="K621" s="20"/>
    </row>
    <row r="622" spans="11:11" x14ac:dyDescent="0.3">
      <c r="K622" s="20"/>
    </row>
    <row r="623" spans="11:11" x14ac:dyDescent="0.3">
      <c r="K623" s="20"/>
    </row>
    <row r="624" spans="11:11" x14ac:dyDescent="0.3">
      <c r="K624" s="20"/>
    </row>
    <row r="625" spans="11:11" x14ac:dyDescent="0.3">
      <c r="K625" s="20"/>
    </row>
    <row r="626" spans="11:11" x14ac:dyDescent="0.3">
      <c r="K626" s="20"/>
    </row>
    <row r="627" spans="11:11" x14ac:dyDescent="0.3">
      <c r="K627" s="20"/>
    </row>
    <row r="628" spans="11:11" x14ac:dyDescent="0.3">
      <c r="K628" s="20"/>
    </row>
    <row r="629" spans="11:11" x14ac:dyDescent="0.3">
      <c r="K629" s="20"/>
    </row>
    <row r="630" spans="11:11" x14ac:dyDescent="0.3">
      <c r="K630" s="20"/>
    </row>
    <row r="631" spans="11:11" x14ac:dyDescent="0.3">
      <c r="K631" s="20"/>
    </row>
    <row r="632" spans="11:11" x14ac:dyDescent="0.3">
      <c r="K632" s="20"/>
    </row>
    <row r="633" spans="11:11" x14ac:dyDescent="0.3">
      <c r="K633" s="20"/>
    </row>
    <row r="634" spans="11:11" x14ac:dyDescent="0.3">
      <c r="K634" s="20"/>
    </row>
    <row r="635" spans="11:11" x14ac:dyDescent="0.3">
      <c r="K635" s="20"/>
    </row>
    <row r="636" spans="11:11" x14ac:dyDescent="0.3">
      <c r="K636" s="20"/>
    </row>
    <row r="637" spans="11:11" x14ac:dyDescent="0.3">
      <c r="K637" s="20"/>
    </row>
    <row r="638" spans="11:11" x14ac:dyDescent="0.3">
      <c r="K638" s="20"/>
    </row>
    <row r="639" spans="11:11" x14ac:dyDescent="0.3">
      <c r="K639" s="20"/>
    </row>
    <row r="640" spans="11:11" x14ac:dyDescent="0.3">
      <c r="K640" s="20"/>
    </row>
    <row r="641" spans="11:11" x14ac:dyDescent="0.3">
      <c r="K641" s="20"/>
    </row>
    <row r="642" spans="11:11" x14ac:dyDescent="0.3">
      <c r="K642" s="20"/>
    </row>
    <row r="643" spans="11:11" x14ac:dyDescent="0.3">
      <c r="K643" s="20"/>
    </row>
    <row r="644" spans="11:11" x14ac:dyDescent="0.3">
      <c r="K644" s="20"/>
    </row>
    <row r="645" spans="11:11" x14ac:dyDescent="0.3">
      <c r="K645" s="20"/>
    </row>
    <row r="646" spans="11:11" x14ac:dyDescent="0.3">
      <c r="K646" s="20"/>
    </row>
    <row r="647" spans="11:11" x14ac:dyDescent="0.3">
      <c r="K647" s="20"/>
    </row>
    <row r="648" spans="11:11" x14ac:dyDescent="0.3">
      <c r="K648" s="20"/>
    </row>
    <row r="649" spans="11:11" x14ac:dyDescent="0.3">
      <c r="K649" s="20"/>
    </row>
    <row r="650" spans="11:11" x14ac:dyDescent="0.3">
      <c r="K650" s="20"/>
    </row>
    <row r="651" spans="11:11" x14ac:dyDescent="0.3">
      <c r="K651" s="20"/>
    </row>
    <row r="652" spans="11:11" x14ac:dyDescent="0.3">
      <c r="K652" s="20"/>
    </row>
    <row r="653" spans="11:11" x14ac:dyDescent="0.3">
      <c r="K653" s="20"/>
    </row>
    <row r="654" spans="11:11" x14ac:dyDescent="0.3">
      <c r="K654" s="20"/>
    </row>
    <row r="655" spans="11:11" x14ac:dyDescent="0.3">
      <c r="K655" s="20"/>
    </row>
    <row r="656" spans="11:11" x14ac:dyDescent="0.3">
      <c r="K656" s="20"/>
    </row>
    <row r="657" spans="11:11" x14ac:dyDescent="0.3">
      <c r="K657" s="20"/>
    </row>
    <row r="658" spans="11:11" x14ac:dyDescent="0.3">
      <c r="K658" s="20"/>
    </row>
    <row r="659" spans="11:11" x14ac:dyDescent="0.3">
      <c r="K659" s="20"/>
    </row>
    <row r="660" spans="11:11" x14ac:dyDescent="0.3">
      <c r="K660" s="20"/>
    </row>
    <row r="661" spans="11:11" x14ac:dyDescent="0.3">
      <c r="K661" s="20"/>
    </row>
    <row r="662" spans="11:11" x14ac:dyDescent="0.3">
      <c r="K662" s="20"/>
    </row>
    <row r="663" spans="11:11" x14ac:dyDescent="0.3">
      <c r="K663" s="20"/>
    </row>
    <row r="664" spans="11:11" x14ac:dyDescent="0.3">
      <c r="K664" s="20"/>
    </row>
    <row r="665" spans="11:11" x14ac:dyDescent="0.3">
      <c r="K665" s="20"/>
    </row>
    <row r="666" spans="11:11" x14ac:dyDescent="0.3">
      <c r="K666" s="20"/>
    </row>
    <row r="667" spans="11:11" x14ac:dyDescent="0.3">
      <c r="K667" s="20"/>
    </row>
    <row r="668" spans="11:11" x14ac:dyDescent="0.3">
      <c r="K668" s="20"/>
    </row>
    <row r="669" spans="11:11" x14ac:dyDescent="0.3">
      <c r="K669" s="20"/>
    </row>
    <row r="670" spans="11:11" x14ac:dyDescent="0.3">
      <c r="K670" s="20"/>
    </row>
    <row r="671" spans="11:11" x14ac:dyDescent="0.3">
      <c r="K671" s="20"/>
    </row>
    <row r="672" spans="11:11" x14ac:dyDescent="0.3">
      <c r="K672" s="20"/>
    </row>
    <row r="673" spans="11:11" x14ac:dyDescent="0.3">
      <c r="K673" s="20"/>
    </row>
    <row r="674" spans="11:11" x14ac:dyDescent="0.3">
      <c r="K674" s="20"/>
    </row>
    <row r="675" spans="11:11" x14ac:dyDescent="0.3">
      <c r="K675" s="20"/>
    </row>
    <row r="676" spans="11:11" x14ac:dyDescent="0.3">
      <c r="K676" s="20"/>
    </row>
    <row r="677" spans="11:11" x14ac:dyDescent="0.3">
      <c r="K677" s="20"/>
    </row>
    <row r="678" spans="11:11" x14ac:dyDescent="0.3">
      <c r="K678" s="20"/>
    </row>
    <row r="679" spans="11:11" x14ac:dyDescent="0.3">
      <c r="K679" s="20"/>
    </row>
    <row r="680" spans="11:11" x14ac:dyDescent="0.3">
      <c r="K680" s="20"/>
    </row>
    <row r="681" spans="11:11" x14ac:dyDescent="0.3">
      <c r="K681" s="20"/>
    </row>
    <row r="682" spans="11:11" x14ac:dyDescent="0.3">
      <c r="K682" s="20"/>
    </row>
    <row r="683" spans="11:11" x14ac:dyDescent="0.3">
      <c r="K683" s="20"/>
    </row>
    <row r="684" spans="11:11" x14ac:dyDescent="0.3">
      <c r="K684" s="20"/>
    </row>
    <row r="685" spans="11:11" x14ac:dyDescent="0.3">
      <c r="K685" s="20"/>
    </row>
    <row r="686" spans="11:11" x14ac:dyDescent="0.3">
      <c r="K686" s="20"/>
    </row>
    <row r="687" spans="11:11" x14ac:dyDescent="0.3">
      <c r="K687" s="20"/>
    </row>
    <row r="688" spans="11:11" x14ac:dyDescent="0.3">
      <c r="K688" s="20"/>
    </row>
    <row r="689" spans="11:11" x14ac:dyDescent="0.3">
      <c r="K689" s="20"/>
    </row>
    <row r="690" spans="11:11" x14ac:dyDescent="0.3">
      <c r="K690" s="20"/>
    </row>
    <row r="691" spans="11:11" x14ac:dyDescent="0.3">
      <c r="K691" s="20"/>
    </row>
    <row r="692" spans="11:11" x14ac:dyDescent="0.3">
      <c r="K692" s="20"/>
    </row>
    <row r="693" spans="11:11" x14ac:dyDescent="0.3">
      <c r="K693" s="20"/>
    </row>
    <row r="694" spans="11:11" x14ac:dyDescent="0.3">
      <c r="K694" s="20"/>
    </row>
    <row r="695" spans="11:11" x14ac:dyDescent="0.3">
      <c r="K695" s="20"/>
    </row>
    <row r="696" spans="11:11" x14ac:dyDescent="0.3">
      <c r="K696" s="20"/>
    </row>
    <row r="697" spans="11:11" x14ac:dyDescent="0.3">
      <c r="K697" s="20"/>
    </row>
    <row r="698" spans="11:11" x14ac:dyDescent="0.3">
      <c r="K698" s="20"/>
    </row>
    <row r="699" spans="11:11" x14ac:dyDescent="0.3">
      <c r="K699" s="20"/>
    </row>
    <row r="700" spans="11:11" x14ac:dyDescent="0.3">
      <c r="K700" s="20"/>
    </row>
    <row r="701" spans="11:11" x14ac:dyDescent="0.3">
      <c r="K701" s="2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7B2-8DF9-407E-9F49-3334CFFD87EE}">
  <dimension ref="A1:J992"/>
  <sheetViews>
    <sheetView topLeftCell="B9" workbookViewId="0">
      <selection activeCell="E2" sqref="E2"/>
    </sheetView>
  </sheetViews>
  <sheetFormatPr baseColWidth="10" defaultRowHeight="14.4" x14ac:dyDescent="0.3"/>
  <cols>
    <col min="1" max="1" width="11.5546875" style="27"/>
    <col min="5" max="5" width="12.77734375" style="27" bestFit="1" customWidth="1"/>
    <col min="6" max="9" width="13.77734375" bestFit="1" customWidth="1"/>
    <col min="10" max="10" width="12.44140625" bestFit="1" customWidth="1"/>
    <col min="11" max="17" width="19.33203125" bestFit="1" customWidth="1"/>
    <col min="18" max="18" width="12.5546875" bestFit="1" customWidth="1"/>
  </cols>
  <sheetData>
    <row r="1" spans="1:10" ht="15.6" x14ac:dyDescent="0.3">
      <c r="A1" s="32" t="s">
        <v>58</v>
      </c>
      <c r="E1" s="32" t="s">
        <v>59</v>
      </c>
    </row>
    <row r="2" spans="1:10" x14ac:dyDescent="0.3">
      <c r="A2" s="28" t="s">
        <v>0</v>
      </c>
      <c r="B2" s="28" t="s">
        <v>61</v>
      </c>
      <c r="C2" s="28" t="s">
        <v>62</v>
      </c>
      <c r="E2" s="8" t="s">
        <v>69</v>
      </c>
      <c r="F2" s="8" t="s">
        <v>60</v>
      </c>
    </row>
    <row r="3" spans="1:10" x14ac:dyDescent="0.3">
      <c r="A3" s="66" cm="1">
        <f t="array" ref="A3:C332">_xlfn.LET(_xlpm.d,_xlfn._xlws.FILTER(DataTbl[Date],(DataTbl[Date]&gt;=Dashboard!D7)*(DataTbl[Date]&lt;=Dashboard!E7)),_xlpm.v,_xlfn._xlws.FILTER(DataTbl[[Views]:[Brand Awareness]],(DataTbl[Date]&gt;=Dashboard!D7)*(DataTbl[Date]&lt;=Dashboard!E7)),_xlpm.h,DataTbl[[#Headers],[Views]:[Brand Awareness]],_xlpm.n,ROWS(_xlpm.d),_xlpm.m,COLUMNS(_xlpm.v),_xlpm.dr,_xlfn.TOCOL(IF(_xlfn.SEQUENCE(_xlpm.n,_xlpm.m),_xlpm.d)),_xlpm.mr,_xlfn.TOCOL(IF(_xlfn.SEQUENCE(_xlpm.n,_xlpm.m),INDEX(_xlpm.h,_xlfn.SEQUENCE(1,_xlpm.m)))),_xlpm.vr,_xlfn.TOCOL(_xlpm.v),IFERROR(_xlfn.HSTACK(_xlpm.dr,_xlpm.mr,_xlpm.vr),""))</f>
        <v>46289</v>
      </c>
      <c r="B3" t="str">
        <v>Views</v>
      </c>
      <c r="C3">
        <v>1220</v>
      </c>
      <c r="E3" s="8" t="s">
        <v>0</v>
      </c>
      <c r="F3" t="s">
        <v>17</v>
      </c>
      <c r="G3" t="s">
        <v>13</v>
      </c>
      <c r="H3" t="s">
        <v>22</v>
      </c>
      <c r="I3" t="s">
        <v>15</v>
      </c>
      <c r="J3" t="s">
        <v>5</v>
      </c>
    </row>
    <row r="4" spans="1:10" x14ac:dyDescent="0.3">
      <c r="A4" s="66">
        <v>46289</v>
      </c>
      <c r="B4" t="str">
        <v>Total Watch Time (s)</v>
      </c>
      <c r="C4">
        <v>23421</v>
      </c>
      <c r="E4" s="27">
        <v>46289</v>
      </c>
      <c r="F4" s="92">
        <v>3</v>
      </c>
      <c r="G4" s="92">
        <v>37</v>
      </c>
      <c r="H4" s="92">
        <v>13</v>
      </c>
      <c r="I4" s="92">
        <v>13</v>
      </c>
      <c r="J4" s="92">
        <v>66</v>
      </c>
    </row>
    <row r="5" spans="1:10" x14ac:dyDescent="0.3">
      <c r="A5" s="66">
        <v>46289</v>
      </c>
      <c r="B5" t="str">
        <v>Likes</v>
      </c>
      <c r="C5">
        <v>37</v>
      </c>
      <c r="E5" s="27">
        <v>46290</v>
      </c>
      <c r="F5" s="92">
        <v>4</v>
      </c>
      <c r="G5" s="92">
        <v>28</v>
      </c>
      <c r="H5" s="92">
        <v>12</v>
      </c>
      <c r="I5" s="92">
        <v>20</v>
      </c>
      <c r="J5" s="92">
        <v>64</v>
      </c>
    </row>
    <row r="6" spans="1:10" x14ac:dyDescent="0.3">
      <c r="A6" s="66">
        <v>46289</v>
      </c>
      <c r="B6" t="str">
        <v>Saves</v>
      </c>
      <c r="C6">
        <v>13</v>
      </c>
      <c r="E6" s="27">
        <v>46291</v>
      </c>
      <c r="F6" s="92">
        <v>7</v>
      </c>
      <c r="G6" s="92">
        <v>41</v>
      </c>
      <c r="H6" s="92">
        <v>12</v>
      </c>
      <c r="I6" s="92">
        <v>14</v>
      </c>
      <c r="J6" s="92">
        <v>74</v>
      </c>
    </row>
    <row r="7" spans="1:10" x14ac:dyDescent="0.3">
      <c r="A7" s="66">
        <v>46289</v>
      </c>
      <c r="B7" t="str">
        <v>Comments</v>
      </c>
      <c r="C7">
        <v>3</v>
      </c>
      <c r="E7" s="27">
        <v>46292</v>
      </c>
      <c r="F7" s="92">
        <v>6</v>
      </c>
      <c r="G7" s="92">
        <v>42</v>
      </c>
      <c r="H7" s="92">
        <v>15</v>
      </c>
      <c r="I7" s="92">
        <v>19</v>
      </c>
      <c r="J7" s="92">
        <v>82</v>
      </c>
    </row>
    <row r="8" spans="1:10" x14ac:dyDescent="0.3">
      <c r="A8" s="66">
        <v>46289</v>
      </c>
      <c r="B8" t="str">
        <v>Shares</v>
      </c>
      <c r="C8">
        <v>4</v>
      </c>
      <c r="E8" s="27">
        <v>46293</v>
      </c>
      <c r="F8" s="92">
        <v>4</v>
      </c>
      <c r="G8" s="92">
        <v>37</v>
      </c>
      <c r="H8" s="92">
        <v>12</v>
      </c>
      <c r="I8" s="92">
        <v>13</v>
      </c>
      <c r="J8" s="92">
        <v>66</v>
      </c>
    </row>
    <row r="9" spans="1:10" x14ac:dyDescent="0.3">
      <c r="A9" s="66">
        <v>46289</v>
      </c>
      <c r="B9" t="str">
        <v>Profile Visits</v>
      </c>
      <c r="C9">
        <v>106</v>
      </c>
      <c r="E9" s="27">
        <v>46294</v>
      </c>
      <c r="F9" s="92">
        <v>6</v>
      </c>
      <c r="G9" s="92">
        <v>35</v>
      </c>
      <c r="H9" s="92">
        <v>8</v>
      </c>
      <c r="I9" s="92">
        <v>14</v>
      </c>
      <c r="J9" s="92">
        <v>63</v>
      </c>
    </row>
    <row r="10" spans="1:10" x14ac:dyDescent="0.3">
      <c r="A10" s="66">
        <v>46289</v>
      </c>
      <c r="B10" t="str">
        <v>New Followers</v>
      </c>
      <c r="C10">
        <v>13</v>
      </c>
      <c r="E10" s="27">
        <v>46295</v>
      </c>
      <c r="F10" s="92">
        <v>4</v>
      </c>
      <c r="G10" s="92">
        <v>23</v>
      </c>
      <c r="H10" s="92">
        <v>12</v>
      </c>
      <c r="I10" s="92">
        <v>13</v>
      </c>
      <c r="J10" s="92">
        <v>52</v>
      </c>
    </row>
    <row r="11" spans="1:10" x14ac:dyDescent="0.3">
      <c r="A11" s="66">
        <v>46289</v>
      </c>
      <c r="B11" t="str">
        <v>Engagement</v>
      </c>
      <c r="C11">
        <v>57</v>
      </c>
      <c r="E11" s="27">
        <v>46296</v>
      </c>
      <c r="F11" s="92">
        <v>4</v>
      </c>
      <c r="G11" s="92">
        <v>34</v>
      </c>
      <c r="H11" s="92">
        <v>9</v>
      </c>
      <c r="I11" s="92">
        <v>11</v>
      </c>
      <c r="J11" s="92">
        <v>58</v>
      </c>
    </row>
    <row r="12" spans="1:10" x14ac:dyDescent="0.3">
      <c r="A12" s="66">
        <v>46289</v>
      </c>
      <c r="B12" t="str">
        <v>Engagement Rate</v>
      </c>
      <c r="C12">
        <v>4.6721311475409838E-2</v>
      </c>
      <c r="E12" s="27">
        <v>46297</v>
      </c>
      <c r="F12" s="92">
        <v>4</v>
      </c>
      <c r="G12" s="92">
        <v>41</v>
      </c>
      <c r="H12" s="92">
        <v>11</v>
      </c>
      <c r="I12" s="92">
        <v>18</v>
      </c>
      <c r="J12" s="92">
        <v>74</v>
      </c>
    </row>
    <row r="13" spans="1:10" x14ac:dyDescent="0.3">
      <c r="A13" s="66">
        <v>46289</v>
      </c>
      <c r="B13" t="str">
        <v>Brand Awareness</v>
      </c>
      <c r="C13">
        <v>119</v>
      </c>
      <c r="E13" s="27">
        <v>46298</v>
      </c>
      <c r="F13" s="92">
        <v>6</v>
      </c>
      <c r="G13" s="92">
        <v>38</v>
      </c>
      <c r="H13" s="92">
        <v>12</v>
      </c>
      <c r="I13" s="92">
        <v>18</v>
      </c>
      <c r="J13" s="92">
        <v>74</v>
      </c>
    </row>
    <row r="14" spans="1:10" x14ac:dyDescent="0.3">
      <c r="A14" s="66">
        <v>46290</v>
      </c>
      <c r="B14" t="str">
        <v>Views</v>
      </c>
      <c r="C14">
        <v>969</v>
      </c>
      <c r="E14" s="27">
        <v>46299</v>
      </c>
      <c r="F14" s="92">
        <v>3</v>
      </c>
      <c r="G14" s="92">
        <v>35</v>
      </c>
      <c r="H14" s="92">
        <v>15</v>
      </c>
      <c r="I14" s="92">
        <v>11</v>
      </c>
      <c r="J14" s="92">
        <v>64</v>
      </c>
    </row>
    <row r="15" spans="1:10" x14ac:dyDescent="0.3">
      <c r="A15" s="66">
        <v>46290</v>
      </c>
      <c r="B15" t="str">
        <v>Total Watch Time (s)</v>
      </c>
      <c r="C15">
        <v>17997</v>
      </c>
      <c r="E15" s="27">
        <v>46300</v>
      </c>
      <c r="F15" s="92">
        <v>4</v>
      </c>
      <c r="G15" s="92">
        <v>34</v>
      </c>
      <c r="H15" s="92">
        <v>9</v>
      </c>
      <c r="I15" s="92">
        <v>12</v>
      </c>
      <c r="J15" s="92">
        <v>59</v>
      </c>
    </row>
    <row r="16" spans="1:10" x14ac:dyDescent="0.3">
      <c r="A16" s="66">
        <v>46290</v>
      </c>
      <c r="B16" t="str">
        <v>Likes</v>
      </c>
      <c r="C16">
        <v>28</v>
      </c>
      <c r="E16" s="27">
        <v>46301</v>
      </c>
      <c r="F16" s="92">
        <v>5</v>
      </c>
      <c r="G16" s="92">
        <v>45</v>
      </c>
      <c r="H16" s="92">
        <v>8</v>
      </c>
      <c r="I16" s="92">
        <v>19</v>
      </c>
      <c r="J16" s="92">
        <v>77</v>
      </c>
    </row>
    <row r="17" spans="1:10" x14ac:dyDescent="0.3">
      <c r="A17" s="66">
        <v>46290</v>
      </c>
      <c r="B17" t="str">
        <v>Saves</v>
      </c>
      <c r="C17">
        <v>20</v>
      </c>
      <c r="E17" s="27">
        <v>46302</v>
      </c>
      <c r="F17" s="92">
        <v>4</v>
      </c>
      <c r="G17" s="92">
        <v>44</v>
      </c>
      <c r="H17" s="92">
        <v>9</v>
      </c>
      <c r="I17" s="92">
        <v>17</v>
      </c>
      <c r="J17" s="92">
        <v>74</v>
      </c>
    </row>
    <row r="18" spans="1:10" x14ac:dyDescent="0.3">
      <c r="A18" s="66">
        <v>46290</v>
      </c>
      <c r="B18" t="str">
        <v>Comments</v>
      </c>
      <c r="C18">
        <v>4</v>
      </c>
      <c r="E18" s="27">
        <v>46303</v>
      </c>
      <c r="F18" s="92">
        <v>5</v>
      </c>
      <c r="G18" s="92">
        <v>35</v>
      </c>
      <c r="H18" s="92">
        <v>21</v>
      </c>
      <c r="I18" s="92">
        <v>24</v>
      </c>
      <c r="J18" s="92">
        <v>85</v>
      </c>
    </row>
    <row r="19" spans="1:10" x14ac:dyDescent="0.3">
      <c r="A19" s="66">
        <v>46290</v>
      </c>
      <c r="B19" t="str">
        <v>Shares</v>
      </c>
      <c r="C19">
        <v>3</v>
      </c>
      <c r="E19" s="27">
        <v>46304</v>
      </c>
      <c r="F19" s="92">
        <v>5</v>
      </c>
      <c r="G19" s="92">
        <v>40</v>
      </c>
      <c r="H19" s="92">
        <v>10</v>
      </c>
      <c r="I19" s="92">
        <v>24</v>
      </c>
      <c r="J19" s="92">
        <v>79</v>
      </c>
    </row>
    <row r="20" spans="1:10" x14ac:dyDescent="0.3">
      <c r="A20" s="66">
        <v>46290</v>
      </c>
      <c r="B20" t="str">
        <v>Profile Visits</v>
      </c>
      <c r="C20">
        <v>72</v>
      </c>
      <c r="E20" s="27">
        <v>46305</v>
      </c>
      <c r="F20" s="92">
        <v>6</v>
      </c>
      <c r="G20" s="92">
        <v>42</v>
      </c>
      <c r="H20" s="92">
        <v>18</v>
      </c>
      <c r="I20" s="92">
        <v>21</v>
      </c>
      <c r="J20" s="92">
        <v>87</v>
      </c>
    </row>
    <row r="21" spans="1:10" x14ac:dyDescent="0.3">
      <c r="A21" s="66">
        <v>46290</v>
      </c>
      <c r="B21" t="str">
        <v>New Followers</v>
      </c>
      <c r="C21">
        <v>12</v>
      </c>
      <c r="E21" s="27">
        <v>46306</v>
      </c>
      <c r="F21" s="92">
        <v>4</v>
      </c>
      <c r="G21" s="92">
        <v>31</v>
      </c>
      <c r="H21" s="92">
        <v>7</v>
      </c>
      <c r="I21" s="92">
        <v>15</v>
      </c>
      <c r="J21" s="92">
        <v>57</v>
      </c>
    </row>
    <row r="22" spans="1:10" x14ac:dyDescent="0.3">
      <c r="A22" s="66">
        <v>46290</v>
      </c>
      <c r="B22" t="str">
        <v>Engagement</v>
      </c>
      <c r="C22">
        <v>55</v>
      </c>
      <c r="E22" s="27">
        <v>46307</v>
      </c>
      <c r="F22" s="92">
        <v>3</v>
      </c>
      <c r="G22" s="92">
        <v>35</v>
      </c>
      <c r="H22" s="92">
        <v>9</v>
      </c>
      <c r="I22" s="92">
        <v>18</v>
      </c>
      <c r="J22" s="92">
        <v>65</v>
      </c>
    </row>
    <row r="23" spans="1:10" x14ac:dyDescent="0.3">
      <c r="A23" s="66">
        <v>46290</v>
      </c>
      <c r="B23" t="str">
        <v>Engagement Rate</v>
      </c>
      <c r="C23">
        <v>5.6759545923632609E-2</v>
      </c>
      <c r="E23" s="27">
        <v>46308</v>
      </c>
      <c r="F23" s="92">
        <v>3</v>
      </c>
      <c r="G23" s="92">
        <v>22</v>
      </c>
      <c r="H23" s="92">
        <v>7</v>
      </c>
      <c r="I23" s="92">
        <v>10</v>
      </c>
      <c r="J23" s="92">
        <v>42</v>
      </c>
    </row>
    <row r="24" spans="1:10" x14ac:dyDescent="0.3">
      <c r="A24" s="66">
        <v>46290</v>
      </c>
      <c r="B24" t="str">
        <v>Brand Awareness</v>
      </c>
      <c r="C24">
        <v>84</v>
      </c>
      <c r="E24" s="27">
        <v>46309</v>
      </c>
      <c r="F24" s="92">
        <v>3</v>
      </c>
      <c r="G24" s="92">
        <v>34</v>
      </c>
      <c r="H24" s="92">
        <v>9</v>
      </c>
      <c r="I24" s="92">
        <v>12</v>
      </c>
      <c r="J24" s="92">
        <v>58</v>
      </c>
    </row>
    <row r="25" spans="1:10" x14ac:dyDescent="0.3">
      <c r="A25" s="66">
        <v>46291</v>
      </c>
      <c r="B25" t="str">
        <v>Views</v>
      </c>
      <c r="C25">
        <v>1529</v>
      </c>
      <c r="E25" s="27">
        <v>46310</v>
      </c>
      <c r="F25" s="92">
        <v>4</v>
      </c>
      <c r="G25" s="92">
        <v>22</v>
      </c>
      <c r="H25" s="92">
        <v>9</v>
      </c>
      <c r="I25" s="92">
        <v>8</v>
      </c>
      <c r="J25" s="92">
        <v>43</v>
      </c>
    </row>
    <row r="26" spans="1:10" x14ac:dyDescent="0.3">
      <c r="A26" s="66">
        <v>46291</v>
      </c>
      <c r="B26" t="str">
        <v>Total Watch Time (s)</v>
      </c>
      <c r="C26">
        <v>49535</v>
      </c>
      <c r="E26" s="27">
        <v>46311</v>
      </c>
      <c r="F26" s="92">
        <v>5</v>
      </c>
      <c r="G26" s="92">
        <v>34</v>
      </c>
      <c r="H26" s="92">
        <v>11</v>
      </c>
      <c r="I26" s="92">
        <v>13</v>
      </c>
      <c r="J26" s="92">
        <v>63</v>
      </c>
    </row>
    <row r="27" spans="1:10" x14ac:dyDescent="0.3">
      <c r="A27" s="66">
        <v>46291</v>
      </c>
      <c r="B27" t="str">
        <v>Likes</v>
      </c>
      <c r="C27">
        <v>41</v>
      </c>
      <c r="E27" s="27">
        <v>46312</v>
      </c>
      <c r="F27" s="92">
        <v>4</v>
      </c>
      <c r="G27" s="92">
        <v>28</v>
      </c>
      <c r="H27" s="92">
        <v>10</v>
      </c>
      <c r="I27" s="92">
        <v>11</v>
      </c>
      <c r="J27" s="92">
        <v>53</v>
      </c>
    </row>
    <row r="28" spans="1:10" x14ac:dyDescent="0.3">
      <c r="A28" s="66">
        <v>46291</v>
      </c>
      <c r="B28" t="str">
        <v>Saves</v>
      </c>
      <c r="C28">
        <v>14</v>
      </c>
      <c r="E28" s="27">
        <v>46313</v>
      </c>
      <c r="F28" s="92">
        <v>4</v>
      </c>
      <c r="G28" s="92">
        <v>21</v>
      </c>
      <c r="H28" s="92">
        <v>8</v>
      </c>
      <c r="I28" s="92">
        <v>17</v>
      </c>
      <c r="J28" s="92">
        <v>50</v>
      </c>
    </row>
    <row r="29" spans="1:10" x14ac:dyDescent="0.3">
      <c r="A29" s="66">
        <v>46291</v>
      </c>
      <c r="B29" t="str">
        <v>Comments</v>
      </c>
      <c r="C29">
        <v>7</v>
      </c>
      <c r="E29" s="27">
        <v>46314</v>
      </c>
      <c r="F29" s="92">
        <v>4</v>
      </c>
      <c r="G29" s="92">
        <v>22</v>
      </c>
      <c r="H29" s="92">
        <v>10</v>
      </c>
      <c r="I29" s="92">
        <v>21</v>
      </c>
      <c r="J29" s="92">
        <v>57</v>
      </c>
    </row>
    <row r="30" spans="1:10" x14ac:dyDescent="0.3">
      <c r="A30" s="66">
        <v>46291</v>
      </c>
      <c r="B30" t="str">
        <v>Shares</v>
      </c>
      <c r="C30">
        <v>7</v>
      </c>
      <c r="E30" s="27">
        <v>46315</v>
      </c>
      <c r="F30" s="92">
        <v>4</v>
      </c>
      <c r="G30" s="92">
        <v>46</v>
      </c>
      <c r="H30" s="92">
        <v>12</v>
      </c>
      <c r="I30" s="92">
        <v>20</v>
      </c>
      <c r="J30" s="92">
        <v>82</v>
      </c>
    </row>
    <row r="31" spans="1:10" x14ac:dyDescent="0.3">
      <c r="A31" s="66">
        <v>46291</v>
      </c>
      <c r="B31" t="str">
        <v>Profile Visits</v>
      </c>
      <c r="C31">
        <v>97</v>
      </c>
      <c r="E31" s="27">
        <v>46316</v>
      </c>
      <c r="F31" s="92">
        <v>3</v>
      </c>
      <c r="G31" s="92">
        <v>46</v>
      </c>
      <c r="H31" s="92">
        <v>8</v>
      </c>
      <c r="I31" s="92">
        <v>16</v>
      </c>
      <c r="J31" s="92">
        <v>73</v>
      </c>
    </row>
    <row r="32" spans="1:10" x14ac:dyDescent="0.3">
      <c r="A32" s="66">
        <v>46291</v>
      </c>
      <c r="B32" t="str">
        <v>New Followers</v>
      </c>
      <c r="C32">
        <v>12</v>
      </c>
      <c r="E32" s="27">
        <v>46317</v>
      </c>
      <c r="F32" s="92">
        <v>3</v>
      </c>
      <c r="G32" s="92">
        <v>45</v>
      </c>
      <c r="H32" s="92">
        <v>10</v>
      </c>
      <c r="I32" s="92">
        <v>15</v>
      </c>
      <c r="J32" s="92">
        <v>73</v>
      </c>
    </row>
    <row r="33" spans="1:10" x14ac:dyDescent="0.3">
      <c r="A33" s="66">
        <v>46291</v>
      </c>
      <c r="B33" t="str">
        <v>Engagement</v>
      </c>
      <c r="C33">
        <v>69</v>
      </c>
      <c r="E33" s="27">
        <v>46318</v>
      </c>
      <c r="F33" s="92">
        <v>4</v>
      </c>
      <c r="G33" s="92">
        <v>31</v>
      </c>
      <c r="H33" s="92">
        <v>8</v>
      </c>
      <c r="I33" s="92">
        <v>11</v>
      </c>
      <c r="J33" s="92">
        <v>54</v>
      </c>
    </row>
    <row r="34" spans="1:10" x14ac:dyDescent="0.3">
      <c r="A34" s="66">
        <v>46291</v>
      </c>
      <c r="B34" t="str">
        <v>Engagement Rate</v>
      </c>
      <c r="C34">
        <v>4.5127534336167431E-2</v>
      </c>
      <c r="E34" s="66" t="s">
        <v>5</v>
      </c>
      <c r="F34" s="92">
        <v>128</v>
      </c>
      <c r="G34" s="92">
        <v>1048</v>
      </c>
      <c r="H34" s="92">
        <v>324</v>
      </c>
      <c r="I34" s="92">
        <v>468</v>
      </c>
      <c r="J34" s="92">
        <v>1968</v>
      </c>
    </row>
    <row r="35" spans="1:10" x14ac:dyDescent="0.3">
      <c r="A35" s="66">
        <v>46291</v>
      </c>
      <c r="B35" t="str">
        <v>Brand Awareness</v>
      </c>
      <c r="C35">
        <v>109</v>
      </c>
      <c r="E35"/>
    </row>
    <row r="36" spans="1:10" x14ac:dyDescent="0.3">
      <c r="A36" s="66">
        <v>46292</v>
      </c>
      <c r="B36" t="str">
        <v>Views</v>
      </c>
      <c r="C36">
        <v>1382</v>
      </c>
      <c r="E36"/>
    </row>
    <row r="37" spans="1:10" x14ac:dyDescent="0.3">
      <c r="A37" s="66">
        <v>46292</v>
      </c>
      <c r="B37" t="str">
        <v>Total Watch Time (s)</v>
      </c>
      <c r="C37">
        <v>42400</v>
      </c>
      <c r="E37"/>
    </row>
    <row r="38" spans="1:10" x14ac:dyDescent="0.3">
      <c r="A38" s="66">
        <v>46292</v>
      </c>
      <c r="B38" t="str">
        <v>Likes</v>
      </c>
      <c r="C38">
        <v>42</v>
      </c>
      <c r="E38"/>
    </row>
    <row r="39" spans="1:10" x14ac:dyDescent="0.3">
      <c r="A39" s="66">
        <v>46292</v>
      </c>
      <c r="B39" t="str">
        <v>Saves</v>
      </c>
      <c r="C39">
        <v>19</v>
      </c>
      <c r="E39"/>
    </row>
    <row r="40" spans="1:10" x14ac:dyDescent="0.3">
      <c r="A40" s="66">
        <v>46292</v>
      </c>
      <c r="B40" t="str">
        <v>Comments</v>
      </c>
      <c r="C40">
        <v>6</v>
      </c>
      <c r="E40"/>
    </row>
    <row r="41" spans="1:10" x14ac:dyDescent="0.3">
      <c r="A41" s="66">
        <v>46292</v>
      </c>
      <c r="B41" t="str">
        <v>Shares</v>
      </c>
      <c r="C41">
        <v>5</v>
      </c>
      <c r="E41"/>
    </row>
    <row r="42" spans="1:10" x14ac:dyDescent="0.3">
      <c r="A42" s="66">
        <v>46292</v>
      </c>
      <c r="B42" t="str">
        <v>Profile Visits</v>
      </c>
      <c r="C42">
        <v>78</v>
      </c>
      <c r="E42"/>
    </row>
    <row r="43" spans="1:10" x14ac:dyDescent="0.3">
      <c r="A43" s="66">
        <v>46292</v>
      </c>
      <c r="B43" t="str">
        <v>New Followers</v>
      </c>
      <c r="C43">
        <v>15</v>
      </c>
      <c r="E43"/>
    </row>
    <row r="44" spans="1:10" x14ac:dyDescent="0.3">
      <c r="A44" s="66">
        <v>46292</v>
      </c>
      <c r="B44" t="str">
        <v>Engagement</v>
      </c>
      <c r="C44">
        <v>72</v>
      </c>
      <c r="E44"/>
    </row>
    <row r="45" spans="1:10" x14ac:dyDescent="0.3">
      <c r="A45" s="66">
        <v>46292</v>
      </c>
      <c r="B45" t="str">
        <v>Engagement Rate</v>
      </c>
      <c r="C45">
        <v>5.2098408104196817E-2</v>
      </c>
      <c r="E45"/>
    </row>
    <row r="46" spans="1:10" x14ac:dyDescent="0.3">
      <c r="A46" s="66">
        <v>46292</v>
      </c>
      <c r="B46" t="str">
        <v>Brand Awareness</v>
      </c>
      <c r="C46">
        <v>93</v>
      </c>
      <c r="E46"/>
    </row>
    <row r="47" spans="1:10" x14ac:dyDescent="0.3">
      <c r="A47" s="66">
        <v>46293</v>
      </c>
      <c r="B47" t="str">
        <v>Views</v>
      </c>
      <c r="C47">
        <v>1001</v>
      </c>
      <c r="E47"/>
    </row>
    <row r="48" spans="1:10" x14ac:dyDescent="0.3">
      <c r="A48" s="66">
        <v>46293</v>
      </c>
      <c r="B48" t="str">
        <v>Total Watch Time (s)</v>
      </c>
      <c r="C48">
        <v>19211</v>
      </c>
      <c r="E48"/>
    </row>
    <row r="49" spans="1:5" x14ac:dyDescent="0.3">
      <c r="A49" s="66">
        <v>46293</v>
      </c>
      <c r="B49" t="str">
        <v>Likes</v>
      </c>
      <c r="C49">
        <v>37</v>
      </c>
      <c r="E49"/>
    </row>
    <row r="50" spans="1:5" x14ac:dyDescent="0.3">
      <c r="A50" s="66">
        <v>46293</v>
      </c>
      <c r="B50" t="str">
        <v>Saves</v>
      </c>
      <c r="C50">
        <v>13</v>
      </c>
      <c r="E50"/>
    </row>
    <row r="51" spans="1:5" x14ac:dyDescent="0.3">
      <c r="A51" s="66">
        <v>46293</v>
      </c>
      <c r="B51" t="str">
        <v>Comments</v>
      </c>
      <c r="C51">
        <v>4</v>
      </c>
      <c r="E51"/>
    </row>
    <row r="52" spans="1:5" x14ac:dyDescent="0.3">
      <c r="A52" s="66">
        <v>46293</v>
      </c>
      <c r="B52" t="str">
        <v>Shares</v>
      </c>
      <c r="C52">
        <v>3</v>
      </c>
      <c r="E52"/>
    </row>
    <row r="53" spans="1:5" x14ac:dyDescent="0.3">
      <c r="A53" s="66">
        <v>46293</v>
      </c>
      <c r="B53" t="str">
        <v>Profile Visits</v>
      </c>
      <c r="C53">
        <v>64</v>
      </c>
      <c r="E53"/>
    </row>
    <row r="54" spans="1:5" x14ac:dyDescent="0.3">
      <c r="A54" s="66">
        <v>46293</v>
      </c>
      <c r="B54" t="str">
        <v>New Followers</v>
      </c>
      <c r="C54">
        <v>12</v>
      </c>
      <c r="E54"/>
    </row>
    <row r="55" spans="1:5" x14ac:dyDescent="0.3">
      <c r="A55" s="66">
        <v>46293</v>
      </c>
      <c r="B55" t="str">
        <v>Engagement</v>
      </c>
      <c r="C55">
        <v>57</v>
      </c>
      <c r="E55"/>
    </row>
    <row r="56" spans="1:5" x14ac:dyDescent="0.3">
      <c r="A56" s="66">
        <v>46293</v>
      </c>
      <c r="B56" t="str">
        <v>Engagement Rate</v>
      </c>
      <c r="C56">
        <v>5.6943056943056944E-2</v>
      </c>
      <c r="E56"/>
    </row>
    <row r="57" spans="1:5" x14ac:dyDescent="0.3">
      <c r="A57" s="66">
        <v>46293</v>
      </c>
      <c r="B57" t="str">
        <v>Brand Awareness</v>
      </c>
      <c r="C57">
        <v>76</v>
      </c>
      <c r="E57"/>
    </row>
    <row r="58" spans="1:5" x14ac:dyDescent="0.3">
      <c r="A58" s="66">
        <v>46294</v>
      </c>
      <c r="B58" t="str">
        <v>Views</v>
      </c>
      <c r="C58">
        <v>1019</v>
      </c>
      <c r="E58"/>
    </row>
    <row r="59" spans="1:5" x14ac:dyDescent="0.3">
      <c r="A59" s="66">
        <v>46294</v>
      </c>
      <c r="B59" t="str">
        <v>Total Watch Time (s)</v>
      </c>
      <c r="C59">
        <v>28439</v>
      </c>
      <c r="E59"/>
    </row>
    <row r="60" spans="1:5" x14ac:dyDescent="0.3">
      <c r="A60" s="66">
        <v>46294</v>
      </c>
      <c r="B60" t="str">
        <v>Likes</v>
      </c>
      <c r="C60">
        <v>35</v>
      </c>
      <c r="E60"/>
    </row>
    <row r="61" spans="1:5" x14ac:dyDescent="0.3">
      <c r="A61" s="66">
        <v>46294</v>
      </c>
      <c r="B61" t="str">
        <v>Saves</v>
      </c>
      <c r="C61">
        <v>14</v>
      </c>
      <c r="E61"/>
    </row>
    <row r="62" spans="1:5" x14ac:dyDescent="0.3">
      <c r="A62" s="66">
        <v>46294</v>
      </c>
      <c r="B62" t="str">
        <v>Comments</v>
      </c>
      <c r="C62">
        <v>6</v>
      </c>
      <c r="E62"/>
    </row>
    <row r="63" spans="1:5" x14ac:dyDescent="0.3">
      <c r="A63" s="66">
        <v>46294</v>
      </c>
      <c r="B63" t="str">
        <v>Shares</v>
      </c>
      <c r="C63">
        <v>5</v>
      </c>
      <c r="E63"/>
    </row>
    <row r="64" spans="1:5" x14ac:dyDescent="0.3">
      <c r="A64" s="66">
        <v>46294</v>
      </c>
      <c r="B64" t="str">
        <v>Profile Visits</v>
      </c>
      <c r="C64">
        <v>54</v>
      </c>
      <c r="E64"/>
    </row>
    <row r="65" spans="1:5" x14ac:dyDescent="0.3">
      <c r="A65" s="66">
        <v>46294</v>
      </c>
      <c r="B65" t="str">
        <v>New Followers</v>
      </c>
      <c r="C65">
        <v>8</v>
      </c>
      <c r="E65"/>
    </row>
    <row r="66" spans="1:5" x14ac:dyDescent="0.3">
      <c r="A66" s="66">
        <v>46294</v>
      </c>
      <c r="B66" t="str">
        <v>Engagement</v>
      </c>
      <c r="C66">
        <v>60</v>
      </c>
      <c r="E66"/>
    </row>
    <row r="67" spans="1:5" x14ac:dyDescent="0.3">
      <c r="A67" s="66">
        <v>46294</v>
      </c>
      <c r="B67" t="str">
        <v>Engagement Rate</v>
      </c>
      <c r="C67">
        <v>5.8881256133464184E-2</v>
      </c>
      <c r="E67"/>
    </row>
    <row r="68" spans="1:5" x14ac:dyDescent="0.3">
      <c r="A68" s="66">
        <v>46294</v>
      </c>
      <c r="B68" t="str">
        <v>Brand Awareness</v>
      </c>
      <c r="C68">
        <v>62</v>
      </c>
      <c r="E68"/>
    </row>
    <row r="69" spans="1:5" x14ac:dyDescent="0.3">
      <c r="A69" s="66">
        <v>46295</v>
      </c>
      <c r="B69" t="str">
        <v>Views</v>
      </c>
      <c r="C69">
        <v>1135</v>
      </c>
      <c r="E69"/>
    </row>
    <row r="70" spans="1:5" x14ac:dyDescent="0.3">
      <c r="A70" s="66">
        <v>46295</v>
      </c>
      <c r="B70" t="str">
        <v>Total Watch Time (s)</v>
      </c>
      <c r="C70">
        <v>34043</v>
      </c>
      <c r="E70"/>
    </row>
    <row r="71" spans="1:5" x14ac:dyDescent="0.3">
      <c r="A71" s="66">
        <v>46295</v>
      </c>
      <c r="B71" t="str">
        <v>Likes</v>
      </c>
      <c r="C71">
        <v>23</v>
      </c>
      <c r="E71"/>
    </row>
    <row r="72" spans="1:5" x14ac:dyDescent="0.3">
      <c r="A72" s="66">
        <v>46295</v>
      </c>
      <c r="B72" t="str">
        <v>Saves</v>
      </c>
      <c r="C72">
        <v>13</v>
      </c>
      <c r="E72"/>
    </row>
    <row r="73" spans="1:5" x14ac:dyDescent="0.3">
      <c r="A73" s="66">
        <v>46295</v>
      </c>
      <c r="B73" t="str">
        <v>Comments</v>
      </c>
      <c r="C73">
        <v>4</v>
      </c>
      <c r="E73"/>
    </row>
    <row r="74" spans="1:5" x14ac:dyDescent="0.3">
      <c r="A74" s="66">
        <v>46295</v>
      </c>
      <c r="B74" t="str">
        <v>Shares</v>
      </c>
      <c r="C74">
        <v>4</v>
      </c>
      <c r="E74"/>
    </row>
    <row r="75" spans="1:5" x14ac:dyDescent="0.3">
      <c r="A75" s="66">
        <v>46295</v>
      </c>
      <c r="B75" t="str">
        <v>Profile Visits</v>
      </c>
      <c r="C75">
        <v>79</v>
      </c>
      <c r="E75"/>
    </row>
    <row r="76" spans="1:5" x14ac:dyDescent="0.3">
      <c r="A76" s="66">
        <v>46295</v>
      </c>
      <c r="B76" t="str">
        <v>New Followers</v>
      </c>
      <c r="C76">
        <v>12</v>
      </c>
      <c r="E76"/>
    </row>
    <row r="77" spans="1:5" x14ac:dyDescent="0.3">
      <c r="A77" s="66">
        <v>46295</v>
      </c>
      <c r="B77" t="str">
        <v>Engagement</v>
      </c>
      <c r="C77">
        <v>44</v>
      </c>
      <c r="E77"/>
    </row>
    <row r="78" spans="1:5" x14ac:dyDescent="0.3">
      <c r="A78" s="66">
        <v>46295</v>
      </c>
      <c r="B78" t="str">
        <v>Engagement Rate</v>
      </c>
      <c r="C78">
        <v>3.8766519823788544E-2</v>
      </c>
      <c r="E78"/>
    </row>
    <row r="79" spans="1:5" x14ac:dyDescent="0.3">
      <c r="A79" s="66">
        <v>46295</v>
      </c>
      <c r="B79" t="str">
        <v>Brand Awareness</v>
      </c>
      <c r="C79">
        <v>91</v>
      </c>
      <c r="E79"/>
    </row>
    <row r="80" spans="1:5" x14ac:dyDescent="0.3">
      <c r="A80" s="66">
        <v>46296</v>
      </c>
      <c r="B80" t="str">
        <v>Views</v>
      </c>
      <c r="C80">
        <v>926</v>
      </c>
      <c r="E80"/>
    </row>
    <row r="81" spans="1:5" x14ac:dyDescent="0.3">
      <c r="A81" s="66">
        <v>46296</v>
      </c>
      <c r="B81" t="str">
        <v>Total Watch Time (s)</v>
      </c>
      <c r="C81">
        <v>21875</v>
      </c>
      <c r="E81"/>
    </row>
    <row r="82" spans="1:5" x14ac:dyDescent="0.3">
      <c r="A82" s="66">
        <v>46296</v>
      </c>
      <c r="B82" t="str">
        <v>Likes</v>
      </c>
      <c r="C82">
        <v>34</v>
      </c>
      <c r="E82"/>
    </row>
    <row r="83" spans="1:5" x14ac:dyDescent="0.3">
      <c r="A83" s="66">
        <v>46296</v>
      </c>
      <c r="B83" t="str">
        <v>Saves</v>
      </c>
      <c r="C83">
        <v>11</v>
      </c>
      <c r="E83"/>
    </row>
    <row r="84" spans="1:5" x14ac:dyDescent="0.3">
      <c r="A84" s="66">
        <v>46296</v>
      </c>
      <c r="B84" t="str">
        <v>Comments</v>
      </c>
      <c r="C84">
        <v>4</v>
      </c>
      <c r="E84"/>
    </row>
    <row r="85" spans="1:5" x14ac:dyDescent="0.3">
      <c r="A85" s="66">
        <v>46296</v>
      </c>
      <c r="B85" t="str">
        <v>Shares</v>
      </c>
      <c r="C85">
        <v>6</v>
      </c>
      <c r="E85"/>
    </row>
    <row r="86" spans="1:5" x14ac:dyDescent="0.3">
      <c r="A86" s="66">
        <v>46296</v>
      </c>
      <c r="B86" t="str">
        <v>Profile Visits</v>
      </c>
      <c r="C86">
        <v>60</v>
      </c>
      <c r="E86"/>
    </row>
    <row r="87" spans="1:5" x14ac:dyDescent="0.3">
      <c r="A87" s="66">
        <v>46296</v>
      </c>
      <c r="B87" t="str">
        <v>New Followers</v>
      </c>
      <c r="C87">
        <v>9</v>
      </c>
      <c r="E87"/>
    </row>
    <row r="88" spans="1:5" x14ac:dyDescent="0.3">
      <c r="A88" s="66">
        <v>46296</v>
      </c>
      <c r="B88" t="str">
        <v>Engagement</v>
      </c>
      <c r="C88">
        <v>55</v>
      </c>
      <c r="E88"/>
    </row>
    <row r="89" spans="1:5" x14ac:dyDescent="0.3">
      <c r="A89" s="66">
        <v>46296</v>
      </c>
      <c r="B89" t="str">
        <v>Engagement Rate</v>
      </c>
      <c r="C89">
        <v>5.9395248380129592E-2</v>
      </c>
      <c r="E89"/>
    </row>
    <row r="90" spans="1:5" x14ac:dyDescent="0.3">
      <c r="A90" s="66">
        <v>46296</v>
      </c>
      <c r="B90" t="str">
        <v>Brand Awareness</v>
      </c>
      <c r="C90">
        <v>69</v>
      </c>
      <c r="E90"/>
    </row>
    <row r="91" spans="1:5" x14ac:dyDescent="0.3">
      <c r="A91" s="66">
        <v>46297</v>
      </c>
      <c r="B91" t="str">
        <v>Views</v>
      </c>
      <c r="C91">
        <v>1192</v>
      </c>
      <c r="E91"/>
    </row>
    <row r="92" spans="1:5" x14ac:dyDescent="0.3">
      <c r="A92" s="66">
        <v>46297</v>
      </c>
      <c r="B92" t="str">
        <v>Total Watch Time (s)</v>
      </c>
      <c r="C92">
        <v>24450</v>
      </c>
      <c r="E92"/>
    </row>
    <row r="93" spans="1:5" x14ac:dyDescent="0.3">
      <c r="A93" s="66">
        <v>46297</v>
      </c>
      <c r="B93" t="str">
        <v>Likes</v>
      </c>
      <c r="C93">
        <v>41</v>
      </c>
      <c r="E93"/>
    </row>
    <row r="94" spans="1:5" x14ac:dyDescent="0.3">
      <c r="A94" s="66">
        <v>46297</v>
      </c>
      <c r="B94" t="str">
        <v>Saves</v>
      </c>
      <c r="C94">
        <v>18</v>
      </c>
      <c r="E94"/>
    </row>
    <row r="95" spans="1:5" x14ac:dyDescent="0.3">
      <c r="A95" s="66">
        <v>46297</v>
      </c>
      <c r="B95" t="str">
        <v>Comments</v>
      </c>
      <c r="C95">
        <v>4</v>
      </c>
      <c r="E95" s="66"/>
    </row>
    <row r="96" spans="1:5" x14ac:dyDescent="0.3">
      <c r="A96" s="66">
        <v>46297</v>
      </c>
      <c r="B96" t="str">
        <v>Shares</v>
      </c>
      <c r="C96">
        <v>4</v>
      </c>
      <c r="E96" s="66"/>
    </row>
    <row r="97" spans="1:5" x14ac:dyDescent="0.3">
      <c r="A97" s="66">
        <v>46297</v>
      </c>
      <c r="B97" t="str">
        <v>Profile Visits</v>
      </c>
      <c r="C97">
        <v>77</v>
      </c>
      <c r="E97" s="66"/>
    </row>
    <row r="98" spans="1:5" x14ac:dyDescent="0.3">
      <c r="A98" s="66">
        <v>46297</v>
      </c>
      <c r="B98" t="str">
        <v>New Followers</v>
      </c>
      <c r="C98">
        <v>11</v>
      </c>
      <c r="E98" s="66"/>
    </row>
    <row r="99" spans="1:5" x14ac:dyDescent="0.3">
      <c r="A99" s="66">
        <v>46297</v>
      </c>
      <c r="B99" t="str">
        <v>Engagement</v>
      </c>
      <c r="C99">
        <v>67</v>
      </c>
      <c r="E99" s="66"/>
    </row>
    <row r="100" spans="1:5" x14ac:dyDescent="0.3">
      <c r="A100" s="66">
        <v>46297</v>
      </c>
      <c r="B100" t="str">
        <v>Engagement Rate</v>
      </c>
      <c r="C100">
        <v>5.620805369127517E-2</v>
      </c>
      <c r="E100" s="66"/>
    </row>
    <row r="101" spans="1:5" x14ac:dyDescent="0.3">
      <c r="A101" s="66">
        <v>46297</v>
      </c>
      <c r="B101" t="str">
        <v>Brand Awareness</v>
      </c>
      <c r="C101">
        <v>88</v>
      </c>
      <c r="E101" s="66"/>
    </row>
    <row r="102" spans="1:5" x14ac:dyDescent="0.3">
      <c r="A102" s="66">
        <v>46298</v>
      </c>
      <c r="B102" t="str">
        <v>Views</v>
      </c>
      <c r="C102">
        <v>1419</v>
      </c>
      <c r="E102" s="66"/>
    </row>
    <row r="103" spans="1:5" x14ac:dyDescent="0.3">
      <c r="A103" s="66">
        <v>46298</v>
      </c>
      <c r="B103" t="str">
        <v>Total Watch Time (s)</v>
      </c>
      <c r="C103">
        <v>51346</v>
      </c>
      <c r="E103" s="66"/>
    </row>
    <row r="104" spans="1:5" x14ac:dyDescent="0.3">
      <c r="A104" s="66">
        <v>46298</v>
      </c>
      <c r="B104" t="str">
        <v>Likes</v>
      </c>
      <c r="C104">
        <v>38</v>
      </c>
      <c r="E104" s="66"/>
    </row>
    <row r="105" spans="1:5" x14ac:dyDescent="0.3">
      <c r="A105" s="66">
        <v>46298</v>
      </c>
      <c r="B105" t="str">
        <v>Saves</v>
      </c>
      <c r="C105">
        <v>18</v>
      </c>
      <c r="E105" s="66"/>
    </row>
    <row r="106" spans="1:5" x14ac:dyDescent="0.3">
      <c r="A106" s="66">
        <v>46298</v>
      </c>
      <c r="B106" t="str">
        <v>Comments</v>
      </c>
      <c r="C106">
        <v>6</v>
      </c>
      <c r="E106" s="66"/>
    </row>
    <row r="107" spans="1:5" x14ac:dyDescent="0.3">
      <c r="A107" s="66">
        <v>46298</v>
      </c>
      <c r="B107" t="str">
        <v>Shares</v>
      </c>
      <c r="C107">
        <v>6</v>
      </c>
      <c r="E107" s="66"/>
    </row>
    <row r="108" spans="1:5" x14ac:dyDescent="0.3">
      <c r="A108" s="66">
        <v>46298</v>
      </c>
      <c r="B108" t="str">
        <v>Profile Visits</v>
      </c>
      <c r="C108">
        <v>75</v>
      </c>
      <c r="E108" s="66"/>
    </row>
    <row r="109" spans="1:5" x14ac:dyDescent="0.3">
      <c r="A109" s="66">
        <v>46298</v>
      </c>
      <c r="B109" t="str">
        <v>New Followers</v>
      </c>
      <c r="C109">
        <v>12</v>
      </c>
      <c r="E109" s="66"/>
    </row>
    <row r="110" spans="1:5" x14ac:dyDescent="0.3">
      <c r="A110" s="66">
        <v>46298</v>
      </c>
      <c r="B110" t="str">
        <v>Engagement</v>
      </c>
      <c r="C110">
        <v>68</v>
      </c>
      <c r="E110" s="66"/>
    </row>
    <row r="111" spans="1:5" x14ac:dyDescent="0.3">
      <c r="A111" s="66">
        <v>46298</v>
      </c>
      <c r="B111" t="str">
        <v>Engagement Rate</v>
      </c>
      <c r="C111">
        <v>4.7921071176885127E-2</v>
      </c>
      <c r="E111" s="66"/>
    </row>
    <row r="112" spans="1:5" x14ac:dyDescent="0.3">
      <c r="A112" s="66">
        <v>46298</v>
      </c>
      <c r="B112" t="str">
        <v>Brand Awareness</v>
      </c>
      <c r="C112">
        <v>87</v>
      </c>
      <c r="E112" s="66"/>
    </row>
    <row r="113" spans="1:5" x14ac:dyDescent="0.3">
      <c r="A113" s="66">
        <v>46299</v>
      </c>
      <c r="B113" t="str">
        <v>Views</v>
      </c>
      <c r="C113">
        <v>1241</v>
      </c>
      <c r="E113" s="66"/>
    </row>
    <row r="114" spans="1:5" x14ac:dyDescent="0.3">
      <c r="A114" s="66">
        <v>46299</v>
      </c>
      <c r="B114" t="str">
        <v>Total Watch Time (s)</v>
      </c>
      <c r="C114">
        <v>40208</v>
      </c>
      <c r="E114" s="66"/>
    </row>
    <row r="115" spans="1:5" x14ac:dyDescent="0.3">
      <c r="A115" s="66">
        <v>46299</v>
      </c>
      <c r="B115" t="str">
        <v>Likes</v>
      </c>
      <c r="C115">
        <v>35</v>
      </c>
      <c r="E115" s="66"/>
    </row>
    <row r="116" spans="1:5" x14ac:dyDescent="0.3">
      <c r="A116" s="66">
        <v>46299</v>
      </c>
      <c r="B116" t="str">
        <v>Saves</v>
      </c>
      <c r="C116">
        <v>11</v>
      </c>
      <c r="E116" s="66"/>
    </row>
    <row r="117" spans="1:5" x14ac:dyDescent="0.3">
      <c r="A117" s="66">
        <v>46299</v>
      </c>
      <c r="B117" t="str">
        <v>Comments</v>
      </c>
      <c r="C117">
        <v>3</v>
      </c>
      <c r="E117" s="66"/>
    </row>
    <row r="118" spans="1:5" x14ac:dyDescent="0.3">
      <c r="A118" s="66">
        <v>46299</v>
      </c>
      <c r="B118" t="str">
        <v>Shares</v>
      </c>
      <c r="C118">
        <v>5</v>
      </c>
      <c r="E118" s="66"/>
    </row>
    <row r="119" spans="1:5" x14ac:dyDescent="0.3">
      <c r="A119" s="66">
        <v>46299</v>
      </c>
      <c r="B119" t="str">
        <v>Profile Visits</v>
      </c>
      <c r="C119">
        <v>89</v>
      </c>
      <c r="E119" s="66"/>
    </row>
    <row r="120" spans="1:5" x14ac:dyDescent="0.3">
      <c r="A120" s="66">
        <v>46299</v>
      </c>
      <c r="B120" t="str">
        <v>New Followers</v>
      </c>
      <c r="C120">
        <v>15</v>
      </c>
      <c r="E120" s="66"/>
    </row>
    <row r="121" spans="1:5" x14ac:dyDescent="0.3">
      <c r="A121" s="66">
        <v>46299</v>
      </c>
      <c r="B121" t="str">
        <v>Engagement</v>
      </c>
      <c r="C121">
        <v>54</v>
      </c>
      <c r="E121" s="66"/>
    </row>
    <row r="122" spans="1:5" x14ac:dyDescent="0.3">
      <c r="A122" s="66">
        <v>46299</v>
      </c>
      <c r="B122" t="str">
        <v>Engagement Rate</v>
      </c>
      <c r="C122">
        <v>4.3513295729250605E-2</v>
      </c>
      <c r="E122" s="66"/>
    </row>
    <row r="123" spans="1:5" x14ac:dyDescent="0.3">
      <c r="A123" s="66">
        <v>46299</v>
      </c>
      <c r="B123" t="str">
        <v>Brand Awareness</v>
      </c>
      <c r="C123">
        <v>104</v>
      </c>
      <c r="E123" s="66"/>
    </row>
    <row r="124" spans="1:5" x14ac:dyDescent="0.3">
      <c r="A124" s="66">
        <v>46300</v>
      </c>
      <c r="B124" t="str">
        <v>Views</v>
      </c>
      <c r="C124">
        <v>1081</v>
      </c>
      <c r="E124" s="66"/>
    </row>
    <row r="125" spans="1:5" x14ac:dyDescent="0.3">
      <c r="A125" s="66">
        <v>46300</v>
      </c>
      <c r="B125" t="str">
        <v>Total Watch Time (s)</v>
      </c>
      <c r="C125">
        <v>37775</v>
      </c>
      <c r="E125" s="66"/>
    </row>
    <row r="126" spans="1:5" x14ac:dyDescent="0.3">
      <c r="A126" s="66">
        <v>46300</v>
      </c>
      <c r="B126" t="str">
        <v>Likes</v>
      </c>
      <c r="C126">
        <v>34</v>
      </c>
      <c r="E126" s="66"/>
    </row>
    <row r="127" spans="1:5" x14ac:dyDescent="0.3">
      <c r="A127" s="66">
        <v>46300</v>
      </c>
      <c r="B127" t="str">
        <v>Saves</v>
      </c>
      <c r="C127">
        <v>12</v>
      </c>
      <c r="E127" s="66"/>
    </row>
    <row r="128" spans="1:5" x14ac:dyDescent="0.3">
      <c r="A128" s="66">
        <v>46300</v>
      </c>
      <c r="B128" t="str">
        <v>Comments</v>
      </c>
      <c r="C128">
        <v>4</v>
      </c>
      <c r="E128" s="66"/>
    </row>
    <row r="129" spans="1:5" x14ac:dyDescent="0.3">
      <c r="A129" s="66">
        <v>46300</v>
      </c>
      <c r="B129" t="str">
        <v>Shares</v>
      </c>
      <c r="C129">
        <v>5</v>
      </c>
      <c r="E129" s="66"/>
    </row>
    <row r="130" spans="1:5" x14ac:dyDescent="0.3">
      <c r="A130" s="66">
        <v>46300</v>
      </c>
      <c r="B130" t="str">
        <v>Profile Visits</v>
      </c>
      <c r="C130">
        <v>71</v>
      </c>
      <c r="E130" s="66"/>
    </row>
    <row r="131" spans="1:5" x14ac:dyDescent="0.3">
      <c r="A131" s="66">
        <v>46300</v>
      </c>
      <c r="B131" t="str">
        <v>New Followers</v>
      </c>
      <c r="C131">
        <v>9</v>
      </c>
      <c r="E131" s="66"/>
    </row>
    <row r="132" spans="1:5" x14ac:dyDescent="0.3">
      <c r="A132" s="66">
        <v>46300</v>
      </c>
      <c r="B132" t="str">
        <v>Engagement</v>
      </c>
      <c r="C132">
        <v>55</v>
      </c>
      <c r="E132" s="66"/>
    </row>
    <row r="133" spans="1:5" x14ac:dyDescent="0.3">
      <c r="A133" s="66">
        <v>46300</v>
      </c>
      <c r="B133" t="str">
        <v>Engagement Rate</v>
      </c>
      <c r="C133">
        <v>5.0878815911193337E-2</v>
      </c>
      <c r="E133" s="66"/>
    </row>
    <row r="134" spans="1:5" x14ac:dyDescent="0.3">
      <c r="A134" s="66">
        <v>46300</v>
      </c>
      <c r="B134" t="str">
        <v>Brand Awareness</v>
      </c>
      <c r="C134">
        <v>80</v>
      </c>
      <c r="E134" s="66"/>
    </row>
    <row r="135" spans="1:5" x14ac:dyDescent="0.3">
      <c r="A135" s="66">
        <v>46301</v>
      </c>
      <c r="B135" t="str">
        <v>Views</v>
      </c>
      <c r="C135">
        <v>1119</v>
      </c>
      <c r="E135" s="66"/>
    </row>
    <row r="136" spans="1:5" x14ac:dyDescent="0.3">
      <c r="A136" s="66">
        <v>46301</v>
      </c>
      <c r="B136" t="str">
        <v>Total Watch Time (s)</v>
      </c>
      <c r="C136">
        <v>25880</v>
      </c>
      <c r="E136" s="66"/>
    </row>
    <row r="137" spans="1:5" x14ac:dyDescent="0.3">
      <c r="A137" s="66">
        <v>46301</v>
      </c>
      <c r="B137" t="str">
        <v>Likes</v>
      </c>
      <c r="C137">
        <v>45</v>
      </c>
      <c r="E137" s="66"/>
    </row>
    <row r="138" spans="1:5" x14ac:dyDescent="0.3">
      <c r="A138" s="66">
        <v>46301</v>
      </c>
      <c r="B138" t="str">
        <v>Saves</v>
      </c>
      <c r="C138">
        <v>19</v>
      </c>
      <c r="E138" s="66"/>
    </row>
    <row r="139" spans="1:5" x14ac:dyDescent="0.3">
      <c r="A139" s="66">
        <v>46301</v>
      </c>
      <c r="B139" t="str">
        <v>Comments</v>
      </c>
      <c r="C139">
        <v>5</v>
      </c>
      <c r="E139" s="66"/>
    </row>
    <row r="140" spans="1:5" x14ac:dyDescent="0.3">
      <c r="A140" s="66">
        <v>46301</v>
      </c>
      <c r="B140" t="str">
        <v>Shares</v>
      </c>
      <c r="C140">
        <v>5</v>
      </c>
      <c r="E140" s="66"/>
    </row>
    <row r="141" spans="1:5" x14ac:dyDescent="0.3">
      <c r="A141" s="66">
        <v>46301</v>
      </c>
      <c r="B141" t="str">
        <v>Profile Visits</v>
      </c>
      <c r="C141">
        <v>77</v>
      </c>
      <c r="E141" s="66"/>
    </row>
    <row r="142" spans="1:5" x14ac:dyDescent="0.3">
      <c r="A142" s="66">
        <v>46301</v>
      </c>
      <c r="B142" t="str">
        <v>New Followers</v>
      </c>
      <c r="C142">
        <v>8</v>
      </c>
      <c r="E142" s="66"/>
    </row>
    <row r="143" spans="1:5" x14ac:dyDescent="0.3">
      <c r="A143" s="66">
        <v>46301</v>
      </c>
      <c r="B143" t="str">
        <v>Engagement</v>
      </c>
      <c r="C143">
        <v>74</v>
      </c>
      <c r="E143" s="66"/>
    </row>
    <row r="144" spans="1:5" x14ac:dyDescent="0.3">
      <c r="A144" s="66">
        <v>46301</v>
      </c>
      <c r="B144" t="str">
        <v>Engagement Rate</v>
      </c>
      <c r="C144">
        <v>6.6130473637176043E-2</v>
      </c>
      <c r="E144" s="66"/>
    </row>
    <row r="145" spans="1:5" x14ac:dyDescent="0.3">
      <c r="A145" s="66">
        <v>46301</v>
      </c>
      <c r="B145" t="str">
        <v>Brand Awareness</v>
      </c>
      <c r="C145">
        <v>85</v>
      </c>
      <c r="E145" s="66"/>
    </row>
    <row r="146" spans="1:5" x14ac:dyDescent="0.3">
      <c r="A146" s="66">
        <v>46302</v>
      </c>
      <c r="B146" t="str">
        <v>Views</v>
      </c>
      <c r="C146">
        <v>948</v>
      </c>
      <c r="E146" s="66"/>
    </row>
    <row r="147" spans="1:5" x14ac:dyDescent="0.3">
      <c r="A147" s="66">
        <v>46302</v>
      </c>
      <c r="B147" t="str">
        <v>Total Watch Time (s)</v>
      </c>
      <c r="C147">
        <v>32039</v>
      </c>
      <c r="E147" s="66"/>
    </row>
    <row r="148" spans="1:5" x14ac:dyDescent="0.3">
      <c r="A148" s="66">
        <v>46302</v>
      </c>
      <c r="B148" t="str">
        <v>Likes</v>
      </c>
      <c r="C148">
        <v>44</v>
      </c>
      <c r="E148" s="66"/>
    </row>
    <row r="149" spans="1:5" x14ac:dyDescent="0.3">
      <c r="A149" s="66">
        <v>46302</v>
      </c>
      <c r="B149" t="str">
        <v>Saves</v>
      </c>
      <c r="C149">
        <v>17</v>
      </c>
      <c r="E149" s="66"/>
    </row>
    <row r="150" spans="1:5" x14ac:dyDescent="0.3">
      <c r="A150" s="66">
        <v>46302</v>
      </c>
      <c r="B150" t="str">
        <v>Comments</v>
      </c>
      <c r="C150">
        <v>4</v>
      </c>
      <c r="E150" s="66"/>
    </row>
    <row r="151" spans="1:5" x14ac:dyDescent="0.3">
      <c r="A151" s="66">
        <v>46302</v>
      </c>
      <c r="B151" t="str">
        <v>Shares</v>
      </c>
      <c r="C151">
        <v>3</v>
      </c>
      <c r="E151" s="66"/>
    </row>
    <row r="152" spans="1:5" x14ac:dyDescent="0.3">
      <c r="A152" s="66">
        <v>46302</v>
      </c>
      <c r="B152" t="str">
        <v>Profile Visits</v>
      </c>
      <c r="C152">
        <v>45</v>
      </c>
      <c r="E152" s="66"/>
    </row>
    <row r="153" spans="1:5" x14ac:dyDescent="0.3">
      <c r="A153" s="66">
        <v>46302</v>
      </c>
      <c r="B153" t="str">
        <v>New Followers</v>
      </c>
      <c r="C153">
        <v>9</v>
      </c>
      <c r="E153" s="66"/>
    </row>
    <row r="154" spans="1:5" x14ac:dyDescent="0.3">
      <c r="A154" s="66">
        <v>46302</v>
      </c>
      <c r="B154" t="str">
        <v>Engagement</v>
      </c>
      <c r="C154">
        <v>68</v>
      </c>
      <c r="E154" s="66"/>
    </row>
    <row r="155" spans="1:5" x14ac:dyDescent="0.3">
      <c r="A155" s="66">
        <v>46302</v>
      </c>
      <c r="B155" t="str">
        <v>Engagement Rate</v>
      </c>
      <c r="C155">
        <v>7.1729957805907171E-2</v>
      </c>
      <c r="E155" s="66"/>
    </row>
    <row r="156" spans="1:5" x14ac:dyDescent="0.3">
      <c r="A156" s="66">
        <v>46302</v>
      </c>
      <c r="B156" t="str">
        <v>Brand Awareness</v>
      </c>
      <c r="C156">
        <v>54</v>
      </c>
      <c r="E156" s="66"/>
    </row>
    <row r="157" spans="1:5" x14ac:dyDescent="0.3">
      <c r="A157" s="66">
        <v>46303</v>
      </c>
      <c r="B157" t="str">
        <v>Views</v>
      </c>
      <c r="C157">
        <v>1521</v>
      </c>
      <c r="E157" s="66"/>
    </row>
    <row r="158" spans="1:5" x14ac:dyDescent="0.3">
      <c r="A158" s="66">
        <v>46303</v>
      </c>
      <c r="B158" t="str">
        <v>Total Watch Time (s)</v>
      </c>
      <c r="C158">
        <v>43731</v>
      </c>
      <c r="E158" s="66"/>
    </row>
    <row r="159" spans="1:5" x14ac:dyDescent="0.3">
      <c r="A159" s="66">
        <v>46303</v>
      </c>
      <c r="B159" t="str">
        <v>Likes</v>
      </c>
      <c r="C159">
        <v>35</v>
      </c>
      <c r="E159" s="66"/>
    </row>
    <row r="160" spans="1:5" x14ac:dyDescent="0.3">
      <c r="A160" s="66">
        <v>46303</v>
      </c>
      <c r="B160" t="str">
        <v>Saves</v>
      </c>
      <c r="C160">
        <v>24</v>
      </c>
      <c r="E160" s="66"/>
    </row>
    <row r="161" spans="1:5" x14ac:dyDescent="0.3">
      <c r="A161" s="66">
        <v>46303</v>
      </c>
      <c r="B161" t="str">
        <v>Comments</v>
      </c>
      <c r="C161">
        <v>5</v>
      </c>
      <c r="E161" s="66"/>
    </row>
    <row r="162" spans="1:5" x14ac:dyDescent="0.3">
      <c r="A162" s="66">
        <v>46303</v>
      </c>
      <c r="B162" t="str">
        <v>Shares</v>
      </c>
      <c r="C162">
        <v>7</v>
      </c>
      <c r="E162" s="66"/>
    </row>
    <row r="163" spans="1:5" x14ac:dyDescent="0.3">
      <c r="A163" s="66">
        <v>46303</v>
      </c>
      <c r="B163" t="str">
        <v>Profile Visits</v>
      </c>
      <c r="C163">
        <v>111</v>
      </c>
      <c r="E163" s="66"/>
    </row>
    <row r="164" spans="1:5" x14ac:dyDescent="0.3">
      <c r="A164" s="66">
        <v>46303</v>
      </c>
      <c r="B164" t="str">
        <v>New Followers</v>
      </c>
      <c r="C164">
        <v>21</v>
      </c>
      <c r="E164" s="66"/>
    </row>
    <row r="165" spans="1:5" x14ac:dyDescent="0.3">
      <c r="A165" s="66">
        <v>46303</v>
      </c>
      <c r="B165" t="str">
        <v>Engagement</v>
      </c>
      <c r="C165">
        <v>71</v>
      </c>
      <c r="E165" s="66"/>
    </row>
    <row r="166" spans="1:5" x14ac:dyDescent="0.3">
      <c r="A166" s="66">
        <v>46303</v>
      </c>
      <c r="B166" t="str">
        <v>Engagement Rate</v>
      </c>
      <c r="C166">
        <v>4.6679815910585142E-2</v>
      </c>
      <c r="E166" s="66"/>
    </row>
    <row r="167" spans="1:5" x14ac:dyDescent="0.3">
      <c r="A167" s="66">
        <v>46303</v>
      </c>
      <c r="B167" t="str">
        <v>Brand Awareness</v>
      </c>
      <c r="C167">
        <v>132</v>
      </c>
      <c r="E167" s="66"/>
    </row>
    <row r="168" spans="1:5" x14ac:dyDescent="0.3">
      <c r="A168" s="66">
        <v>46304</v>
      </c>
      <c r="B168" t="str">
        <v>Views</v>
      </c>
      <c r="C168">
        <v>1151</v>
      </c>
      <c r="E168" s="66"/>
    </row>
    <row r="169" spans="1:5" x14ac:dyDescent="0.3">
      <c r="A169" s="66">
        <v>46304</v>
      </c>
      <c r="B169" t="str">
        <v>Total Watch Time (s)</v>
      </c>
      <c r="C169">
        <v>21771</v>
      </c>
      <c r="E169" s="66"/>
    </row>
    <row r="170" spans="1:5" x14ac:dyDescent="0.3">
      <c r="A170" s="66">
        <v>46304</v>
      </c>
      <c r="B170" t="str">
        <v>Likes</v>
      </c>
      <c r="C170">
        <v>40</v>
      </c>
      <c r="E170" s="66"/>
    </row>
    <row r="171" spans="1:5" x14ac:dyDescent="0.3">
      <c r="A171" s="66">
        <v>46304</v>
      </c>
      <c r="B171" t="str">
        <v>Saves</v>
      </c>
      <c r="C171">
        <v>24</v>
      </c>
      <c r="E171" s="66"/>
    </row>
    <row r="172" spans="1:5" x14ac:dyDescent="0.3">
      <c r="A172" s="66">
        <v>46304</v>
      </c>
      <c r="B172" t="str">
        <v>Comments</v>
      </c>
      <c r="C172">
        <v>5</v>
      </c>
      <c r="E172" s="66"/>
    </row>
    <row r="173" spans="1:5" x14ac:dyDescent="0.3">
      <c r="A173" s="66">
        <v>46304</v>
      </c>
      <c r="B173" t="str">
        <v>Shares</v>
      </c>
      <c r="C173">
        <v>7</v>
      </c>
      <c r="E173" s="66"/>
    </row>
    <row r="174" spans="1:5" x14ac:dyDescent="0.3">
      <c r="A174" s="66">
        <v>46304</v>
      </c>
      <c r="B174" t="str">
        <v>Profile Visits</v>
      </c>
      <c r="C174">
        <v>83</v>
      </c>
      <c r="E174" s="66"/>
    </row>
    <row r="175" spans="1:5" x14ac:dyDescent="0.3">
      <c r="A175" s="66">
        <v>46304</v>
      </c>
      <c r="B175" t="str">
        <v>New Followers</v>
      </c>
      <c r="C175">
        <v>10</v>
      </c>
      <c r="E175" s="66"/>
    </row>
    <row r="176" spans="1:5" x14ac:dyDescent="0.3">
      <c r="A176" s="66">
        <v>46304</v>
      </c>
      <c r="B176" t="str">
        <v>Engagement</v>
      </c>
      <c r="C176">
        <v>76</v>
      </c>
      <c r="E176" s="66"/>
    </row>
    <row r="177" spans="1:5" x14ac:dyDescent="0.3">
      <c r="A177" s="66">
        <v>46304</v>
      </c>
      <c r="B177" t="str">
        <v>Engagement Rate</v>
      </c>
      <c r="C177">
        <v>6.6029539530842743E-2</v>
      </c>
      <c r="E177" s="66"/>
    </row>
    <row r="178" spans="1:5" x14ac:dyDescent="0.3">
      <c r="A178" s="66">
        <v>46304</v>
      </c>
      <c r="B178" t="str">
        <v>Brand Awareness</v>
      </c>
      <c r="C178">
        <v>93</v>
      </c>
      <c r="E178" s="66"/>
    </row>
    <row r="179" spans="1:5" x14ac:dyDescent="0.3">
      <c r="A179" s="66">
        <v>46305</v>
      </c>
      <c r="B179" t="str">
        <v>Views</v>
      </c>
      <c r="C179">
        <v>1498</v>
      </c>
      <c r="E179" s="66"/>
    </row>
    <row r="180" spans="1:5" x14ac:dyDescent="0.3">
      <c r="A180" s="66">
        <v>46305</v>
      </c>
      <c r="B180" t="str">
        <v>Total Watch Time (s)</v>
      </c>
      <c r="C180">
        <v>49489</v>
      </c>
      <c r="E180" s="66"/>
    </row>
    <row r="181" spans="1:5" x14ac:dyDescent="0.3">
      <c r="A181" s="66">
        <v>46305</v>
      </c>
      <c r="B181" t="str">
        <v>Likes</v>
      </c>
      <c r="C181">
        <v>42</v>
      </c>
      <c r="E181" s="66"/>
    </row>
    <row r="182" spans="1:5" x14ac:dyDescent="0.3">
      <c r="A182" s="66">
        <v>46305</v>
      </c>
      <c r="B182" t="str">
        <v>Saves</v>
      </c>
      <c r="C182">
        <v>21</v>
      </c>
      <c r="E182" s="66"/>
    </row>
    <row r="183" spans="1:5" x14ac:dyDescent="0.3">
      <c r="A183" s="66">
        <v>46305</v>
      </c>
      <c r="B183" t="str">
        <v>Comments</v>
      </c>
      <c r="C183">
        <v>6</v>
      </c>
      <c r="E183" s="66"/>
    </row>
    <row r="184" spans="1:5" x14ac:dyDescent="0.3">
      <c r="A184" s="66">
        <v>46305</v>
      </c>
      <c r="B184" t="str">
        <v>Shares</v>
      </c>
      <c r="C184">
        <v>7</v>
      </c>
      <c r="E184" s="66"/>
    </row>
    <row r="185" spans="1:5" x14ac:dyDescent="0.3">
      <c r="A185" s="66">
        <v>46305</v>
      </c>
      <c r="B185" t="str">
        <v>Profile Visits</v>
      </c>
      <c r="C185">
        <v>94</v>
      </c>
      <c r="E185" s="66"/>
    </row>
    <row r="186" spans="1:5" x14ac:dyDescent="0.3">
      <c r="A186" s="66">
        <v>46305</v>
      </c>
      <c r="B186" t="str">
        <v>New Followers</v>
      </c>
      <c r="C186">
        <v>18</v>
      </c>
      <c r="E186" s="66"/>
    </row>
    <row r="187" spans="1:5" x14ac:dyDescent="0.3">
      <c r="A187" s="66">
        <v>46305</v>
      </c>
      <c r="B187" t="str">
        <v>Engagement</v>
      </c>
      <c r="C187">
        <v>76</v>
      </c>
      <c r="E187" s="66"/>
    </row>
    <row r="188" spans="1:5" x14ac:dyDescent="0.3">
      <c r="A188" s="66">
        <v>46305</v>
      </c>
      <c r="B188" t="str">
        <v>Engagement Rate</v>
      </c>
      <c r="C188">
        <v>5.0734312416555405E-2</v>
      </c>
      <c r="E188" s="66"/>
    </row>
    <row r="189" spans="1:5" x14ac:dyDescent="0.3">
      <c r="A189" s="66">
        <v>46305</v>
      </c>
      <c r="B189" t="str">
        <v>Brand Awareness</v>
      </c>
      <c r="C189">
        <v>112</v>
      </c>
      <c r="E189" s="66"/>
    </row>
    <row r="190" spans="1:5" x14ac:dyDescent="0.3">
      <c r="A190" s="66">
        <v>46306</v>
      </c>
      <c r="B190" t="str">
        <v>Views</v>
      </c>
      <c r="C190">
        <v>1057</v>
      </c>
      <c r="E190" s="66"/>
    </row>
    <row r="191" spans="1:5" x14ac:dyDescent="0.3">
      <c r="A191" s="66">
        <v>46306</v>
      </c>
      <c r="B191" t="str">
        <v>Total Watch Time (s)</v>
      </c>
      <c r="C191">
        <v>33254</v>
      </c>
      <c r="E191" s="66"/>
    </row>
    <row r="192" spans="1:5" x14ac:dyDescent="0.3">
      <c r="A192" s="66">
        <v>46306</v>
      </c>
      <c r="B192" t="str">
        <v>Likes</v>
      </c>
      <c r="C192">
        <v>31</v>
      </c>
      <c r="E192" s="66"/>
    </row>
    <row r="193" spans="1:5" x14ac:dyDescent="0.3">
      <c r="A193" s="66">
        <v>46306</v>
      </c>
      <c r="B193" t="str">
        <v>Saves</v>
      </c>
      <c r="C193">
        <v>15</v>
      </c>
      <c r="E193" s="66"/>
    </row>
    <row r="194" spans="1:5" x14ac:dyDescent="0.3">
      <c r="A194" s="66">
        <v>46306</v>
      </c>
      <c r="B194" t="str">
        <v>Comments</v>
      </c>
      <c r="C194">
        <v>4</v>
      </c>
      <c r="E194" s="66"/>
    </row>
    <row r="195" spans="1:5" x14ac:dyDescent="0.3">
      <c r="A195" s="66">
        <v>46306</v>
      </c>
      <c r="B195" t="str">
        <v>Shares</v>
      </c>
      <c r="C195">
        <v>4</v>
      </c>
      <c r="E195" s="66"/>
    </row>
    <row r="196" spans="1:5" x14ac:dyDescent="0.3">
      <c r="A196" s="66">
        <v>46306</v>
      </c>
      <c r="B196" t="str">
        <v>Profile Visits</v>
      </c>
      <c r="C196">
        <v>89</v>
      </c>
      <c r="E196" s="66"/>
    </row>
    <row r="197" spans="1:5" x14ac:dyDescent="0.3">
      <c r="A197" s="66">
        <v>46306</v>
      </c>
      <c r="B197" t="str">
        <v>New Followers</v>
      </c>
      <c r="C197">
        <v>7</v>
      </c>
      <c r="E197" s="66"/>
    </row>
    <row r="198" spans="1:5" x14ac:dyDescent="0.3">
      <c r="A198" s="66">
        <v>46306</v>
      </c>
      <c r="B198" t="str">
        <v>Engagement</v>
      </c>
      <c r="C198">
        <v>54</v>
      </c>
      <c r="E198" s="66"/>
    </row>
    <row r="199" spans="1:5" x14ac:dyDescent="0.3">
      <c r="A199" s="66">
        <v>46306</v>
      </c>
      <c r="B199" t="str">
        <v>Engagement Rate</v>
      </c>
      <c r="C199">
        <v>5.1087984862819298E-2</v>
      </c>
      <c r="E199" s="66"/>
    </row>
    <row r="200" spans="1:5" x14ac:dyDescent="0.3">
      <c r="A200" s="66">
        <v>46306</v>
      </c>
      <c r="B200" t="str">
        <v>Brand Awareness</v>
      </c>
      <c r="C200">
        <v>96</v>
      </c>
      <c r="E200" s="66"/>
    </row>
    <row r="201" spans="1:5" x14ac:dyDescent="0.3">
      <c r="A201" s="66">
        <v>46307</v>
      </c>
      <c r="B201" t="str">
        <v>Views</v>
      </c>
      <c r="C201">
        <v>1209</v>
      </c>
      <c r="E201" s="66"/>
    </row>
    <row r="202" spans="1:5" x14ac:dyDescent="0.3">
      <c r="A202" s="66">
        <v>46307</v>
      </c>
      <c r="B202" t="str">
        <v>Total Watch Time (s)</v>
      </c>
      <c r="C202">
        <v>35549</v>
      </c>
      <c r="E202" s="66"/>
    </row>
    <row r="203" spans="1:5" x14ac:dyDescent="0.3">
      <c r="A203" s="66">
        <v>46307</v>
      </c>
      <c r="B203" t="str">
        <v>Likes</v>
      </c>
      <c r="C203">
        <v>35</v>
      </c>
      <c r="E203" s="66"/>
    </row>
    <row r="204" spans="1:5" x14ac:dyDescent="0.3">
      <c r="A204" s="66">
        <v>46307</v>
      </c>
      <c r="B204" t="str">
        <v>Saves</v>
      </c>
      <c r="C204">
        <v>18</v>
      </c>
      <c r="E204" s="66"/>
    </row>
    <row r="205" spans="1:5" x14ac:dyDescent="0.3">
      <c r="A205" s="66">
        <v>46307</v>
      </c>
      <c r="B205" t="str">
        <v>Comments</v>
      </c>
      <c r="C205">
        <v>3</v>
      </c>
      <c r="E205" s="66"/>
    </row>
    <row r="206" spans="1:5" x14ac:dyDescent="0.3">
      <c r="A206" s="66">
        <v>46307</v>
      </c>
      <c r="B206" t="str">
        <v>Shares</v>
      </c>
      <c r="C206">
        <v>4</v>
      </c>
      <c r="E206" s="66"/>
    </row>
    <row r="207" spans="1:5" x14ac:dyDescent="0.3">
      <c r="A207" s="66">
        <v>46307</v>
      </c>
      <c r="B207" t="str">
        <v>Profile Visits</v>
      </c>
      <c r="C207">
        <v>56</v>
      </c>
      <c r="E207" s="66"/>
    </row>
    <row r="208" spans="1:5" x14ac:dyDescent="0.3">
      <c r="A208" s="66">
        <v>46307</v>
      </c>
      <c r="B208" t="str">
        <v>New Followers</v>
      </c>
      <c r="C208">
        <v>9</v>
      </c>
      <c r="E208" s="66"/>
    </row>
    <row r="209" spans="1:5" x14ac:dyDescent="0.3">
      <c r="A209" s="66">
        <v>46307</v>
      </c>
      <c r="B209" t="str">
        <v>Engagement</v>
      </c>
      <c r="C209">
        <v>60</v>
      </c>
      <c r="E209" s="66"/>
    </row>
    <row r="210" spans="1:5" x14ac:dyDescent="0.3">
      <c r="A210" s="66">
        <v>46307</v>
      </c>
      <c r="B210" t="str">
        <v>Engagement Rate</v>
      </c>
      <c r="C210">
        <v>4.9627791563275438E-2</v>
      </c>
      <c r="E210" s="66"/>
    </row>
    <row r="211" spans="1:5" x14ac:dyDescent="0.3">
      <c r="A211" s="66">
        <v>46307</v>
      </c>
      <c r="B211" t="str">
        <v>Brand Awareness</v>
      </c>
      <c r="C211">
        <v>65</v>
      </c>
      <c r="E211" s="66"/>
    </row>
    <row r="212" spans="1:5" x14ac:dyDescent="0.3">
      <c r="A212" s="66">
        <v>46308</v>
      </c>
      <c r="B212" t="str">
        <v>Views</v>
      </c>
      <c r="C212">
        <v>795</v>
      </c>
      <c r="E212" s="66"/>
    </row>
    <row r="213" spans="1:5" x14ac:dyDescent="0.3">
      <c r="A213" s="66">
        <v>46308</v>
      </c>
      <c r="B213" t="str">
        <v>Total Watch Time (s)</v>
      </c>
      <c r="C213">
        <v>27632</v>
      </c>
      <c r="E213" s="66"/>
    </row>
    <row r="214" spans="1:5" x14ac:dyDescent="0.3">
      <c r="A214" s="66">
        <v>46308</v>
      </c>
      <c r="B214" t="str">
        <v>Likes</v>
      </c>
      <c r="C214">
        <v>22</v>
      </c>
      <c r="E214" s="66"/>
    </row>
    <row r="215" spans="1:5" x14ac:dyDescent="0.3">
      <c r="A215" s="66">
        <v>46308</v>
      </c>
      <c r="B215" t="str">
        <v>Saves</v>
      </c>
      <c r="C215">
        <v>10</v>
      </c>
      <c r="E215" s="66"/>
    </row>
    <row r="216" spans="1:5" x14ac:dyDescent="0.3">
      <c r="A216" s="66">
        <v>46308</v>
      </c>
      <c r="B216" t="str">
        <v>Comments</v>
      </c>
      <c r="C216">
        <v>3</v>
      </c>
      <c r="E216" s="66"/>
    </row>
    <row r="217" spans="1:5" x14ac:dyDescent="0.3">
      <c r="A217" s="66">
        <v>46308</v>
      </c>
      <c r="B217" t="str">
        <v>Shares</v>
      </c>
      <c r="C217">
        <v>4</v>
      </c>
      <c r="E217" s="66"/>
    </row>
    <row r="218" spans="1:5" x14ac:dyDescent="0.3">
      <c r="A218" s="66">
        <v>46308</v>
      </c>
      <c r="B218" t="str">
        <v>Profile Visits</v>
      </c>
      <c r="C218">
        <v>44</v>
      </c>
      <c r="E218" s="66"/>
    </row>
    <row r="219" spans="1:5" x14ac:dyDescent="0.3">
      <c r="A219" s="66">
        <v>46308</v>
      </c>
      <c r="B219" t="str">
        <v>New Followers</v>
      </c>
      <c r="C219">
        <v>7</v>
      </c>
      <c r="E219" s="66"/>
    </row>
    <row r="220" spans="1:5" x14ac:dyDescent="0.3">
      <c r="A220" s="66">
        <v>46308</v>
      </c>
      <c r="B220" t="str">
        <v>Engagement</v>
      </c>
      <c r="C220">
        <v>39</v>
      </c>
      <c r="E220" s="66"/>
    </row>
    <row r="221" spans="1:5" x14ac:dyDescent="0.3">
      <c r="A221" s="66">
        <v>46308</v>
      </c>
      <c r="B221" t="str">
        <v>Engagement Rate</v>
      </c>
      <c r="C221">
        <v>4.9056603773584909E-2</v>
      </c>
      <c r="E221" s="66"/>
    </row>
    <row r="222" spans="1:5" x14ac:dyDescent="0.3">
      <c r="A222" s="66">
        <v>46308</v>
      </c>
      <c r="B222" t="str">
        <v>Brand Awareness</v>
      </c>
      <c r="C222">
        <v>51</v>
      </c>
      <c r="E222" s="66"/>
    </row>
    <row r="223" spans="1:5" x14ac:dyDescent="0.3">
      <c r="A223" s="66">
        <v>46309</v>
      </c>
      <c r="B223" t="str">
        <v>Views</v>
      </c>
      <c r="C223">
        <v>849</v>
      </c>
      <c r="E223" s="66"/>
    </row>
    <row r="224" spans="1:5" x14ac:dyDescent="0.3">
      <c r="A224" s="66">
        <v>46309</v>
      </c>
      <c r="B224" t="str">
        <v>Total Watch Time (s)</v>
      </c>
      <c r="C224">
        <v>21680</v>
      </c>
      <c r="E224" s="66"/>
    </row>
    <row r="225" spans="1:5" x14ac:dyDescent="0.3">
      <c r="A225" s="66">
        <v>46309</v>
      </c>
      <c r="B225" t="str">
        <v>Likes</v>
      </c>
      <c r="C225">
        <v>34</v>
      </c>
      <c r="E225" s="66"/>
    </row>
    <row r="226" spans="1:5" x14ac:dyDescent="0.3">
      <c r="A226" s="66">
        <v>46309</v>
      </c>
      <c r="B226" t="str">
        <v>Saves</v>
      </c>
      <c r="C226">
        <v>12</v>
      </c>
      <c r="E226" s="66"/>
    </row>
    <row r="227" spans="1:5" x14ac:dyDescent="0.3">
      <c r="A227" s="66">
        <v>46309</v>
      </c>
      <c r="B227" t="str">
        <v>Comments</v>
      </c>
      <c r="C227">
        <v>3</v>
      </c>
      <c r="E227" s="66"/>
    </row>
    <row r="228" spans="1:5" x14ac:dyDescent="0.3">
      <c r="A228" s="66">
        <v>46309</v>
      </c>
      <c r="B228" t="str">
        <v>Shares</v>
      </c>
      <c r="C228">
        <v>3</v>
      </c>
      <c r="E228" s="66"/>
    </row>
    <row r="229" spans="1:5" x14ac:dyDescent="0.3">
      <c r="A229" s="66">
        <v>46309</v>
      </c>
      <c r="B229" t="str">
        <v>Profile Visits</v>
      </c>
      <c r="C229">
        <v>37</v>
      </c>
      <c r="E229" s="66"/>
    </row>
    <row r="230" spans="1:5" x14ac:dyDescent="0.3">
      <c r="A230" s="66">
        <v>46309</v>
      </c>
      <c r="B230" t="str">
        <v>New Followers</v>
      </c>
      <c r="C230">
        <v>9</v>
      </c>
      <c r="E230" s="66"/>
    </row>
    <row r="231" spans="1:5" x14ac:dyDescent="0.3">
      <c r="A231" s="66">
        <v>46309</v>
      </c>
      <c r="B231" t="str">
        <v>Engagement</v>
      </c>
      <c r="C231">
        <v>52</v>
      </c>
      <c r="E231" s="66"/>
    </row>
    <row r="232" spans="1:5" x14ac:dyDescent="0.3">
      <c r="A232" s="66">
        <v>46309</v>
      </c>
      <c r="B232" t="str">
        <v>Engagement Rate</v>
      </c>
      <c r="C232">
        <v>6.1248527679623084E-2</v>
      </c>
      <c r="E232" s="66"/>
    </row>
    <row r="233" spans="1:5" x14ac:dyDescent="0.3">
      <c r="A233" s="66">
        <v>46309</v>
      </c>
      <c r="B233" t="str">
        <v>Brand Awareness</v>
      </c>
      <c r="C233">
        <v>46</v>
      </c>
      <c r="E233" s="66"/>
    </row>
    <row r="234" spans="1:5" x14ac:dyDescent="0.3">
      <c r="A234" s="66">
        <v>46310</v>
      </c>
      <c r="B234" t="str">
        <v>Views</v>
      </c>
      <c r="C234">
        <v>829</v>
      </c>
      <c r="E234" s="66"/>
    </row>
    <row r="235" spans="1:5" x14ac:dyDescent="0.3">
      <c r="A235" s="66">
        <v>46310</v>
      </c>
      <c r="B235" t="str">
        <v>Total Watch Time (s)</v>
      </c>
      <c r="C235">
        <v>20207</v>
      </c>
      <c r="E235" s="66"/>
    </row>
    <row r="236" spans="1:5" x14ac:dyDescent="0.3">
      <c r="A236" s="66">
        <v>46310</v>
      </c>
      <c r="B236" t="str">
        <v>Likes</v>
      </c>
      <c r="C236">
        <v>22</v>
      </c>
      <c r="E236" s="66"/>
    </row>
    <row r="237" spans="1:5" x14ac:dyDescent="0.3">
      <c r="A237" s="66">
        <v>46310</v>
      </c>
      <c r="B237" t="str">
        <v>Saves</v>
      </c>
      <c r="C237">
        <v>8</v>
      </c>
      <c r="E237" s="66"/>
    </row>
    <row r="238" spans="1:5" x14ac:dyDescent="0.3">
      <c r="A238" s="66">
        <v>46310</v>
      </c>
      <c r="B238" t="str">
        <v>Comments</v>
      </c>
      <c r="C238">
        <v>4</v>
      </c>
      <c r="E238" s="66"/>
    </row>
    <row r="239" spans="1:5" x14ac:dyDescent="0.3">
      <c r="A239" s="66">
        <v>46310</v>
      </c>
      <c r="B239" t="str">
        <v>Shares</v>
      </c>
      <c r="C239">
        <v>4</v>
      </c>
      <c r="E239" s="66"/>
    </row>
    <row r="240" spans="1:5" x14ac:dyDescent="0.3">
      <c r="A240" s="66">
        <v>46310</v>
      </c>
      <c r="B240" t="str">
        <v>Profile Visits</v>
      </c>
      <c r="C240">
        <v>47</v>
      </c>
      <c r="E240" s="66"/>
    </row>
    <row r="241" spans="1:5" x14ac:dyDescent="0.3">
      <c r="A241" s="66">
        <v>46310</v>
      </c>
      <c r="B241" t="str">
        <v>New Followers</v>
      </c>
      <c r="C241">
        <v>9</v>
      </c>
      <c r="E241" s="66"/>
    </row>
    <row r="242" spans="1:5" x14ac:dyDescent="0.3">
      <c r="A242" s="66">
        <v>46310</v>
      </c>
      <c r="B242" t="str">
        <v>Engagement</v>
      </c>
      <c r="C242">
        <v>38</v>
      </c>
      <c r="E242" s="66"/>
    </row>
    <row r="243" spans="1:5" x14ac:dyDescent="0.3">
      <c r="A243" s="66">
        <v>46310</v>
      </c>
      <c r="B243" t="str">
        <v>Engagement Rate</v>
      </c>
      <c r="C243">
        <v>4.5838359469240045E-2</v>
      </c>
      <c r="E243" s="66"/>
    </row>
    <row r="244" spans="1:5" x14ac:dyDescent="0.3">
      <c r="A244" s="66">
        <v>46310</v>
      </c>
      <c r="B244" t="str">
        <v>Brand Awareness</v>
      </c>
      <c r="C244">
        <v>56</v>
      </c>
      <c r="E244" s="66"/>
    </row>
    <row r="245" spans="1:5" x14ac:dyDescent="0.3">
      <c r="A245" s="66">
        <v>46311</v>
      </c>
      <c r="B245" t="str">
        <v>Views</v>
      </c>
      <c r="C245">
        <v>904</v>
      </c>
      <c r="E245" s="66"/>
    </row>
    <row r="246" spans="1:5" x14ac:dyDescent="0.3">
      <c r="A246" s="66">
        <v>46311</v>
      </c>
      <c r="B246" t="str">
        <v>Total Watch Time (s)</v>
      </c>
      <c r="C246">
        <v>27867</v>
      </c>
      <c r="E246" s="66"/>
    </row>
    <row r="247" spans="1:5" x14ac:dyDescent="0.3">
      <c r="A247" s="66">
        <v>46311</v>
      </c>
      <c r="B247" t="str">
        <v>Likes</v>
      </c>
      <c r="C247">
        <v>34</v>
      </c>
      <c r="E247" s="66"/>
    </row>
    <row r="248" spans="1:5" x14ac:dyDescent="0.3">
      <c r="A248" s="66">
        <v>46311</v>
      </c>
      <c r="B248" t="str">
        <v>Saves</v>
      </c>
      <c r="C248">
        <v>13</v>
      </c>
      <c r="E248" s="66"/>
    </row>
    <row r="249" spans="1:5" x14ac:dyDescent="0.3">
      <c r="A249" s="66">
        <v>46311</v>
      </c>
      <c r="B249" t="str">
        <v>Comments</v>
      </c>
      <c r="C249">
        <v>5</v>
      </c>
      <c r="E249" s="66"/>
    </row>
    <row r="250" spans="1:5" x14ac:dyDescent="0.3">
      <c r="A250" s="66">
        <v>46311</v>
      </c>
      <c r="B250" t="str">
        <v>Shares</v>
      </c>
      <c r="C250">
        <v>3</v>
      </c>
      <c r="E250" s="66"/>
    </row>
    <row r="251" spans="1:5" x14ac:dyDescent="0.3">
      <c r="A251" s="66">
        <v>46311</v>
      </c>
      <c r="B251" t="str">
        <v>Profile Visits</v>
      </c>
      <c r="C251">
        <v>60</v>
      </c>
      <c r="E251" s="66"/>
    </row>
    <row r="252" spans="1:5" x14ac:dyDescent="0.3">
      <c r="A252" s="66">
        <v>46311</v>
      </c>
      <c r="B252" t="str">
        <v>New Followers</v>
      </c>
      <c r="C252">
        <v>11</v>
      </c>
      <c r="E252" s="66"/>
    </row>
    <row r="253" spans="1:5" x14ac:dyDescent="0.3">
      <c r="A253" s="66">
        <v>46311</v>
      </c>
      <c r="B253" t="str">
        <v>Engagement</v>
      </c>
      <c r="C253">
        <v>55</v>
      </c>
      <c r="E253" s="66"/>
    </row>
    <row r="254" spans="1:5" x14ac:dyDescent="0.3">
      <c r="A254" s="66">
        <v>46311</v>
      </c>
      <c r="B254" t="str">
        <v>Engagement Rate</v>
      </c>
      <c r="C254">
        <v>6.0840707964601767E-2</v>
      </c>
      <c r="E254" s="66"/>
    </row>
    <row r="255" spans="1:5" x14ac:dyDescent="0.3">
      <c r="A255" s="66">
        <v>46311</v>
      </c>
      <c r="B255" t="str">
        <v>Brand Awareness</v>
      </c>
      <c r="C255">
        <v>71</v>
      </c>
      <c r="E255" s="66"/>
    </row>
    <row r="256" spans="1:5" x14ac:dyDescent="0.3">
      <c r="A256" s="66">
        <v>46312</v>
      </c>
      <c r="B256" t="str">
        <v>Views</v>
      </c>
      <c r="C256">
        <v>906</v>
      </c>
      <c r="E256" s="66"/>
    </row>
    <row r="257" spans="1:5" x14ac:dyDescent="0.3">
      <c r="A257" s="66">
        <v>46312</v>
      </c>
      <c r="B257" t="str">
        <v>Total Watch Time (s)</v>
      </c>
      <c r="C257">
        <v>17414</v>
      </c>
      <c r="E257" s="66"/>
    </row>
    <row r="258" spans="1:5" x14ac:dyDescent="0.3">
      <c r="A258" s="66">
        <v>46312</v>
      </c>
      <c r="B258" t="str">
        <v>Likes</v>
      </c>
      <c r="C258">
        <v>28</v>
      </c>
      <c r="E258" s="66"/>
    </row>
    <row r="259" spans="1:5" x14ac:dyDescent="0.3">
      <c r="A259" s="66">
        <v>46312</v>
      </c>
      <c r="B259" t="str">
        <v>Saves</v>
      </c>
      <c r="C259">
        <v>11</v>
      </c>
      <c r="E259" s="66"/>
    </row>
    <row r="260" spans="1:5" x14ac:dyDescent="0.3">
      <c r="A260" s="66">
        <v>46312</v>
      </c>
      <c r="B260" t="str">
        <v>Comments</v>
      </c>
      <c r="C260">
        <v>4</v>
      </c>
      <c r="E260" s="66"/>
    </row>
    <row r="261" spans="1:5" x14ac:dyDescent="0.3">
      <c r="A261" s="66">
        <v>46312</v>
      </c>
      <c r="B261" t="str">
        <v>Shares</v>
      </c>
      <c r="C261">
        <v>3</v>
      </c>
      <c r="E261" s="66"/>
    </row>
    <row r="262" spans="1:5" x14ac:dyDescent="0.3">
      <c r="A262" s="66">
        <v>46312</v>
      </c>
      <c r="B262" t="str">
        <v>Profile Visits</v>
      </c>
      <c r="C262">
        <v>58</v>
      </c>
      <c r="E262" s="66"/>
    </row>
    <row r="263" spans="1:5" x14ac:dyDescent="0.3">
      <c r="A263" s="66">
        <v>46312</v>
      </c>
      <c r="B263" t="str">
        <v>New Followers</v>
      </c>
      <c r="C263">
        <v>10</v>
      </c>
      <c r="E263" s="66"/>
    </row>
    <row r="264" spans="1:5" x14ac:dyDescent="0.3">
      <c r="A264" s="66">
        <v>46312</v>
      </c>
      <c r="B264" t="str">
        <v>Engagement</v>
      </c>
      <c r="C264">
        <v>46</v>
      </c>
      <c r="E264" s="66"/>
    </row>
    <row r="265" spans="1:5" x14ac:dyDescent="0.3">
      <c r="A265" s="66">
        <v>46312</v>
      </c>
      <c r="B265" t="str">
        <v>Engagement Rate</v>
      </c>
      <c r="C265">
        <v>5.0772626931567331E-2</v>
      </c>
      <c r="E265" s="66"/>
    </row>
    <row r="266" spans="1:5" x14ac:dyDescent="0.3">
      <c r="A266" s="66">
        <v>46312</v>
      </c>
      <c r="B266" t="str">
        <v>Brand Awareness</v>
      </c>
      <c r="C266">
        <v>68</v>
      </c>
      <c r="E266" s="66"/>
    </row>
    <row r="267" spans="1:5" x14ac:dyDescent="0.3">
      <c r="A267" s="66">
        <v>46313</v>
      </c>
      <c r="B267" t="str">
        <v>Views</v>
      </c>
      <c r="C267">
        <v>1169</v>
      </c>
      <c r="E267" s="66"/>
    </row>
    <row r="268" spans="1:5" x14ac:dyDescent="0.3">
      <c r="A268" s="66">
        <v>46313</v>
      </c>
      <c r="B268" t="str">
        <v>Total Watch Time (s)</v>
      </c>
      <c r="C268">
        <v>37892</v>
      </c>
      <c r="E268" s="66"/>
    </row>
    <row r="269" spans="1:5" x14ac:dyDescent="0.3">
      <c r="A269" s="66">
        <v>46313</v>
      </c>
      <c r="B269" t="str">
        <v>Likes</v>
      </c>
      <c r="C269">
        <v>21</v>
      </c>
      <c r="E269" s="66"/>
    </row>
    <row r="270" spans="1:5" x14ac:dyDescent="0.3">
      <c r="A270" s="66">
        <v>46313</v>
      </c>
      <c r="B270" t="str">
        <v>Saves</v>
      </c>
      <c r="C270">
        <v>17</v>
      </c>
      <c r="E270" s="66"/>
    </row>
    <row r="271" spans="1:5" x14ac:dyDescent="0.3">
      <c r="A271" s="66">
        <v>46313</v>
      </c>
      <c r="B271" t="str">
        <v>Comments</v>
      </c>
      <c r="C271">
        <v>4</v>
      </c>
      <c r="E271" s="66"/>
    </row>
    <row r="272" spans="1:5" x14ac:dyDescent="0.3">
      <c r="A272" s="66">
        <v>46313</v>
      </c>
      <c r="B272" t="str">
        <v>Shares</v>
      </c>
      <c r="C272">
        <v>5</v>
      </c>
      <c r="E272" s="66"/>
    </row>
    <row r="273" spans="1:5" x14ac:dyDescent="0.3">
      <c r="A273" s="66">
        <v>46313</v>
      </c>
      <c r="B273" t="str">
        <v>Profile Visits</v>
      </c>
      <c r="C273">
        <v>78</v>
      </c>
      <c r="E273" s="66"/>
    </row>
    <row r="274" spans="1:5" x14ac:dyDescent="0.3">
      <c r="A274" s="66">
        <v>46313</v>
      </c>
      <c r="B274" t="str">
        <v>New Followers</v>
      </c>
      <c r="C274">
        <v>8</v>
      </c>
      <c r="E274" s="66"/>
    </row>
    <row r="275" spans="1:5" x14ac:dyDescent="0.3">
      <c r="A275" s="66">
        <v>46313</v>
      </c>
      <c r="B275" t="str">
        <v>Engagement</v>
      </c>
      <c r="C275">
        <v>47</v>
      </c>
      <c r="E275" s="66"/>
    </row>
    <row r="276" spans="1:5" x14ac:dyDescent="0.3">
      <c r="A276" s="66">
        <v>46313</v>
      </c>
      <c r="B276" t="str">
        <v>Engagement Rate</v>
      </c>
      <c r="C276">
        <v>4.0205303678357569E-2</v>
      </c>
      <c r="E276" s="66"/>
    </row>
    <row r="277" spans="1:5" x14ac:dyDescent="0.3">
      <c r="A277" s="66">
        <v>46313</v>
      </c>
      <c r="B277" t="str">
        <v>Brand Awareness</v>
      </c>
      <c r="C277">
        <v>86</v>
      </c>
      <c r="E277" s="66"/>
    </row>
    <row r="278" spans="1:5" x14ac:dyDescent="0.3">
      <c r="A278" s="66">
        <v>46314</v>
      </c>
      <c r="B278" t="str">
        <v>Views</v>
      </c>
      <c r="C278">
        <v>1007</v>
      </c>
      <c r="E278" s="66"/>
    </row>
    <row r="279" spans="1:5" x14ac:dyDescent="0.3">
      <c r="A279" s="66">
        <v>46314</v>
      </c>
      <c r="B279" t="str">
        <v>Total Watch Time (s)</v>
      </c>
      <c r="C279">
        <v>19251</v>
      </c>
      <c r="E279" s="66"/>
    </row>
    <row r="280" spans="1:5" x14ac:dyDescent="0.3">
      <c r="A280" s="66">
        <v>46314</v>
      </c>
      <c r="B280" t="str">
        <v>Likes</v>
      </c>
      <c r="C280">
        <v>22</v>
      </c>
      <c r="E280" s="66"/>
    </row>
    <row r="281" spans="1:5" x14ac:dyDescent="0.3">
      <c r="A281" s="66">
        <v>46314</v>
      </c>
      <c r="B281" t="str">
        <v>Saves</v>
      </c>
      <c r="C281">
        <v>21</v>
      </c>
      <c r="E281" s="66"/>
    </row>
    <row r="282" spans="1:5" x14ac:dyDescent="0.3">
      <c r="A282" s="66">
        <v>46314</v>
      </c>
      <c r="B282" t="str">
        <v>Comments</v>
      </c>
      <c r="C282">
        <v>4</v>
      </c>
      <c r="E282" s="66"/>
    </row>
    <row r="283" spans="1:5" x14ac:dyDescent="0.3">
      <c r="A283" s="66">
        <v>46314</v>
      </c>
      <c r="B283" t="str">
        <v>Shares</v>
      </c>
      <c r="C283">
        <v>4</v>
      </c>
      <c r="E283" s="66"/>
    </row>
    <row r="284" spans="1:5" x14ac:dyDescent="0.3">
      <c r="A284" s="66">
        <v>46314</v>
      </c>
      <c r="B284" t="str">
        <v>Profile Visits</v>
      </c>
      <c r="C284">
        <v>62</v>
      </c>
      <c r="E284" s="66"/>
    </row>
    <row r="285" spans="1:5" x14ac:dyDescent="0.3">
      <c r="A285" s="66">
        <v>46314</v>
      </c>
      <c r="B285" t="str">
        <v>New Followers</v>
      </c>
      <c r="C285">
        <v>10</v>
      </c>
      <c r="E285" s="66"/>
    </row>
    <row r="286" spans="1:5" x14ac:dyDescent="0.3">
      <c r="A286" s="66">
        <v>46314</v>
      </c>
      <c r="B286" t="str">
        <v>Engagement</v>
      </c>
      <c r="C286">
        <v>51</v>
      </c>
      <c r="E286" s="66"/>
    </row>
    <row r="287" spans="1:5" x14ac:dyDescent="0.3">
      <c r="A287" s="66">
        <v>46314</v>
      </c>
      <c r="B287" t="str">
        <v>Engagement Rate</v>
      </c>
      <c r="C287">
        <v>5.0645481628599803E-2</v>
      </c>
      <c r="E287" s="66"/>
    </row>
    <row r="288" spans="1:5" x14ac:dyDescent="0.3">
      <c r="A288" s="66">
        <v>46314</v>
      </c>
      <c r="B288" t="str">
        <v>Brand Awareness</v>
      </c>
      <c r="C288">
        <v>72</v>
      </c>
      <c r="E288" s="66"/>
    </row>
    <row r="289" spans="1:5" x14ac:dyDescent="0.3">
      <c r="A289" s="66">
        <v>46315</v>
      </c>
      <c r="B289" t="str">
        <v>Views</v>
      </c>
      <c r="C289">
        <v>1106</v>
      </c>
      <c r="E289" s="66"/>
    </row>
    <row r="290" spans="1:5" x14ac:dyDescent="0.3">
      <c r="A290" s="66">
        <v>46315</v>
      </c>
      <c r="B290" t="str">
        <v>Total Watch Time (s)</v>
      </c>
      <c r="C290">
        <v>26064</v>
      </c>
      <c r="E290" s="66"/>
    </row>
    <row r="291" spans="1:5" x14ac:dyDescent="0.3">
      <c r="A291" s="66">
        <v>46315</v>
      </c>
      <c r="B291" t="str">
        <v>Likes</v>
      </c>
      <c r="C291">
        <v>46</v>
      </c>
      <c r="E291" s="66"/>
    </row>
    <row r="292" spans="1:5" x14ac:dyDescent="0.3">
      <c r="A292" s="66">
        <v>46315</v>
      </c>
      <c r="B292" t="str">
        <v>Saves</v>
      </c>
      <c r="C292">
        <v>20</v>
      </c>
      <c r="E292" s="66"/>
    </row>
    <row r="293" spans="1:5" x14ac:dyDescent="0.3">
      <c r="A293" s="66">
        <v>46315</v>
      </c>
      <c r="B293" t="str">
        <v>Comments</v>
      </c>
      <c r="C293">
        <v>4</v>
      </c>
      <c r="E293" s="66"/>
    </row>
    <row r="294" spans="1:5" x14ac:dyDescent="0.3">
      <c r="A294" s="66">
        <v>46315</v>
      </c>
      <c r="B294" t="str">
        <v>Shares</v>
      </c>
      <c r="C294">
        <v>5</v>
      </c>
      <c r="E294" s="66"/>
    </row>
    <row r="295" spans="1:5" x14ac:dyDescent="0.3">
      <c r="A295" s="66">
        <v>46315</v>
      </c>
      <c r="B295" t="str">
        <v>Profile Visits</v>
      </c>
      <c r="C295">
        <v>66</v>
      </c>
      <c r="E295" s="66"/>
    </row>
    <row r="296" spans="1:5" x14ac:dyDescent="0.3">
      <c r="A296" s="66">
        <v>46315</v>
      </c>
      <c r="B296" t="str">
        <v>New Followers</v>
      </c>
      <c r="C296">
        <v>12</v>
      </c>
      <c r="E296" s="66"/>
    </row>
    <row r="297" spans="1:5" x14ac:dyDescent="0.3">
      <c r="A297" s="66">
        <v>46315</v>
      </c>
      <c r="B297" t="str">
        <v>Engagement</v>
      </c>
      <c r="C297">
        <v>75</v>
      </c>
      <c r="E297" s="66"/>
    </row>
    <row r="298" spans="1:5" x14ac:dyDescent="0.3">
      <c r="A298" s="66">
        <v>46315</v>
      </c>
      <c r="B298" t="str">
        <v>Engagement Rate</v>
      </c>
      <c r="C298">
        <v>6.7811934900542492E-2</v>
      </c>
      <c r="E298" s="66"/>
    </row>
    <row r="299" spans="1:5" x14ac:dyDescent="0.3">
      <c r="A299" s="66">
        <v>46315</v>
      </c>
      <c r="B299" t="str">
        <v>Brand Awareness</v>
      </c>
      <c r="C299">
        <v>78</v>
      </c>
      <c r="E299" s="66"/>
    </row>
    <row r="300" spans="1:5" x14ac:dyDescent="0.3">
      <c r="A300" s="66">
        <v>46316</v>
      </c>
      <c r="B300" t="str">
        <v>Views</v>
      </c>
      <c r="C300">
        <v>1021</v>
      </c>
      <c r="E300" s="66"/>
    </row>
    <row r="301" spans="1:5" x14ac:dyDescent="0.3">
      <c r="A301" s="66">
        <v>46316</v>
      </c>
      <c r="B301" t="str">
        <v>Total Watch Time (s)</v>
      </c>
      <c r="C301">
        <v>28490</v>
      </c>
      <c r="E301" s="66"/>
    </row>
    <row r="302" spans="1:5" x14ac:dyDescent="0.3">
      <c r="A302" s="66">
        <v>46316</v>
      </c>
      <c r="B302" t="str">
        <v>Likes</v>
      </c>
      <c r="C302">
        <v>46</v>
      </c>
      <c r="E302" s="66"/>
    </row>
    <row r="303" spans="1:5" x14ac:dyDescent="0.3">
      <c r="A303" s="66">
        <v>46316</v>
      </c>
      <c r="B303" t="str">
        <v>Saves</v>
      </c>
      <c r="C303">
        <v>16</v>
      </c>
      <c r="E303" s="66"/>
    </row>
    <row r="304" spans="1:5" x14ac:dyDescent="0.3">
      <c r="A304" s="66">
        <v>46316</v>
      </c>
      <c r="B304" t="str">
        <v>Comments</v>
      </c>
      <c r="C304">
        <v>3</v>
      </c>
      <c r="E304" s="66"/>
    </row>
    <row r="305" spans="1:5" x14ac:dyDescent="0.3">
      <c r="A305" s="66">
        <v>46316</v>
      </c>
      <c r="B305" t="str">
        <v>Shares</v>
      </c>
      <c r="C305">
        <v>4</v>
      </c>
      <c r="E305" s="66"/>
    </row>
    <row r="306" spans="1:5" x14ac:dyDescent="0.3">
      <c r="A306" s="66">
        <v>46316</v>
      </c>
      <c r="B306" t="str">
        <v>Profile Visits</v>
      </c>
      <c r="C306">
        <v>81</v>
      </c>
      <c r="E306" s="66"/>
    </row>
    <row r="307" spans="1:5" x14ac:dyDescent="0.3">
      <c r="A307" s="66">
        <v>46316</v>
      </c>
      <c r="B307" t="str">
        <v>New Followers</v>
      </c>
      <c r="C307">
        <v>8</v>
      </c>
      <c r="E307" s="66"/>
    </row>
    <row r="308" spans="1:5" x14ac:dyDescent="0.3">
      <c r="A308" s="66">
        <v>46316</v>
      </c>
      <c r="B308" t="str">
        <v>Engagement</v>
      </c>
      <c r="C308">
        <v>69</v>
      </c>
      <c r="E308" s="66"/>
    </row>
    <row r="309" spans="1:5" x14ac:dyDescent="0.3">
      <c r="A309" s="66">
        <v>46316</v>
      </c>
      <c r="B309" t="str">
        <v>Engagement Rate</v>
      </c>
      <c r="C309">
        <v>6.7580803134182174E-2</v>
      </c>
      <c r="E309" s="66"/>
    </row>
    <row r="310" spans="1:5" x14ac:dyDescent="0.3">
      <c r="A310" s="66">
        <v>46316</v>
      </c>
      <c r="B310" t="str">
        <v>Brand Awareness</v>
      </c>
      <c r="C310">
        <v>89</v>
      </c>
      <c r="E310" s="66"/>
    </row>
    <row r="311" spans="1:5" x14ac:dyDescent="0.3">
      <c r="A311" s="66">
        <v>46317</v>
      </c>
      <c r="B311" t="str">
        <v>Views</v>
      </c>
      <c r="C311">
        <v>1017</v>
      </c>
      <c r="E311" s="66"/>
    </row>
    <row r="312" spans="1:5" x14ac:dyDescent="0.3">
      <c r="A312" s="66">
        <v>46317</v>
      </c>
      <c r="B312" t="str">
        <v>Total Watch Time (s)</v>
      </c>
      <c r="C312">
        <v>30690</v>
      </c>
      <c r="E312" s="66"/>
    </row>
    <row r="313" spans="1:5" x14ac:dyDescent="0.3">
      <c r="A313" s="66">
        <v>46317</v>
      </c>
      <c r="B313" t="str">
        <v>Likes</v>
      </c>
      <c r="C313">
        <v>45</v>
      </c>
      <c r="E313" s="66"/>
    </row>
    <row r="314" spans="1:5" x14ac:dyDescent="0.3">
      <c r="A314" s="66">
        <v>46317</v>
      </c>
      <c r="B314" t="str">
        <v>Saves</v>
      </c>
      <c r="C314">
        <v>15</v>
      </c>
      <c r="E314" s="66"/>
    </row>
    <row r="315" spans="1:5" x14ac:dyDescent="0.3">
      <c r="A315" s="66">
        <v>46317</v>
      </c>
      <c r="B315" t="str">
        <v>Comments</v>
      </c>
      <c r="C315">
        <v>3</v>
      </c>
      <c r="E315" s="66"/>
    </row>
    <row r="316" spans="1:5" x14ac:dyDescent="0.3">
      <c r="A316" s="66">
        <v>46317</v>
      </c>
      <c r="B316" t="str">
        <v>Shares</v>
      </c>
      <c r="C316">
        <v>4</v>
      </c>
      <c r="E316" s="66"/>
    </row>
    <row r="317" spans="1:5" x14ac:dyDescent="0.3">
      <c r="A317" s="66">
        <v>46317</v>
      </c>
      <c r="B317" t="str">
        <v>Profile Visits</v>
      </c>
      <c r="C317">
        <v>70</v>
      </c>
      <c r="E317" s="66"/>
    </row>
    <row r="318" spans="1:5" x14ac:dyDescent="0.3">
      <c r="A318" s="66">
        <v>46317</v>
      </c>
      <c r="B318" t="str">
        <v>New Followers</v>
      </c>
      <c r="C318">
        <v>10</v>
      </c>
      <c r="E318" s="66"/>
    </row>
    <row r="319" spans="1:5" x14ac:dyDescent="0.3">
      <c r="A319" s="66">
        <v>46317</v>
      </c>
      <c r="B319" t="str">
        <v>Engagement</v>
      </c>
      <c r="C319">
        <v>67</v>
      </c>
      <c r="E319" s="66"/>
    </row>
    <row r="320" spans="1:5" x14ac:dyDescent="0.3">
      <c r="A320" s="66">
        <v>46317</v>
      </c>
      <c r="B320" t="str">
        <v>Engagement Rate</v>
      </c>
      <c r="C320">
        <v>6.5880039331366769E-2</v>
      </c>
      <c r="E320" s="66"/>
    </row>
    <row r="321" spans="1:5" x14ac:dyDescent="0.3">
      <c r="A321" s="66">
        <v>46317</v>
      </c>
      <c r="B321" t="str">
        <v>Brand Awareness</v>
      </c>
      <c r="C321">
        <v>80</v>
      </c>
      <c r="E321" s="66"/>
    </row>
    <row r="322" spans="1:5" x14ac:dyDescent="0.3">
      <c r="A322" s="66">
        <v>46318</v>
      </c>
      <c r="B322" t="str">
        <v>Views</v>
      </c>
      <c r="C322">
        <v>906</v>
      </c>
      <c r="E322" s="66"/>
    </row>
    <row r="323" spans="1:5" x14ac:dyDescent="0.3">
      <c r="A323" s="66">
        <v>46318</v>
      </c>
      <c r="B323" t="str">
        <v>Total Watch Time (s)</v>
      </c>
      <c r="C323">
        <v>15541</v>
      </c>
      <c r="E323" s="66"/>
    </row>
    <row r="324" spans="1:5" x14ac:dyDescent="0.3">
      <c r="A324" s="66">
        <v>46318</v>
      </c>
      <c r="B324" t="str">
        <v>Likes</v>
      </c>
      <c r="C324">
        <v>31</v>
      </c>
      <c r="E324" s="66"/>
    </row>
    <row r="325" spans="1:5" x14ac:dyDescent="0.3">
      <c r="A325" s="66">
        <v>46318</v>
      </c>
      <c r="B325" t="str">
        <v>Saves</v>
      </c>
      <c r="C325">
        <v>11</v>
      </c>
      <c r="E325" s="66"/>
    </row>
    <row r="326" spans="1:5" x14ac:dyDescent="0.3">
      <c r="A326" s="66">
        <v>46318</v>
      </c>
      <c r="B326" t="str">
        <v>Comments</v>
      </c>
      <c r="C326">
        <v>4</v>
      </c>
      <c r="E326" s="66"/>
    </row>
    <row r="327" spans="1:5" x14ac:dyDescent="0.3">
      <c r="A327" s="66">
        <v>46318</v>
      </c>
      <c r="B327" t="str">
        <v>Shares</v>
      </c>
      <c r="C327">
        <v>4</v>
      </c>
      <c r="E327" s="66"/>
    </row>
    <row r="328" spans="1:5" x14ac:dyDescent="0.3">
      <c r="A328" s="66">
        <v>46318</v>
      </c>
      <c r="B328" t="str">
        <v>Profile Visits</v>
      </c>
      <c r="C328">
        <v>59</v>
      </c>
      <c r="E328" s="66"/>
    </row>
    <row r="329" spans="1:5" x14ac:dyDescent="0.3">
      <c r="A329" s="66">
        <v>46318</v>
      </c>
      <c r="B329" t="str">
        <v>New Followers</v>
      </c>
      <c r="C329">
        <v>8</v>
      </c>
      <c r="E329" s="66"/>
    </row>
    <row r="330" spans="1:5" x14ac:dyDescent="0.3">
      <c r="A330" s="66">
        <v>46318</v>
      </c>
      <c r="B330" t="str">
        <v>Engagement</v>
      </c>
      <c r="C330">
        <v>50</v>
      </c>
      <c r="E330" s="66"/>
    </row>
    <row r="331" spans="1:5" x14ac:dyDescent="0.3">
      <c r="A331" s="66">
        <v>46318</v>
      </c>
      <c r="B331" t="str">
        <v>Engagement Rate</v>
      </c>
      <c r="C331">
        <v>5.518763796909492E-2</v>
      </c>
      <c r="E331" s="66"/>
    </row>
    <row r="332" spans="1:5" x14ac:dyDescent="0.3">
      <c r="A332" s="66">
        <v>46318</v>
      </c>
      <c r="B332" t="str">
        <v>Brand Awareness</v>
      </c>
      <c r="C332">
        <v>67</v>
      </c>
      <c r="E332" s="66"/>
    </row>
    <row r="333" spans="1:5" x14ac:dyDescent="0.3">
      <c r="A333" s="66"/>
      <c r="E333" s="66"/>
    </row>
    <row r="334" spans="1:5" x14ac:dyDescent="0.3">
      <c r="A334" s="66"/>
      <c r="E334" s="66"/>
    </row>
    <row r="335" spans="1:5" x14ac:dyDescent="0.3">
      <c r="A335" s="66"/>
      <c r="E335" s="66"/>
    </row>
    <row r="336" spans="1:5" x14ac:dyDescent="0.3">
      <c r="A336" s="66"/>
      <c r="E336" s="66"/>
    </row>
    <row r="337" spans="1:5" x14ac:dyDescent="0.3">
      <c r="A337" s="66"/>
      <c r="E337" s="66"/>
    </row>
    <row r="338" spans="1:5" x14ac:dyDescent="0.3">
      <c r="A338" s="66"/>
      <c r="E338" s="66"/>
    </row>
    <row r="339" spans="1:5" x14ac:dyDescent="0.3">
      <c r="A339" s="66"/>
      <c r="E339" s="66"/>
    </row>
    <row r="340" spans="1:5" x14ac:dyDescent="0.3">
      <c r="A340" s="66"/>
      <c r="E340" s="66"/>
    </row>
    <row r="341" spans="1:5" x14ac:dyDescent="0.3">
      <c r="A341" s="66"/>
      <c r="E341" s="66"/>
    </row>
    <row r="342" spans="1:5" x14ac:dyDescent="0.3">
      <c r="A342" s="66"/>
      <c r="E342" s="66"/>
    </row>
    <row r="343" spans="1:5" x14ac:dyDescent="0.3">
      <c r="A343" s="66"/>
      <c r="E343" s="66"/>
    </row>
    <row r="344" spans="1:5" x14ac:dyDescent="0.3">
      <c r="A344" s="66"/>
      <c r="E344" s="66"/>
    </row>
    <row r="345" spans="1:5" x14ac:dyDescent="0.3">
      <c r="A345" s="66"/>
      <c r="E345" s="66"/>
    </row>
    <row r="346" spans="1:5" x14ac:dyDescent="0.3">
      <c r="A346" s="66"/>
      <c r="E346" s="66"/>
    </row>
    <row r="347" spans="1:5" x14ac:dyDescent="0.3">
      <c r="A347" s="66"/>
      <c r="E347" s="66"/>
    </row>
    <row r="348" spans="1:5" x14ac:dyDescent="0.3">
      <c r="A348" s="66"/>
      <c r="E348" s="66"/>
    </row>
    <row r="349" spans="1:5" x14ac:dyDescent="0.3">
      <c r="A349" s="66"/>
      <c r="E349" s="66"/>
    </row>
    <row r="350" spans="1:5" x14ac:dyDescent="0.3">
      <c r="A350" s="66"/>
      <c r="E350" s="66"/>
    </row>
    <row r="351" spans="1:5" x14ac:dyDescent="0.3">
      <c r="A351" s="66"/>
      <c r="E351" s="66"/>
    </row>
    <row r="352" spans="1:5" x14ac:dyDescent="0.3">
      <c r="A352" s="66"/>
      <c r="E352" s="66"/>
    </row>
    <row r="353" spans="1:5" x14ac:dyDescent="0.3">
      <c r="A353" s="66"/>
      <c r="E353" s="66"/>
    </row>
    <row r="354" spans="1:5" x14ac:dyDescent="0.3">
      <c r="A354" s="66"/>
      <c r="E354" s="66"/>
    </row>
    <row r="355" spans="1:5" x14ac:dyDescent="0.3">
      <c r="A355" s="66"/>
      <c r="E355" s="66"/>
    </row>
    <row r="356" spans="1:5" x14ac:dyDescent="0.3">
      <c r="A356" s="66"/>
      <c r="E356" s="66"/>
    </row>
    <row r="357" spans="1:5" x14ac:dyDescent="0.3">
      <c r="A357" s="66"/>
      <c r="E357" s="66"/>
    </row>
    <row r="358" spans="1:5" x14ac:dyDescent="0.3">
      <c r="A358" s="66"/>
      <c r="E358" s="66"/>
    </row>
    <row r="359" spans="1:5" x14ac:dyDescent="0.3">
      <c r="A359" s="66"/>
      <c r="E359" s="66"/>
    </row>
    <row r="360" spans="1:5" x14ac:dyDescent="0.3">
      <c r="A360" s="66"/>
      <c r="E360" s="66"/>
    </row>
    <row r="361" spans="1:5" x14ac:dyDescent="0.3">
      <c r="A361" s="66"/>
      <c r="E361" s="66"/>
    </row>
    <row r="362" spans="1:5" x14ac:dyDescent="0.3">
      <c r="A362" s="66"/>
      <c r="E362" s="66"/>
    </row>
    <row r="363" spans="1:5" x14ac:dyDescent="0.3">
      <c r="A363" s="66"/>
      <c r="E363" s="66"/>
    </row>
    <row r="364" spans="1:5" x14ac:dyDescent="0.3">
      <c r="A364" s="66"/>
      <c r="E364" s="66"/>
    </row>
    <row r="365" spans="1:5" x14ac:dyDescent="0.3">
      <c r="A365" s="66"/>
      <c r="E365" s="66"/>
    </row>
    <row r="366" spans="1:5" x14ac:dyDescent="0.3">
      <c r="A366" s="66"/>
      <c r="E366" s="66"/>
    </row>
    <row r="367" spans="1:5" x14ac:dyDescent="0.3">
      <c r="A367" s="66"/>
      <c r="E367" s="66"/>
    </row>
    <row r="368" spans="1:5" x14ac:dyDescent="0.3">
      <c r="A368" s="66"/>
      <c r="E368" s="66"/>
    </row>
    <row r="369" spans="1:5" x14ac:dyDescent="0.3">
      <c r="A369" s="66"/>
      <c r="E369" s="66"/>
    </row>
    <row r="370" spans="1:5" x14ac:dyDescent="0.3">
      <c r="A370" s="66"/>
      <c r="E370" s="66"/>
    </row>
    <row r="371" spans="1:5" x14ac:dyDescent="0.3">
      <c r="A371" s="66"/>
      <c r="E371" s="66"/>
    </row>
    <row r="372" spans="1:5" x14ac:dyDescent="0.3">
      <c r="A372" s="66"/>
      <c r="E372" s="66"/>
    </row>
    <row r="373" spans="1:5" x14ac:dyDescent="0.3">
      <c r="A373" s="66"/>
      <c r="E373" s="66"/>
    </row>
    <row r="374" spans="1:5" x14ac:dyDescent="0.3">
      <c r="A374" s="66"/>
      <c r="E374" s="66"/>
    </row>
    <row r="375" spans="1:5" x14ac:dyDescent="0.3">
      <c r="A375" s="66"/>
      <c r="E375" s="66"/>
    </row>
    <row r="376" spans="1:5" x14ac:dyDescent="0.3">
      <c r="A376" s="66"/>
      <c r="E376" s="66"/>
    </row>
    <row r="377" spans="1:5" x14ac:dyDescent="0.3">
      <c r="A377" s="66"/>
      <c r="E377" s="66"/>
    </row>
    <row r="378" spans="1:5" x14ac:dyDescent="0.3">
      <c r="A378" s="66"/>
      <c r="E378" s="66"/>
    </row>
    <row r="379" spans="1:5" x14ac:dyDescent="0.3">
      <c r="A379" s="66"/>
      <c r="E379" s="66"/>
    </row>
    <row r="380" spans="1:5" x14ac:dyDescent="0.3">
      <c r="A380" s="66"/>
      <c r="E380" s="66"/>
    </row>
    <row r="381" spans="1:5" x14ac:dyDescent="0.3">
      <c r="A381" s="66"/>
      <c r="E381" s="66"/>
    </row>
    <row r="382" spans="1:5" x14ac:dyDescent="0.3">
      <c r="A382" s="66"/>
      <c r="E382" s="66"/>
    </row>
    <row r="383" spans="1:5" x14ac:dyDescent="0.3">
      <c r="A383" s="66"/>
      <c r="E383" s="66"/>
    </row>
    <row r="384" spans="1:5" x14ac:dyDescent="0.3">
      <c r="A384" s="66"/>
      <c r="E384" s="66"/>
    </row>
    <row r="385" spans="1:5" x14ac:dyDescent="0.3">
      <c r="A385" s="66"/>
      <c r="E385" s="66"/>
    </row>
    <row r="386" spans="1:5" x14ac:dyDescent="0.3">
      <c r="A386" s="66"/>
      <c r="E386" s="66"/>
    </row>
    <row r="387" spans="1:5" x14ac:dyDescent="0.3">
      <c r="A387" s="66"/>
      <c r="E387" s="66"/>
    </row>
    <row r="388" spans="1:5" x14ac:dyDescent="0.3">
      <c r="A388" s="66"/>
      <c r="E388" s="66"/>
    </row>
    <row r="389" spans="1:5" x14ac:dyDescent="0.3">
      <c r="A389" s="66"/>
      <c r="E389" s="66"/>
    </row>
    <row r="390" spans="1:5" x14ac:dyDescent="0.3">
      <c r="A390" s="66"/>
      <c r="E390" s="66"/>
    </row>
    <row r="391" spans="1:5" x14ac:dyDescent="0.3">
      <c r="A391" s="66"/>
      <c r="E391" s="66"/>
    </row>
    <row r="392" spans="1:5" x14ac:dyDescent="0.3">
      <c r="A392" s="66"/>
      <c r="E392" s="66"/>
    </row>
    <row r="393" spans="1:5" x14ac:dyDescent="0.3">
      <c r="A393" s="66"/>
      <c r="E393" s="66"/>
    </row>
    <row r="394" spans="1:5" x14ac:dyDescent="0.3">
      <c r="A394" s="66"/>
      <c r="E394" s="66"/>
    </row>
    <row r="395" spans="1:5" x14ac:dyDescent="0.3">
      <c r="A395" s="66"/>
      <c r="E395" s="66"/>
    </row>
    <row r="396" spans="1:5" x14ac:dyDescent="0.3">
      <c r="A396" s="66"/>
      <c r="E396" s="66"/>
    </row>
    <row r="397" spans="1:5" x14ac:dyDescent="0.3">
      <c r="A397" s="66"/>
      <c r="E397" s="66"/>
    </row>
    <row r="398" spans="1:5" x14ac:dyDescent="0.3">
      <c r="A398" s="66"/>
      <c r="E398" s="66"/>
    </row>
    <row r="399" spans="1:5" x14ac:dyDescent="0.3">
      <c r="A399" s="66"/>
      <c r="E399" s="66"/>
    </row>
    <row r="400" spans="1:5" x14ac:dyDescent="0.3">
      <c r="A400" s="66"/>
      <c r="E400" s="66"/>
    </row>
    <row r="401" spans="1:5" x14ac:dyDescent="0.3">
      <c r="A401" s="66"/>
      <c r="E401" s="66"/>
    </row>
    <row r="402" spans="1:5" x14ac:dyDescent="0.3">
      <c r="A402" s="66"/>
      <c r="E402" s="66"/>
    </row>
    <row r="403" spans="1:5" x14ac:dyDescent="0.3">
      <c r="A403" s="66"/>
      <c r="E403" s="66"/>
    </row>
    <row r="404" spans="1:5" x14ac:dyDescent="0.3">
      <c r="A404" s="66"/>
      <c r="E404" s="66"/>
    </row>
    <row r="405" spans="1:5" x14ac:dyDescent="0.3">
      <c r="A405" s="66"/>
      <c r="E405" s="66"/>
    </row>
    <row r="406" spans="1:5" x14ac:dyDescent="0.3">
      <c r="A406" s="66"/>
      <c r="E406" s="66"/>
    </row>
    <row r="407" spans="1:5" x14ac:dyDescent="0.3">
      <c r="A407" s="66"/>
      <c r="E407" s="66"/>
    </row>
    <row r="408" spans="1:5" x14ac:dyDescent="0.3">
      <c r="A408" s="66"/>
      <c r="E408" s="66"/>
    </row>
    <row r="409" spans="1:5" x14ac:dyDescent="0.3">
      <c r="A409" s="66"/>
      <c r="E409" s="66"/>
    </row>
    <row r="410" spans="1:5" x14ac:dyDescent="0.3">
      <c r="A410" s="66"/>
      <c r="E410" s="66"/>
    </row>
    <row r="411" spans="1:5" x14ac:dyDescent="0.3">
      <c r="A411" s="66"/>
      <c r="E411" s="66"/>
    </row>
    <row r="412" spans="1:5" x14ac:dyDescent="0.3">
      <c r="A412" s="66"/>
      <c r="E412" s="66"/>
    </row>
    <row r="413" spans="1:5" x14ac:dyDescent="0.3">
      <c r="A413" s="66"/>
      <c r="E413" s="66"/>
    </row>
    <row r="414" spans="1:5" x14ac:dyDescent="0.3">
      <c r="A414" s="66"/>
      <c r="E414" s="66"/>
    </row>
    <row r="415" spans="1:5" x14ac:dyDescent="0.3">
      <c r="A415" s="66"/>
      <c r="E415" s="66"/>
    </row>
    <row r="416" spans="1:5" x14ac:dyDescent="0.3">
      <c r="A416" s="66"/>
      <c r="E416" s="66"/>
    </row>
    <row r="417" spans="1:5" x14ac:dyDescent="0.3">
      <c r="A417" s="66"/>
      <c r="E417" s="66"/>
    </row>
    <row r="418" spans="1:5" x14ac:dyDescent="0.3">
      <c r="A418" s="66"/>
      <c r="E418" s="66"/>
    </row>
    <row r="419" spans="1:5" x14ac:dyDescent="0.3">
      <c r="A419" s="66"/>
      <c r="E419" s="66"/>
    </row>
    <row r="420" spans="1:5" x14ac:dyDescent="0.3">
      <c r="A420" s="66"/>
      <c r="E420" s="66"/>
    </row>
    <row r="421" spans="1:5" x14ac:dyDescent="0.3">
      <c r="A421" s="66"/>
      <c r="E421" s="66"/>
    </row>
    <row r="422" spans="1:5" x14ac:dyDescent="0.3">
      <c r="A422" s="66"/>
      <c r="E422" s="66"/>
    </row>
    <row r="423" spans="1:5" x14ac:dyDescent="0.3">
      <c r="A423" s="66"/>
      <c r="E423" s="66"/>
    </row>
    <row r="424" spans="1:5" x14ac:dyDescent="0.3">
      <c r="A424" s="66"/>
      <c r="E424" s="66"/>
    </row>
    <row r="425" spans="1:5" x14ac:dyDescent="0.3">
      <c r="A425" s="66"/>
      <c r="E425" s="66"/>
    </row>
    <row r="426" spans="1:5" x14ac:dyDescent="0.3">
      <c r="A426" s="66"/>
      <c r="E426" s="66"/>
    </row>
    <row r="427" spans="1:5" x14ac:dyDescent="0.3">
      <c r="A427" s="66"/>
      <c r="E427" s="66"/>
    </row>
    <row r="428" spans="1:5" x14ac:dyDescent="0.3">
      <c r="A428" s="66"/>
      <c r="E428" s="66"/>
    </row>
    <row r="429" spans="1:5" x14ac:dyDescent="0.3">
      <c r="A429" s="66"/>
      <c r="E429" s="66"/>
    </row>
    <row r="430" spans="1:5" x14ac:dyDescent="0.3">
      <c r="A430" s="66"/>
      <c r="E430" s="66"/>
    </row>
    <row r="431" spans="1:5" x14ac:dyDescent="0.3">
      <c r="A431" s="66"/>
      <c r="E431" s="66"/>
    </row>
    <row r="432" spans="1:5" x14ac:dyDescent="0.3">
      <c r="A432" s="66"/>
      <c r="E432" s="66"/>
    </row>
    <row r="433" spans="1:5" x14ac:dyDescent="0.3">
      <c r="A433" s="66"/>
      <c r="E433" s="66"/>
    </row>
    <row r="434" spans="1:5" x14ac:dyDescent="0.3">
      <c r="A434" s="66"/>
      <c r="E434" s="66"/>
    </row>
    <row r="435" spans="1:5" x14ac:dyDescent="0.3">
      <c r="A435" s="66"/>
      <c r="E435" s="66"/>
    </row>
    <row r="436" spans="1:5" x14ac:dyDescent="0.3">
      <c r="A436" s="66"/>
      <c r="E436" s="66"/>
    </row>
    <row r="437" spans="1:5" x14ac:dyDescent="0.3">
      <c r="A437" s="66"/>
      <c r="E437" s="66"/>
    </row>
    <row r="438" spans="1:5" x14ac:dyDescent="0.3">
      <c r="A438" s="66"/>
      <c r="E438" s="66"/>
    </row>
    <row r="439" spans="1:5" x14ac:dyDescent="0.3">
      <c r="A439" s="66"/>
      <c r="E439" s="66"/>
    </row>
    <row r="440" spans="1:5" x14ac:dyDescent="0.3">
      <c r="A440" s="66"/>
      <c r="E440" s="66"/>
    </row>
    <row r="441" spans="1:5" x14ac:dyDescent="0.3">
      <c r="A441" s="66"/>
      <c r="E441" s="66"/>
    </row>
    <row r="442" spans="1:5" x14ac:dyDescent="0.3">
      <c r="A442" s="66"/>
      <c r="E442" s="66"/>
    </row>
    <row r="443" spans="1:5" x14ac:dyDescent="0.3">
      <c r="A443" s="66"/>
      <c r="E443" s="66"/>
    </row>
    <row r="444" spans="1:5" x14ac:dyDescent="0.3">
      <c r="A444" s="66"/>
      <c r="E444" s="66"/>
    </row>
    <row r="445" spans="1:5" x14ac:dyDescent="0.3">
      <c r="A445" s="66"/>
      <c r="E445" s="66"/>
    </row>
    <row r="446" spans="1:5" x14ac:dyDescent="0.3">
      <c r="A446" s="66"/>
      <c r="E446" s="66"/>
    </row>
    <row r="447" spans="1:5" x14ac:dyDescent="0.3">
      <c r="A447" s="66"/>
      <c r="E447" s="66"/>
    </row>
    <row r="448" spans="1:5" x14ac:dyDescent="0.3">
      <c r="A448" s="66"/>
      <c r="E448" s="66"/>
    </row>
    <row r="449" spans="1:5" x14ac:dyDescent="0.3">
      <c r="A449" s="66"/>
      <c r="E449" s="66"/>
    </row>
    <row r="450" spans="1:5" x14ac:dyDescent="0.3">
      <c r="A450" s="66"/>
      <c r="E450" s="66"/>
    </row>
    <row r="451" spans="1:5" x14ac:dyDescent="0.3">
      <c r="A451" s="66"/>
      <c r="E451" s="66"/>
    </row>
    <row r="452" spans="1:5" x14ac:dyDescent="0.3">
      <c r="A452" s="66"/>
      <c r="E452" s="66"/>
    </row>
    <row r="453" spans="1:5" x14ac:dyDescent="0.3">
      <c r="A453" s="66"/>
      <c r="E453" s="66"/>
    </row>
    <row r="454" spans="1:5" x14ac:dyDescent="0.3">
      <c r="A454" s="66"/>
      <c r="E454" s="66"/>
    </row>
    <row r="455" spans="1:5" x14ac:dyDescent="0.3">
      <c r="A455" s="66"/>
      <c r="E455" s="66"/>
    </row>
    <row r="456" spans="1:5" x14ac:dyDescent="0.3">
      <c r="A456" s="66"/>
      <c r="E456" s="66"/>
    </row>
    <row r="457" spans="1:5" x14ac:dyDescent="0.3">
      <c r="A457" s="66"/>
      <c r="E457" s="66"/>
    </row>
    <row r="458" spans="1:5" x14ac:dyDescent="0.3">
      <c r="A458" s="66"/>
      <c r="E458" s="66"/>
    </row>
    <row r="459" spans="1:5" x14ac:dyDescent="0.3">
      <c r="A459" s="66"/>
      <c r="E459" s="66"/>
    </row>
    <row r="460" spans="1:5" x14ac:dyDescent="0.3">
      <c r="A460" s="66"/>
      <c r="E460" s="66"/>
    </row>
    <row r="461" spans="1:5" x14ac:dyDescent="0.3">
      <c r="A461" s="66"/>
      <c r="E461" s="66"/>
    </row>
    <row r="462" spans="1:5" x14ac:dyDescent="0.3">
      <c r="A462" s="66"/>
      <c r="E462" s="66"/>
    </row>
    <row r="463" spans="1:5" x14ac:dyDescent="0.3">
      <c r="A463" s="66"/>
      <c r="E463" s="66"/>
    </row>
    <row r="464" spans="1:5" x14ac:dyDescent="0.3">
      <c r="A464" s="66"/>
      <c r="E464" s="66"/>
    </row>
    <row r="465" spans="1:5" x14ac:dyDescent="0.3">
      <c r="A465" s="66"/>
      <c r="E465" s="66"/>
    </row>
    <row r="466" spans="1:5" x14ac:dyDescent="0.3">
      <c r="A466" s="66"/>
      <c r="E466" s="66"/>
    </row>
    <row r="467" spans="1:5" x14ac:dyDescent="0.3">
      <c r="A467" s="66"/>
      <c r="E467" s="66"/>
    </row>
    <row r="468" spans="1:5" x14ac:dyDescent="0.3">
      <c r="A468" s="66"/>
      <c r="E468" s="66"/>
    </row>
    <row r="469" spans="1:5" x14ac:dyDescent="0.3">
      <c r="A469" s="66"/>
      <c r="E469" s="66"/>
    </row>
    <row r="470" spans="1:5" x14ac:dyDescent="0.3">
      <c r="A470" s="66"/>
      <c r="E470" s="66"/>
    </row>
    <row r="471" spans="1:5" x14ac:dyDescent="0.3">
      <c r="A471" s="66"/>
      <c r="E471" s="66"/>
    </row>
    <row r="472" spans="1:5" x14ac:dyDescent="0.3">
      <c r="A472" s="66"/>
      <c r="E472" s="66"/>
    </row>
    <row r="473" spans="1:5" x14ac:dyDescent="0.3">
      <c r="A473" s="66"/>
      <c r="E473" s="66"/>
    </row>
    <row r="474" spans="1:5" x14ac:dyDescent="0.3">
      <c r="A474" s="66"/>
      <c r="E474" s="66"/>
    </row>
    <row r="475" spans="1:5" x14ac:dyDescent="0.3">
      <c r="A475" s="66"/>
      <c r="E475" s="66"/>
    </row>
    <row r="476" spans="1:5" x14ac:dyDescent="0.3">
      <c r="A476" s="66"/>
      <c r="E476" s="66"/>
    </row>
    <row r="477" spans="1:5" x14ac:dyDescent="0.3">
      <c r="A477" s="66"/>
      <c r="E477" s="66"/>
    </row>
    <row r="478" spans="1:5" x14ac:dyDescent="0.3">
      <c r="A478" s="66"/>
      <c r="E478" s="66"/>
    </row>
    <row r="479" spans="1:5" x14ac:dyDescent="0.3">
      <c r="A479" s="66"/>
      <c r="E479" s="66"/>
    </row>
    <row r="480" spans="1:5" x14ac:dyDescent="0.3">
      <c r="A480" s="66"/>
      <c r="E480" s="66"/>
    </row>
    <row r="481" spans="1:5" x14ac:dyDescent="0.3">
      <c r="A481" s="66"/>
      <c r="E481" s="66"/>
    </row>
    <row r="482" spans="1:5" x14ac:dyDescent="0.3">
      <c r="A482" s="66"/>
      <c r="E482" s="66"/>
    </row>
    <row r="483" spans="1:5" x14ac:dyDescent="0.3">
      <c r="A483" s="66"/>
      <c r="E483" s="66"/>
    </row>
    <row r="484" spans="1:5" x14ac:dyDescent="0.3">
      <c r="A484" s="66"/>
      <c r="E484" s="66"/>
    </row>
    <row r="485" spans="1:5" x14ac:dyDescent="0.3">
      <c r="A485" s="66"/>
      <c r="E485" s="66"/>
    </row>
    <row r="486" spans="1:5" x14ac:dyDescent="0.3">
      <c r="A486" s="66"/>
      <c r="E486" s="66"/>
    </row>
    <row r="487" spans="1:5" x14ac:dyDescent="0.3">
      <c r="A487" s="66"/>
      <c r="E487" s="66"/>
    </row>
    <row r="488" spans="1:5" x14ac:dyDescent="0.3">
      <c r="A488" s="66"/>
      <c r="E488" s="66"/>
    </row>
    <row r="489" spans="1:5" x14ac:dyDescent="0.3">
      <c r="A489" s="66"/>
      <c r="E489" s="66"/>
    </row>
    <row r="490" spans="1:5" x14ac:dyDescent="0.3">
      <c r="A490" s="66"/>
      <c r="E490" s="66"/>
    </row>
    <row r="491" spans="1:5" x14ac:dyDescent="0.3">
      <c r="A491" s="66"/>
      <c r="E491" s="66"/>
    </row>
    <row r="492" spans="1:5" x14ac:dyDescent="0.3">
      <c r="A492" s="66"/>
      <c r="E492" s="66"/>
    </row>
    <row r="493" spans="1:5" x14ac:dyDescent="0.3">
      <c r="A493" s="66"/>
      <c r="E493" s="66"/>
    </row>
    <row r="494" spans="1:5" x14ac:dyDescent="0.3">
      <c r="A494" s="66"/>
      <c r="E494" s="66"/>
    </row>
    <row r="495" spans="1:5" x14ac:dyDescent="0.3">
      <c r="A495" s="66"/>
      <c r="E495" s="66"/>
    </row>
    <row r="496" spans="1:5" x14ac:dyDescent="0.3">
      <c r="A496" s="66"/>
      <c r="E496" s="66"/>
    </row>
    <row r="497" spans="1:5" x14ac:dyDescent="0.3">
      <c r="A497" s="66"/>
      <c r="E497" s="66"/>
    </row>
    <row r="498" spans="1:5" x14ac:dyDescent="0.3">
      <c r="A498" s="66"/>
      <c r="E498" s="66"/>
    </row>
    <row r="499" spans="1:5" x14ac:dyDescent="0.3">
      <c r="A499" s="66"/>
      <c r="E499" s="66"/>
    </row>
    <row r="500" spans="1:5" x14ac:dyDescent="0.3">
      <c r="A500" s="66"/>
      <c r="E500" s="66"/>
    </row>
    <row r="501" spans="1:5" x14ac:dyDescent="0.3">
      <c r="A501" s="66"/>
      <c r="E501" s="66"/>
    </row>
    <row r="502" spans="1:5" x14ac:dyDescent="0.3">
      <c r="A502" s="66"/>
      <c r="E502" s="66"/>
    </row>
    <row r="503" spans="1:5" x14ac:dyDescent="0.3">
      <c r="A503" s="66"/>
      <c r="E503" s="66"/>
    </row>
    <row r="504" spans="1:5" x14ac:dyDescent="0.3">
      <c r="A504" s="66"/>
      <c r="E504" s="66"/>
    </row>
    <row r="505" spans="1:5" x14ac:dyDescent="0.3">
      <c r="A505" s="66"/>
      <c r="E505" s="66"/>
    </row>
    <row r="506" spans="1:5" x14ac:dyDescent="0.3">
      <c r="A506" s="66"/>
      <c r="E506" s="66"/>
    </row>
    <row r="507" spans="1:5" x14ac:dyDescent="0.3">
      <c r="A507" s="66"/>
      <c r="E507" s="66"/>
    </row>
    <row r="508" spans="1:5" x14ac:dyDescent="0.3">
      <c r="A508" s="66"/>
      <c r="E508" s="66"/>
    </row>
    <row r="509" spans="1:5" x14ac:dyDescent="0.3">
      <c r="A509" s="66"/>
      <c r="E509" s="66"/>
    </row>
    <row r="510" spans="1:5" x14ac:dyDescent="0.3">
      <c r="A510" s="66"/>
      <c r="E510" s="66"/>
    </row>
    <row r="511" spans="1:5" x14ac:dyDescent="0.3">
      <c r="A511" s="66"/>
      <c r="E511" s="66"/>
    </row>
    <row r="512" spans="1:5" x14ac:dyDescent="0.3">
      <c r="A512" s="66"/>
      <c r="E512" s="66"/>
    </row>
    <row r="513" spans="1:5" x14ac:dyDescent="0.3">
      <c r="A513" s="66"/>
      <c r="E513" s="66"/>
    </row>
    <row r="514" spans="1:5" x14ac:dyDescent="0.3">
      <c r="A514" s="66"/>
      <c r="E514" s="66"/>
    </row>
    <row r="515" spans="1:5" x14ac:dyDescent="0.3">
      <c r="A515" s="66"/>
      <c r="E515" s="66"/>
    </row>
    <row r="516" spans="1:5" x14ac:dyDescent="0.3">
      <c r="A516" s="66"/>
      <c r="E516" s="66"/>
    </row>
    <row r="517" spans="1:5" x14ac:dyDescent="0.3">
      <c r="A517" s="66"/>
      <c r="E517" s="66"/>
    </row>
    <row r="518" spans="1:5" x14ac:dyDescent="0.3">
      <c r="A518" s="66"/>
      <c r="E518" s="66"/>
    </row>
    <row r="519" spans="1:5" x14ac:dyDescent="0.3">
      <c r="A519" s="66"/>
      <c r="E519" s="66"/>
    </row>
    <row r="520" spans="1:5" x14ac:dyDescent="0.3">
      <c r="A520" s="66"/>
      <c r="E520" s="66"/>
    </row>
    <row r="521" spans="1:5" x14ac:dyDescent="0.3">
      <c r="A521" s="66"/>
      <c r="E521" s="66"/>
    </row>
    <row r="522" spans="1:5" x14ac:dyDescent="0.3">
      <c r="A522" s="66"/>
      <c r="E522" s="66"/>
    </row>
    <row r="523" spans="1:5" x14ac:dyDescent="0.3">
      <c r="A523" s="66"/>
      <c r="E523" s="66"/>
    </row>
    <row r="524" spans="1:5" x14ac:dyDescent="0.3">
      <c r="A524" s="66"/>
      <c r="E524" s="66"/>
    </row>
    <row r="525" spans="1:5" x14ac:dyDescent="0.3">
      <c r="A525" s="66"/>
      <c r="E525" s="66"/>
    </row>
    <row r="526" spans="1:5" x14ac:dyDescent="0.3">
      <c r="A526" s="66"/>
      <c r="E526" s="66"/>
    </row>
    <row r="527" spans="1:5" x14ac:dyDescent="0.3">
      <c r="A527" s="66"/>
      <c r="E527" s="66"/>
    </row>
    <row r="528" spans="1:5" x14ac:dyDescent="0.3">
      <c r="A528" s="66"/>
      <c r="E528" s="66"/>
    </row>
    <row r="529" spans="1:5" x14ac:dyDescent="0.3">
      <c r="A529" s="66"/>
      <c r="E529" s="66"/>
    </row>
    <row r="530" spans="1:5" x14ac:dyDescent="0.3">
      <c r="A530" s="66"/>
      <c r="E530" s="66"/>
    </row>
    <row r="531" spans="1:5" x14ac:dyDescent="0.3">
      <c r="A531" s="66"/>
      <c r="E531" s="66"/>
    </row>
    <row r="532" spans="1:5" x14ac:dyDescent="0.3">
      <c r="A532" s="66"/>
      <c r="E532" s="66"/>
    </row>
    <row r="533" spans="1:5" x14ac:dyDescent="0.3">
      <c r="A533" s="66"/>
      <c r="E533" s="66"/>
    </row>
    <row r="534" spans="1:5" x14ac:dyDescent="0.3">
      <c r="A534" s="66"/>
      <c r="E534" s="66"/>
    </row>
    <row r="535" spans="1:5" x14ac:dyDescent="0.3">
      <c r="A535" s="66"/>
      <c r="E535" s="66"/>
    </row>
    <row r="536" spans="1:5" x14ac:dyDescent="0.3">
      <c r="A536" s="66"/>
      <c r="E536" s="66"/>
    </row>
    <row r="537" spans="1:5" x14ac:dyDescent="0.3">
      <c r="A537" s="66"/>
      <c r="E537" s="66"/>
    </row>
    <row r="538" spans="1:5" x14ac:dyDescent="0.3">
      <c r="A538" s="66"/>
      <c r="E538" s="66"/>
    </row>
    <row r="539" spans="1:5" x14ac:dyDescent="0.3">
      <c r="A539" s="66"/>
      <c r="E539" s="66"/>
    </row>
    <row r="540" spans="1:5" x14ac:dyDescent="0.3">
      <c r="A540" s="66"/>
      <c r="E540" s="66"/>
    </row>
    <row r="541" spans="1:5" x14ac:dyDescent="0.3">
      <c r="A541" s="66"/>
      <c r="E541" s="66"/>
    </row>
    <row r="542" spans="1:5" x14ac:dyDescent="0.3">
      <c r="A542" s="66"/>
      <c r="E542" s="66"/>
    </row>
    <row r="543" spans="1:5" x14ac:dyDescent="0.3">
      <c r="A543" s="66"/>
      <c r="E543" s="66"/>
    </row>
    <row r="544" spans="1:5" x14ac:dyDescent="0.3">
      <c r="A544" s="66"/>
      <c r="E544" s="66"/>
    </row>
    <row r="545" spans="1:5" x14ac:dyDescent="0.3">
      <c r="A545" s="66"/>
      <c r="E545" s="66"/>
    </row>
    <row r="546" spans="1:5" x14ac:dyDescent="0.3">
      <c r="A546" s="66"/>
      <c r="E546" s="66"/>
    </row>
    <row r="547" spans="1:5" x14ac:dyDescent="0.3">
      <c r="A547" s="66"/>
      <c r="E547" s="66"/>
    </row>
    <row r="548" spans="1:5" x14ac:dyDescent="0.3">
      <c r="A548" s="66"/>
      <c r="E548" s="66"/>
    </row>
    <row r="549" spans="1:5" x14ac:dyDescent="0.3">
      <c r="A549" s="66"/>
      <c r="E549" s="66"/>
    </row>
    <row r="550" spans="1:5" x14ac:dyDescent="0.3">
      <c r="A550" s="66"/>
      <c r="E550" s="66"/>
    </row>
    <row r="551" spans="1:5" x14ac:dyDescent="0.3">
      <c r="A551" s="66"/>
      <c r="E551" s="66"/>
    </row>
    <row r="552" spans="1:5" x14ac:dyDescent="0.3">
      <c r="A552" s="66"/>
      <c r="E552" s="66"/>
    </row>
    <row r="553" spans="1:5" x14ac:dyDescent="0.3">
      <c r="A553" s="66"/>
      <c r="E553" s="66"/>
    </row>
    <row r="554" spans="1:5" x14ac:dyDescent="0.3">
      <c r="A554" s="66"/>
      <c r="E554" s="66"/>
    </row>
    <row r="555" spans="1:5" x14ac:dyDescent="0.3">
      <c r="A555" s="66"/>
      <c r="E555" s="66"/>
    </row>
    <row r="556" spans="1:5" x14ac:dyDescent="0.3">
      <c r="A556" s="66"/>
      <c r="E556" s="66"/>
    </row>
    <row r="557" spans="1:5" x14ac:dyDescent="0.3">
      <c r="A557" s="66"/>
      <c r="E557" s="66"/>
    </row>
    <row r="558" spans="1:5" x14ac:dyDescent="0.3">
      <c r="A558" s="66"/>
      <c r="E558" s="66"/>
    </row>
    <row r="559" spans="1:5" x14ac:dyDescent="0.3">
      <c r="A559" s="66"/>
      <c r="E559" s="66"/>
    </row>
    <row r="560" spans="1:5" x14ac:dyDescent="0.3">
      <c r="A560" s="66"/>
      <c r="E560" s="66"/>
    </row>
    <row r="561" spans="1:5" x14ac:dyDescent="0.3">
      <c r="A561" s="66"/>
      <c r="E561" s="66"/>
    </row>
    <row r="562" spans="1:5" x14ac:dyDescent="0.3">
      <c r="A562" s="66"/>
      <c r="E562" s="66"/>
    </row>
    <row r="563" spans="1:5" x14ac:dyDescent="0.3">
      <c r="A563" s="66"/>
      <c r="E563" s="66"/>
    </row>
    <row r="564" spans="1:5" x14ac:dyDescent="0.3">
      <c r="A564" s="66"/>
      <c r="E564" s="66"/>
    </row>
    <row r="565" spans="1:5" x14ac:dyDescent="0.3">
      <c r="A565" s="66"/>
      <c r="E565" s="66"/>
    </row>
    <row r="566" spans="1:5" x14ac:dyDescent="0.3">
      <c r="A566" s="66"/>
      <c r="E566" s="66"/>
    </row>
    <row r="567" spans="1:5" x14ac:dyDescent="0.3">
      <c r="A567" s="66"/>
      <c r="E567" s="66"/>
    </row>
    <row r="568" spans="1:5" x14ac:dyDescent="0.3">
      <c r="A568" s="66"/>
      <c r="E568" s="66"/>
    </row>
    <row r="569" spans="1:5" x14ac:dyDescent="0.3">
      <c r="A569" s="66"/>
      <c r="E569" s="66"/>
    </row>
    <row r="570" spans="1:5" x14ac:dyDescent="0.3">
      <c r="A570" s="66"/>
      <c r="E570" s="66"/>
    </row>
    <row r="571" spans="1:5" x14ac:dyDescent="0.3">
      <c r="A571" s="66"/>
      <c r="E571" s="66"/>
    </row>
    <row r="572" spans="1:5" x14ac:dyDescent="0.3">
      <c r="A572" s="66"/>
      <c r="E572" s="66"/>
    </row>
    <row r="573" spans="1:5" x14ac:dyDescent="0.3">
      <c r="A573" s="66"/>
      <c r="E573" s="66"/>
    </row>
    <row r="574" spans="1:5" x14ac:dyDescent="0.3">
      <c r="A574" s="66"/>
      <c r="E574" s="66"/>
    </row>
    <row r="575" spans="1:5" x14ac:dyDescent="0.3">
      <c r="A575" s="66"/>
      <c r="E575" s="66"/>
    </row>
    <row r="576" spans="1:5" x14ac:dyDescent="0.3">
      <c r="A576" s="66"/>
      <c r="E576" s="66"/>
    </row>
    <row r="577" spans="1:5" x14ac:dyDescent="0.3">
      <c r="A577" s="66"/>
      <c r="E577" s="66"/>
    </row>
    <row r="578" spans="1:5" x14ac:dyDescent="0.3">
      <c r="A578" s="66"/>
      <c r="E578" s="66"/>
    </row>
    <row r="579" spans="1:5" x14ac:dyDescent="0.3">
      <c r="A579" s="66"/>
      <c r="E579" s="66"/>
    </row>
    <row r="580" spans="1:5" x14ac:dyDescent="0.3">
      <c r="A580" s="66"/>
      <c r="E580" s="66"/>
    </row>
    <row r="581" spans="1:5" x14ac:dyDescent="0.3">
      <c r="A581" s="66"/>
      <c r="E581" s="66"/>
    </row>
    <row r="582" spans="1:5" x14ac:dyDescent="0.3">
      <c r="A582" s="66"/>
      <c r="E582" s="66"/>
    </row>
    <row r="583" spans="1:5" x14ac:dyDescent="0.3">
      <c r="A583" s="66"/>
      <c r="E583" s="66"/>
    </row>
    <row r="584" spans="1:5" x14ac:dyDescent="0.3">
      <c r="A584" s="66"/>
      <c r="E584" s="66"/>
    </row>
    <row r="585" spans="1:5" x14ac:dyDescent="0.3">
      <c r="A585" s="66"/>
      <c r="E585" s="66"/>
    </row>
    <row r="586" spans="1:5" x14ac:dyDescent="0.3">
      <c r="A586" s="66"/>
      <c r="E586" s="66"/>
    </row>
    <row r="587" spans="1:5" x14ac:dyDescent="0.3">
      <c r="A587" s="66"/>
      <c r="E587" s="66"/>
    </row>
    <row r="588" spans="1:5" x14ac:dyDescent="0.3">
      <c r="A588" s="66"/>
      <c r="E588" s="66"/>
    </row>
    <row r="589" spans="1:5" x14ac:dyDescent="0.3">
      <c r="A589" s="66"/>
      <c r="E589" s="66"/>
    </row>
    <row r="590" spans="1:5" x14ac:dyDescent="0.3">
      <c r="A590" s="66"/>
      <c r="E590" s="66"/>
    </row>
    <row r="591" spans="1:5" x14ac:dyDescent="0.3">
      <c r="A591" s="66"/>
      <c r="E591" s="66"/>
    </row>
    <row r="592" spans="1:5" x14ac:dyDescent="0.3">
      <c r="A592" s="66"/>
      <c r="E592" s="66"/>
    </row>
    <row r="593" spans="1:5" x14ac:dyDescent="0.3">
      <c r="A593" s="66"/>
      <c r="E593" s="66"/>
    </row>
    <row r="594" spans="1:5" x14ac:dyDescent="0.3">
      <c r="A594" s="66"/>
      <c r="E594" s="66"/>
    </row>
    <row r="595" spans="1:5" x14ac:dyDescent="0.3">
      <c r="A595" s="66"/>
      <c r="E595" s="66"/>
    </row>
    <row r="596" spans="1:5" x14ac:dyDescent="0.3">
      <c r="A596" s="66"/>
      <c r="E596" s="66"/>
    </row>
    <row r="597" spans="1:5" x14ac:dyDescent="0.3">
      <c r="A597" s="66"/>
      <c r="E597" s="66"/>
    </row>
    <row r="598" spans="1:5" x14ac:dyDescent="0.3">
      <c r="A598" s="66"/>
      <c r="E598" s="66"/>
    </row>
    <row r="599" spans="1:5" x14ac:dyDescent="0.3">
      <c r="A599" s="66"/>
      <c r="E599" s="66"/>
    </row>
    <row r="600" spans="1:5" x14ac:dyDescent="0.3">
      <c r="A600" s="66"/>
      <c r="E600" s="66"/>
    </row>
    <row r="601" spans="1:5" x14ac:dyDescent="0.3">
      <c r="A601" s="66"/>
      <c r="E601" s="66"/>
    </row>
    <row r="602" spans="1:5" x14ac:dyDescent="0.3">
      <c r="A602" s="66"/>
      <c r="E602" s="66"/>
    </row>
    <row r="603" spans="1:5" x14ac:dyDescent="0.3">
      <c r="A603" s="66"/>
      <c r="E603" s="66"/>
    </row>
    <row r="604" spans="1:5" x14ac:dyDescent="0.3">
      <c r="A604" s="66"/>
      <c r="E604" s="66"/>
    </row>
    <row r="605" spans="1:5" x14ac:dyDescent="0.3">
      <c r="A605" s="66"/>
      <c r="E605" s="66"/>
    </row>
    <row r="606" spans="1:5" x14ac:dyDescent="0.3">
      <c r="A606" s="66"/>
      <c r="E606" s="66"/>
    </row>
    <row r="607" spans="1:5" x14ac:dyDescent="0.3">
      <c r="A607" s="66"/>
      <c r="E607" s="66"/>
    </row>
    <row r="608" spans="1:5" x14ac:dyDescent="0.3">
      <c r="A608" s="66"/>
      <c r="E608" s="66"/>
    </row>
    <row r="609" spans="1:5" x14ac:dyDescent="0.3">
      <c r="A609" s="66"/>
      <c r="E609" s="66"/>
    </row>
    <row r="610" spans="1:5" x14ac:dyDescent="0.3">
      <c r="A610" s="66"/>
      <c r="E610" s="66"/>
    </row>
    <row r="611" spans="1:5" x14ac:dyDescent="0.3">
      <c r="A611" s="66"/>
      <c r="E611" s="66"/>
    </row>
    <row r="612" spans="1:5" x14ac:dyDescent="0.3">
      <c r="A612" s="66"/>
      <c r="E612" s="66"/>
    </row>
    <row r="613" spans="1:5" x14ac:dyDescent="0.3">
      <c r="A613" s="66"/>
      <c r="E613" s="66"/>
    </row>
    <row r="614" spans="1:5" x14ac:dyDescent="0.3">
      <c r="A614" s="66"/>
      <c r="E614" s="66"/>
    </row>
    <row r="615" spans="1:5" x14ac:dyDescent="0.3">
      <c r="A615" s="66"/>
      <c r="E615" s="66"/>
    </row>
    <row r="616" spans="1:5" x14ac:dyDescent="0.3">
      <c r="A616" s="66"/>
      <c r="E616" s="66"/>
    </row>
    <row r="617" spans="1:5" x14ac:dyDescent="0.3">
      <c r="A617" s="66"/>
      <c r="E617" s="66"/>
    </row>
    <row r="618" spans="1:5" x14ac:dyDescent="0.3">
      <c r="A618" s="66"/>
      <c r="E618" s="66"/>
    </row>
    <row r="619" spans="1:5" x14ac:dyDescent="0.3">
      <c r="A619" s="66"/>
      <c r="E619" s="66"/>
    </row>
    <row r="620" spans="1:5" x14ac:dyDescent="0.3">
      <c r="A620" s="66"/>
      <c r="E620" s="66"/>
    </row>
    <row r="621" spans="1:5" x14ac:dyDescent="0.3">
      <c r="A621" s="66"/>
      <c r="E621" s="66"/>
    </row>
    <row r="622" spans="1:5" x14ac:dyDescent="0.3">
      <c r="A622" s="66"/>
      <c r="E622" s="66"/>
    </row>
    <row r="623" spans="1:5" x14ac:dyDescent="0.3">
      <c r="A623" s="66"/>
      <c r="E623" s="66"/>
    </row>
    <row r="624" spans="1:5" x14ac:dyDescent="0.3">
      <c r="A624" s="66"/>
      <c r="E624" s="66"/>
    </row>
    <row r="625" spans="1:5" x14ac:dyDescent="0.3">
      <c r="A625" s="66"/>
      <c r="E625" s="66"/>
    </row>
    <row r="626" spans="1:5" x14ac:dyDescent="0.3">
      <c r="A626" s="66"/>
      <c r="E626" s="66"/>
    </row>
    <row r="627" spans="1:5" x14ac:dyDescent="0.3">
      <c r="A627" s="66"/>
      <c r="E627" s="66"/>
    </row>
    <row r="628" spans="1:5" x14ac:dyDescent="0.3">
      <c r="A628" s="66"/>
      <c r="E628" s="66"/>
    </row>
    <row r="629" spans="1:5" x14ac:dyDescent="0.3">
      <c r="A629" s="66"/>
      <c r="E629" s="66"/>
    </row>
    <row r="630" spans="1:5" x14ac:dyDescent="0.3">
      <c r="A630" s="66"/>
      <c r="E630" s="66"/>
    </row>
    <row r="631" spans="1:5" x14ac:dyDescent="0.3">
      <c r="A631" s="66"/>
      <c r="E631" s="66"/>
    </row>
    <row r="632" spans="1:5" x14ac:dyDescent="0.3">
      <c r="A632" s="66"/>
      <c r="E632" s="66"/>
    </row>
    <row r="633" spans="1:5" x14ac:dyDescent="0.3">
      <c r="A633" s="66"/>
      <c r="E633" s="66"/>
    </row>
    <row r="634" spans="1:5" x14ac:dyDescent="0.3">
      <c r="A634" s="66"/>
      <c r="E634" s="66"/>
    </row>
    <row r="635" spans="1:5" x14ac:dyDescent="0.3">
      <c r="A635" s="66"/>
      <c r="E635" s="66"/>
    </row>
    <row r="636" spans="1:5" x14ac:dyDescent="0.3">
      <c r="A636" s="66"/>
      <c r="E636" s="66"/>
    </row>
    <row r="637" spans="1:5" x14ac:dyDescent="0.3">
      <c r="A637" s="66"/>
      <c r="E637" s="66"/>
    </row>
    <row r="638" spans="1:5" x14ac:dyDescent="0.3">
      <c r="A638" s="66"/>
      <c r="E638" s="66"/>
    </row>
    <row r="639" spans="1:5" x14ac:dyDescent="0.3">
      <c r="A639" s="66"/>
      <c r="E639" s="66"/>
    </row>
    <row r="640" spans="1:5" x14ac:dyDescent="0.3">
      <c r="A640" s="66"/>
      <c r="E640" s="66"/>
    </row>
    <row r="641" spans="1:5" x14ac:dyDescent="0.3">
      <c r="A641" s="66"/>
      <c r="E641" s="66"/>
    </row>
    <row r="642" spans="1:5" x14ac:dyDescent="0.3">
      <c r="A642" s="66"/>
      <c r="E642" s="66"/>
    </row>
    <row r="643" spans="1:5" x14ac:dyDescent="0.3">
      <c r="A643" s="66"/>
      <c r="E643" s="66"/>
    </row>
    <row r="644" spans="1:5" x14ac:dyDescent="0.3">
      <c r="A644" s="66"/>
      <c r="E644" s="66"/>
    </row>
    <row r="645" spans="1:5" x14ac:dyDescent="0.3">
      <c r="A645" s="66"/>
      <c r="E645" s="66"/>
    </row>
    <row r="646" spans="1:5" x14ac:dyDescent="0.3">
      <c r="A646" s="66"/>
      <c r="E646" s="66"/>
    </row>
    <row r="647" spans="1:5" x14ac:dyDescent="0.3">
      <c r="A647" s="66"/>
      <c r="E647" s="66"/>
    </row>
    <row r="648" spans="1:5" x14ac:dyDescent="0.3">
      <c r="A648" s="66"/>
      <c r="E648" s="66"/>
    </row>
    <row r="649" spans="1:5" x14ac:dyDescent="0.3">
      <c r="A649" s="66"/>
      <c r="E649" s="66"/>
    </row>
    <row r="650" spans="1:5" x14ac:dyDescent="0.3">
      <c r="A650" s="66"/>
      <c r="E650" s="66"/>
    </row>
    <row r="651" spans="1:5" x14ac:dyDescent="0.3">
      <c r="A651" s="66"/>
      <c r="E651" s="66"/>
    </row>
    <row r="652" spans="1:5" x14ac:dyDescent="0.3">
      <c r="A652" s="66"/>
      <c r="E652" s="66"/>
    </row>
    <row r="653" spans="1:5" x14ac:dyDescent="0.3">
      <c r="A653" s="66"/>
      <c r="E653" s="66"/>
    </row>
    <row r="654" spans="1:5" x14ac:dyDescent="0.3">
      <c r="A654" s="66"/>
      <c r="E654" s="66"/>
    </row>
    <row r="655" spans="1:5" x14ac:dyDescent="0.3">
      <c r="A655" s="66"/>
      <c r="E655" s="66"/>
    </row>
    <row r="656" spans="1:5" x14ac:dyDescent="0.3">
      <c r="A656" s="66"/>
      <c r="E656" s="66"/>
    </row>
    <row r="657" spans="1:5" x14ac:dyDescent="0.3">
      <c r="A657" s="66"/>
      <c r="E657" s="66"/>
    </row>
    <row r="658" spans="1:5" x14ac:dyDescent="0.3">
      <c r="A658" s="66"/>
      <c r="E658" s="66"/>
    </row>
    <row r="659" spans="1:5" x14ac:dyDescent="0.3">
      <c r="A659" s="66"/>
      <c r="E659" s="66"/>
    </row>
    <row r="660" spans="1:5" x14ac:dyDescent="0.3">
      <c r="A660" s="66"/>
      <c r="E660" s="66"/>
    </row>
    <row r="661" spans="1:5" x14ac:dyDescent="0.3">
      <c r="A661" s="66"/>
      <c r="E661" s="66"/>
    </row>
    <row r="662" spans="1:5" x14ac:dyDescent="0.3">
      <c r="A662" s="66"/>
      <c r="E662" s="66"/>
    </row>
    <row r="663" spans="1:5" x14ac:dyDescent="0.3">
      <c r="A663" s="66"/>
      <c r="E663" s="66"/>
    </row>
    <row r="664" spans="1:5" x14ac:dyDescent="0.3">
      <c r="A664" s="66"/>
      <c r="E664" s="66"/>
    </row>
    <row r="665" spans="1:5" x14ac:dyDescent="0.3">
      <c r="A665" s="66"/>
      <c r="E665" s="66"/>
    </row>
    <row r="666" spans="1:5" x14ac:dyDescent="0.3">
      <c r="A666" s="66"/>
      <c r="E666" s="66"/>
    </row>
    <row r="667" spans="1:5" x14ac:dyDescent="0.3">
      <c r="A667" s="66"/>
      <c r="E667" s="66"/>
    </row>
    <row r="668" spans="1:5" x14ac:dyDescent="0.3">
      <c r="A668" s="66"/>
      <c r="E668" s="66"/>
    </row>
    <row r="669" spans="1:5" x14ac:dyDescent="0.3">
      <c r="A669" s="66"/>
      <c r="E669" s="66"/>
    </row>
    <row r="670" spans="1:5" x14ac:dyDescent="0.3">
      <c r="A670" s="66"/>
      <c r="E670" s="66"/>
    </row>
    <row r="671" spans="1:5" x14ac:dyDescent="0.3">
      <c r="A671" s="66"/>
      <c r="E671" s="66"/>
    </row>
    <row r="672" spans="1:5" x14ac:dyDescent="0.3">
      <c r="A672" s="66"/>
      <c r="E672" s="66"/>
    </row>
    <row r="673" spans="1:5" x14ac:dyDescent="0.3">
      <c r="A673" s="66"/>
      <c r="E673" s="66"/>
    </row>
    <row r="674" spans="1:5" x14ac:dyDescent="0.3">
      <c r="A674" s="66"/>
      <c r="E674" s="66"/>
    </row>
    <row r="675" spans="1:5" x14ac:dyDescent="0.3">
      <c r="A675" s="66"/>
      <c r="E675" s="66"/>
    </row>
    <row r="676" spans="1:5" x14ac:dyDescent="0.3">
      <c r="A676" s="66"/>
      <c r="E676" s="66"/>
    </row>
    <row r="677" spans="1:5" x14ac:dyDescent="0.3">
      <c r="A677" s="66"/>
      <c r="E677" s="66"/>
    </row>
    <row r="678" spans="1:5" x14ac:dyDescent="0.3">
      <c r="A678" s="66"/>
      <c r="E678" s="66"/>
    </row>
    <row r="679" spans="1:5" x14ac:dyDescent="0.3">
      <c r="A679" s="66"/>
      <c r="E679" s="66"/>
    </row>
    <row r="680" spans="1:5" x14ac:dyDescent="0.3">
      <c r="A680" s="66"/>
      <c r="E680" s="66"/>
    </row>
    <row r="681" spans="1:5" x14ac:dyDescent="0.3">
      <c r="A681" s="66"/>
      <c r="E681" s="66"/>
    </row>
    <row r="682" spans="1:5" x14ac:dyDescent="0.3">
      <c r="A682" s="66"/>
      <c r="E682" s="66"/>
    </row>
    <row r="683" spans="1:5" x14ac:dyDescent="0.3">
      <c r="A683" s="66"/>
      <c r="E683" s="66"/>
    </row>
    <row r="684" spans="1:5" x14ac:dyDescent="0.3">
      <c r="A684" s="66"/>
      <c r="E684" s="66"/>
    </row>
    <row r="685" spans="1:5" x14ac:dyDescent="0.3">
      <c r="A685" s="66"/>
      <c r="E685" s="66"/>
    </row>
    <row r="686" spans="1:5" x14ac:dyDescent="0.3">
      <c r="A686" s="66"/>
      <c r="E686" s="66"/>
    </row>
    <row r="687" spans="1:5" x14ac:dyDescent="0.3">
      <c r="A687" s="66"/>
      <c r="E687" s="66"/>
    </row>
    <row r="688" spans="1:5" x14ac:dyDescent="0.3">
      <c r="A688" s="66"/>
      <c r="E688" s="66"/>
    </row>
    <row r="689" spans="1:5" x14ac:dyDescent="0.3">
      <c r="A689" s="66"/>
      <c r="E689" s="66"/>
    </row>
    <row r="690" spans="1:5" x14ac:dyDescent="0.3">
      <c r="A690" s="66"/>
      <c r="E690" s="66"/>
    </row>
    <row r="691" spans="1:5" x14ac:dyDescent="0.3">
      <c r="A691" s="66"/>
      <c r="E691" s="66"/>
    </row>
    <row r="692" spans="1:5" x14ac:dyDescent="0.3">
      <c r="A692" s="66"/>
      <c r="E692" s="66"/>
    </row>
    <row r="693" spans="1:5" x14ac:dyDescent="0.3">
      <c r="A693" s="66"/>
      <c r="E693" s="66"/>
    </row>
    <row r="694" spans="1:5" x14ac:dyDescent="0.3">
      <c r="A694" s="66"/>
      <c r="E694" s="66"/>
    </row>
    <row r="695" spans="1:5" x14ac:dyDescent="0.3">
      <c r="A695" s="66"/>
      <c r="E695" s="66"/>
    </row>
    <row r="696" spans="1:5" x14ac:dyDescent="0.3">
      <c r="A696" s="66"/>
      <c r="E696" s="66"/>
    </row>
    <row r="697" spans="1:5" x14ac:dyDescent="0.3">
      <c r="A697" s="66"/>
      <c r="E697" s="66"/>
    </row>
    <row r="698" spans="1:5" x14ac:dyDescent="0.3">
      <c r="A698" s="66"/>
      <c r="E698" s="66"/>
    </row>
    <row r="699" spans="1:5" x14ac:dyDescent="0.3">
      <c r="A699" s="66"/>
      <c r="E699" s="66"/>
    </row>
    <row r="700" spans="1:5" x14ac:dyDescent="0.3">
      <c r="A700" s="66"/>
      <c r="E700" s="66"/>
    </row>
    <row r="701" spans="1:5" x14ac:dyDescent="0.3">
      <c r="A701" s="66"/>
      <c r="E701" s="66"/>
    </row>
    <row r="702" spans="1:5" x14ac:dyDescent="0.3">
      <c r="A702" s="66"/>
      <c r="E702" s="66"/>
    </row>
    <row r="703" spans="1:5" x14ac:dyDescent="0.3">
      <c r="A703" s="66"/>
      <c r="E703" s="66"/>
    </row>
    <row r="704" spans="1:5" x14ac:dyDescent="0.3">
      <c r="A704" s="66"/>
      <c r="E704" s="66"/>
    </row>
    <row r="705" spans="1:5" x14ac:dyDescent="0.3">
      <c r="A705" s="66"/>
      <c r="E705" s="66"/>
    </row>
    <row r="706" spans="1:5" x14ac:dyDescent="0.3">
      <c r="A706" s="66"/>
      <c r="E706" s="66"/>
    </row>
    <row r="707" spans="1:5" x14ac:dyDescent="0.3">
      <c r="A707" s="66"/>
      <c r="E707" s="66"/>
    </row>
    <row r="708" spans="1:5" x14ac:dyDescent="0.3">
      <c r="A708" s="66"/>
      <c r="E708" s="66"/>
    </row>
    <row r="709" spans="1:5" x14ac:dyDescent="0.3">
      <c r="A709" s="66"/>
      <c r="E709" s="66"/>
    </row>
    <row r="710" spans="1:5" x14ac:dyDescent="0.3">
      <c r="A710" s="66"/>
      <c r="E710" s="66"/>
    </row>
    <row r="711" spans="1:5" x14ac:dyDescent="0.3">
      <c r="A711" s="66"/>
      <c r="E711" s="66"/>
    </row>
    <row r="712" spans="1:5" x14ac:dyDescent="0.3">
      <c r="A712" s="66"/>
      <c r="E712" s="66"/>
    </row>
    <row r="713" spans="1:5" x14ac:dyDescent="0.3">
      <c r="A713" s="66"/>
      <c r="E713" s="66"/>
    </row>
    <row r="714" spans="1:5" x14ac:dyDescent="0.3">
      <c r="A714" s="66"/>
      <c r="E714" s="66"/>
    </row>
    <row r="715" spans="1:5" x14ac:dyDescent="0.3">
      <c r="A715" s="66"/>
      <c r="E715" s="66"/>
    </row>
    <row r="716" spans="1:5" x14ac:dyDescent="0.3">
      <c r="A716" s="66"/>
      <c r="E716" s="66"/>
    </row>
    <row r="717" spans="1:5" x14ac:dyDescent="0.3">
      <c r="A717" s="66"/>
      <c r="E717" s="66"/>
    </row>
    <row r="718" spans="1:5" x14ac:dyDescent="0.3">
      <c r="A718" s="66"/>
      <c r="E718" s="66"/>
    </row>
    <row r="719" spans="1:5" x14ac:dyDescent="0.3">
      <c r="A719" s="66"/>
      <c r="E719" s="66"/>
    </row>
    <row r="720" spans="1:5" x14ac:dyDescent="0.3">
      <c r="A720" s="66"/>
      <c r="E720" s="66"/>
    </row>
    <row r="721" spans="1:5" x14ac:dyDescent="0.3">
      <c r="A721" s="66"/>
      <c r="E721" s="66"/>
    </row>
    <row r="722" spans="1:5" x14ac:dyDescent="0.3">
      <c r="A722" s="66"/>
      <c r="E722" s="66"/>
    </row>
    <row r="723" spans="1:5" x14ac:dyDescent="0.3">
      <c r="A723" s="66"/>
      <c r="E723" s="66"/>
    </row>
    <row r="724" spans="1:5" x14ac:dyDescent="0.3">
      <c r="A724" s="66"/>
      <c r="E724" s="66"/>
    </row>
    <row r="725" spans="1:5" x14ac:dyDescent="0.3">
      <c r="A725" s="66"/>
      <c r="E725" s="66"/>
    </row>
    <row r="726" spans="1:5" x14ac:dyDescent="0.3">
      <c r="A726" s="66"/>
      <c r="E726" s="66"/>
    </row>
    <row r="727" spans="1:5" x14ac:dyDescent="0.3">
      <c r="A727" s="66"/>
      <c r="E727" s="66"/>
    </row>
    <row r="728" spans="1:5" x14ac:dyDescent="0.3">
      <c r="A728" s="66"/>
      <c r="E728" s="66"/>
    </row>
    <row r="729" spans="1:5" x14ac:dyDescent="0.3">
      <c r="A729" s="66"/>
      <c r="E729" s="66"/>
    </row>
    <row r="730" spans="1:5" x14ac:dyDescent="0.3">
      <c r="A730" s="66"/>
      <c r="E730" s="66"/>
    </row>
    <row r="731" spans="1:5" x14ac:dyDescent="0.3">
      <c r="A731" s="66"/>
      <c r="E731" s="66"/>
    </row>
    <row r="732" spans="1:5" x14ac:dyDescent="0.3">
      <c r="A732" s="66"/>
      <c r="E732" s="66"/>
    </row>
    <row r="733" spans="1:5" x14ac:dyDescent="0.3">
      <c r="A733" s="66"/>
      <c r="E733" s="66"/>
    </row>
    <row r="734" spans="1:5" x14ac:dyDescent="0.3">
      <c r="A734" s="66"/>
      <c r="E734" s="66"/>
    </row>
    <row r="735" spans="1:5" x14ac:dyDescent="0.3">
      <c r="A735" s="66"/>
      <c r="E735" s="66"/>
    </row>
    <row r="736" spans="1:5" x14ac:dyDescent="0.3">
      <c r="A736" s="66"/>
      <c r="E736" s="66"/>
    </row>
    <row r="737" spans="1:5" x14ac:dyDescent="0.3">
      <c r="A737" s="66"/>
      <c r="E737" s="66"/>
    </row>
    <row r="738" spans="1:5" x14ac:dyDescent="0.3">
      <c r="A738" s="66"/>
      <c r="E738" s="66"/>
    </row>
    <row r="739" spans="1:5" x14ac:dyDescent="0.3">
      <c r="A739" s="66"/>
      <c r="E739" s="66"/>
    </row>
    <row r="740" spans="1:5" x14ac:dyDescent="0.3">
      <c r="A740" s="66"/>
      <c r="E740" s="66"/>
    </row>
    <row r="741" spans="1:5" x14ac:dyDescent="0.3">
      <c r="A741" s="66"/>
      <c r="E741" s="66"/>
    </row>
    <row r="742" spans="1:5" x14ac:dyDescent="0.3">
      <c r="A742" s="66"/>
      <c r="E742" s="66"/>
    </row>
    <row r="743" spans="1:5" x14ac:dyDescent="0.3">
      <c r="A743" s="66"/>
      <c r="E743" s="66"/>
    </row>
    <row r="744" spans="1:5" x14ac:dyDescent="0.3">
      <c r="A744" s="66"/>
      <c r="E744" s="66"/>
    </row>
    <row r="745" spans="1:5" x14ac:dyDescent="0.3">
      <c r="A745" s="66"/>
      <c r="E745" s="66"/>
    </row>
    <row r="746" spans="1:5" x14ac:dyDescent="0.3">
      <c r="A746" s="66"/>
      <c r="E746" s="66"/>
    </row>
    <row r="747" spans="1:5" x14ac:dyDescent="0.3">
      <c r="A747" s="66"/>
      <c r="E747" s="66"/>
    </row>
    <row r="748" spans="1:5" x14ac:dyDescent="0.3">
      <c r="A748" s="66"/>
      <c r="E748" s="66"/>
    </row>
    <row r="749" spans="1:5" x14ac:dyDescent="0.3">
      <c r="A749" s="66"/>
      <c r="E749" s="66"/>
    </row>
    <row r="750" spans="1:5" x14ac:dyDescent="0.3">
      <c r="A750" s="66"/>
      <c r="E750" s="66"/>
    </row>
    <row r="751" spans="1:5" x14ac:dyDescent="0.3">
      <c r="A751" s="66"/>
      <c r="E751" s="66"/>
    </row>
    <row r="752" spans="1:5" x14ac:dyDescent="0.3">
      <c r="A752" s="66"/>
      <c r="E752" s="66"/>
    </row>
    <row r="753" spans="1:5" x14ac:dyDescent="0.3">
      <c r="A753" s="66"/>
      <c r="E753" s="66"/>
    </row>
    <row r="754" spans="1:5" x14ac:dyDescent="0.3">
      <c r="A754" s="66"/>
      <c r="E754" s="66"/>
    </row>
    <row r="755" spans="1:5" x14ac:dyDescent="0.3">
      <c r="A755" s="66"/>
      <c r="E755" s="66"/>
    </row>
    <row r="756" spans="1:5" x14ac:dyDescent="0.3">
      <c r="A756" s="66"/>
      <c r="E756" s="66"/>
    </row>
    <row r="757" spans="1:5" x14ac:dyDescent="0.3">
      <c r="A757" s="66"/>
      <c r="E757" s="66"/>
    </row>
    <row r="758" spans="1:5" x14ac:dyDescent="0.3">
      <c r="A758" s="66"/>
      <c r="E758" s="66"/>
    </row>
    <row r="759" spans="1:5" x14ac:dyDescent="0.3">
      <c r="A759" s="66"/>
      <c r="E759" s="66"/>
    </row>
    <row r="760" spans="1:5" x14ac:dyDescent="0.3">
      <c r="A760" s="66"/>
      <c r="E760" s="66"/>
    </row>
    <row r="761" spans="1:5" x14ac:dyDescent="0.3">
      <c r="A761" s="66"/>
      <c r="E761" s="66"/>
    </row>
    <row r="762" spans="1:5" x14ac:dyDescent="0.3">
      <c r="A762" s="66"/>
      <c r="E762" s="66"/>
    </row>
    <row r="763" spans="1:5" x14ac:dyDescent="0.3">
      <c r="A763" s="66"/>
      <c r="E763" s="66"/>
    </row>
    <row r="764" spans="1:5" x14ac:dyDescent="0.3">
      <c r="A764" s="66"/>
      <c r="E764" s="66"/>
    </row>
    <row r="765" spans="1:5" x14ac:dyDescent="0.3">
      <c r="A765" s="66"/>
      <c r="E765" s="66"/>
    </row>
    <row r="766" spans="1:5" x14ac:dyDescent="0.3">
      <c r="A766" s="66"/>
      <c r="E766" s="66"/>
    </row>
    <row r="767" spans="1:5" x14ac:dyDescent="0.3">
      <c r="A767" s="66"/>
      <c r="E767" s="66"/>
    </row>
    <row r="768" spans="1:5" x14ac:dyDescent="0.3">
      <c r="A768" s="66"/>
      <c r="E768" s="66"/>
    </row>
    <row r="769" spans="1:5" x14ac:dyDescent="0.3">
      <c r="A769" s="66"/>
      <c r="E769" s="66"/>
    </row>
    <row r="770" spans="1:5" x14ac:dyDescent="0.3">
      <c r="A770" s="66"/>
      <c r="E770" s="66"/>
    </row>
    <row r="771" spans="1:5" x14ac:dyDescent="0.3">
      <c r="A771" s="66"/>
      <c r="E771" s="66"/>
    </row>
    <row r="772" spans="1:5" x14ac:dyDescent="0.3">
      <c r="A772" s="66"/>
      <c r="E772" s="66"/>
    </row>
    <row r="773" spans="1:5" x14ac:dyDescent="0.3">
      <c r="A773" s="66"/>
      <c r="E773" s="66"/>
    </row>
    <row r="774" spans="1:5" x14ac:dyDescent="0.3">
      <c r="A774" s="66"/>
      <c r="E774" s="66"/>
    </row>
    <row r="775" spans="1:5" x14ac:dyDescent="0.3">
      <c r="A775" s="66"/>
      <c r="E775" s="66"/>
    </row>
    <row r="776" spans="1:5" x14ac:dyDescent="0.3">
      <c r="A776" s="66"/>
      <c r="E776" s="66"/>
    </row>
    <row r="777" spans="1:5" x14ac:dyDescent="0.3">
      <c r="A777" s="66"/>
      <c r="E777" s="66"/>
    </row>
    <row r="778" spans="1:5" x14ac:dyDescent="0.3">
      <c r="A778" s="66"/>
      <c r="E778" s="66"/>
    </row>
    <row r="779" spans="1:5" x14ac:dyDescent="0.3">
      <c r="A779" s="66"/>
      <c r="E779" s="66"/>
    </row>
    <row r="780" spans="1:5" x14ac:dyDescent="0.3">
      <c r="A780" s="66"/>
      <c r="E780" s="66"/>
    </row>
    <row r="781" spans="1:5" x14ac:dyDescent="0.3">
      <c r="A781" s="66"/>
      <c r="E781" s="66"/>
    </row>
    <row r="782" spans="1:5" x14ac:dyDescent="0.3">
      <c r="A782" s="66"/>
      <c r="E782" s="66"/>
    </row>
    <row r="783" spans="1:5" x14ac:dyDescent="0.3">
      <c r="A783" s="66"/>
      <c r="E783" s="66"/>
    </row>
    <row r="784" spans="1:5" x14ac:dyDescent="0.3">
      <c r="A784" s="66"/>
      <c r="E784" s="66"/>
    </row>
    <row r="785" spans="1:5" x14ac:dyDescent="0.3">
      <c r="A785" s="66"/>
      <c r="E785" s="66"/>
    </row>
    <row r="786" spans="1:5" x14ac:dyDescent="0.3">
      <c r="A786" s="66"/>
      <c r="E786" s="66"/>
    </row>
    <row r="787" spans="1:5" x14ac:dyDescent="0.3">
      <c r="A787" s="66"/>
      <c r="E787" s="66"/>
    </row>
    <row r="788" spans="1:5" x14ac:dyDescent="0.3">
      <c r="A788" s="66"/>
      <c r="E788" s="66"/>
    </row>
    <row r="789" spans="1:5" x14ac:dyDescent="0.3">
      <c r="A789" s="66"/>
      <c r="E789" s="66"/>
    </row>
    <row r="790" spans="1:5" x14ac:dyDescent="0.3">
      <c r="A790" s="66"/>
      <c r="E790" s="66"/>
    </row>
    <row r="791" spans="1:5" x14ac:dyDescent="0.3">
      <c r="A791" s="66"/>
      <c r="E791" s="66"/>
    </row>
    <row r="792" spans="1:5" x14ac:dyDescent="0.3">
      <c r="A792" s="66"/>
      <c r="E792" s="66"/>
    </row>
    <row r="793" spans="1:5" x14ac:dyDescent="0.3">
      <c r="A793" s="66"/>
      <c r="E793" s="66"/>
    </row>
    <row r="794" spans="1:5" x14ac:dyDescent="0.3">
      <c r="A794" s="66"/>
      <c r="E794" s="66"/>
    </row>
    <row r="795" spans="1:5" x14ac:dyDescent="0.3">
      <c r="A795" s="66"/>
      <c r="E795" s="66"/>
    </row>
    <row r="796" spans="1:5" x14ac:dyDescent="0.3">
      <c r="A796" s="66"/>
      <c r="E796" s="66"/>
    </row>
    <row r="797" spans="1:5" x14ac:dyDescent="0.3">
      <c r="A797" s="66"/>
      <c r="E797" s="66"/>
    </row>
    <row r="798" spans="1:5" x14ac:dyDescent="0.3">
      <c r="A798" s="66"/>
      <c r="E798" s="66"/>
    </row>
    <row r="799" spans="1:5" x14ac:dyDescent="0.3">
      <c r="A799" s="66"/>
      <c r="E799" s="66"/>
    </row>
    <row r="800" spans="1:5" x14ac:dyDescent="0.3">
      <c r="A800" s="66"/>
      <c r="E800" s="66"/>
    </row>
    <row r="801" spans="1:5" x14ac:dyDescent="0.3">
      <c r="A801" s="66"/>
      <c r="E801" s="66"/>
    </row>
    <row r="802" spans="1:5" x14ac:dyDescent="0.3">
      <c r="A802" s="66"/>
      <c r="E802" s="66"/>
    </row>
    <row r="803" spans="1:5" x14ac:dyDescent="0.3">
      <c r="A803" s="66"/>
      <c r="E803" s="66"/>
    </row>
    <row r="804" spans="1:5" x14ac:dyDescent="0.3">
      <c r="A804" s="66"/>
      <c r="E804" s="66"/>
    </row>
    <row r="805" spans="1:5" x14ac:dyDescent="0.3">
      <c r="A805" s="66"/>
      <c r="E805" s="66"/>
    </row>
    <row r="806" spans="1:5" x14ac:dyDescent="0.3">
      <c r="A806" s="66"/>
      <c r="E806" s="66"/>
    </row>
    <row r="807" spans="1:5" x14ac:dyDescent="0.3">
      <c r="A807" s="66"/>
      <c r="E807" s="66"/>
    </row>
    <row r="808" spans="1:5" x14ac:dyDescent="0.3">
      <c r="A808" s="66"/>
      <c r="E808" s="66"/>
    </row>
    <row r="809" spans="1:5" x14ac:dyDescent="0.3">
      <c r="A809" s="66"/>
      <c r="E809" s="66"/>
    </row>
    <row r="810" spans="1:5" x14ac:dyDescent="0.3">
      <c r="A810" s="66"/>
      <c r="E810" s="66"/>
    </row>
    <row r="811" spans="1:5" x14ac:dyDescent="0.3">
      <c r="A811" s="66"/>
      <c r="E811" s="66"/>
    </row>
    <row r="812" spans="1:5" x14ac:dyDescent="0.3">
      <c r="A812" s="66"/>
      <c r="E812" s="66"/>
    </row>
    <row r="813" spans="1:5" x14ac:dyDescent="0.3">
      <c r="A813" s="66"/>
      <c r="E813" s="66"/>
    </row>
    <row r="814" spans="1:5" x14ac:dyDescent="0.3">
      <c r="A814" s="66"/>
      <c r="E814" s="66"/>
    </row>
    <row r="815" spans="1:5" x14ac:dyDescent="0.3">
      <c r="A815" s="66"/>
      <c r="E815" s="66"/>
    </row>
    <row r="816" spans="1:5" x14ac:dyDescent="0.3">
      <c r="A816" s="66"/>
      <c r="E816" s="66"/>
    </row>
    <row r="817" spans="1:5" x14ac:dyDescent="0.3">
      <c r="A817" s="66"/>
      <c r="E817" s="66"/>
    </row>
    <row r="818" spans="1:5" x14ac:dyDescent="0.3">
      <c r="A818" s="66"/>
      <c r="E818" s="66"/>
    </row>
    <row r="819" spans="1:5" x14ac:dyDescent="0.3">
      <c r="A819" s="66"/>
      <c r="E819" s="66"/>
    </row>
    <row r="820" spans="1:5" x14ac:dyDescent="0.3">
      <c r="A820" s="66"/>
      <c r="E820" s="66"/>
    </row>
    <row r="821" spans="1:5" x14ac:dyDescent="0.3">
      <c r="A821" s="66"/>
      <c r="E821" s="66"/>
    </row>
    <row r="822" spans="1:5" x14ac:dyDescent="0.3">
      <c r="A822" s="66"/>
      <c r="E822" s="66"/>
    </row>
    <row r="823" spans="1:5" x14ac:dyDescent="0.3">
      <c r="A823" s="66"/>
      <c r="E823" s="66"/>
    </row>
    <row r="824" spans="1:5" x14ac:dyDescent="0.3">
      <c r="A824" s="66"/>
      <c r="E824" s="66"/>
    </row>
    <row r="825" spans="1:5" x14ac:dyDescent="0.3">
      <c r="A825" s="66"/>
      <c r="E825" s="66"/>
    </row>
    <row r="826" spans="1:5" x14ac:dyDescent="0.3">
      <c r="A826" s="66"/>
      <c r="E826" s="66"/>
    </row>
    <row r="827" spans="1:5" x14ac:dyDescent="0.3">
      <c r="A827" s="66"/>
      <c r="E827" s="66"/>
    </row>
    <row r="828" spans="1:5" x14ac:dyDescent="0.3">
      <c r="A828" s="66"/>
      <c r="E828" s="66"/>
    </row>
    <row r="829" spans="1:5" x14ac:dyDescent="0.3">
      <c r="A829" s="66"/>
      <c r="E829" s="66"/>
    </row>
    <row r="830" spans="1:5" x14ac:dyDescent="0.3">
      <c r="A830" s="66"/>
      <c r="E830" s="66"/>
    </row>
    <row r="831" spans="1:5" x14ac:dyDescent="0.3">
      <c r="A831" s="66"/>
      <c r="E831" s="66"/>
    </row>
    <row r="832" spans="1:5" x14ac:dyDescent="0.3">
      <c r="A832" s="66"/>
      <c r="E832" s="66"/>
    </row>
    <row r="833" spans="1:5" x14ac:dyDescent="0.3">
      <c r="A833" s="66"/>
      <c r="E833" s="66"/>
    </row>
    <row r="834" spans="1:5" x14ac:dyDescent="0.3">
      <c r="A834" s="66"/>
      <c r="E834" s="66"/>
    </row>
    <row r="835" spans="1:5" x14ac:dyDescent="0.3">
      <c r="A835" s="66"/>
      <c r="E835" s="66"/>
    </row>
    <row r="836" spans="1:5" x14ac:dyDescent="0.3">
      <c r="A836" s="66"/>
      <c r="E836" s="66"/>
    </row>
    <row r="837" spans="1:5" x14ac:dyDescent="0.3">
      <c r="A837" s="66"/>
      <c r="E837" s="66"/>
    </row>
    <row r="838" spans="1:5" x14ac:dyDescent="0.3">
      <c r="A838" s="66"/>
      <c r="E838" s="66"/>
    </row>
    <row r="839" spans="1:5" x14ac:dyDescent="0.3">
      <c r="A839" s="66"/>
      <c r="E839" s="66"/>
    </row>
    <row r="840" spans="1:5" x14ac:dyDescent="0.3">
      <c r="A840" s="66"/>
      <c r="E840" s="66"/>
    </row>
    <row r="841" spans="1:5" x14ac:dyDescent="0.3">
      <c r="A841" s="66"/>
      <c r="E841" s="66"/>
    </row>
    <row r="842" spans="1:5" x14ac:dyDescent="0.3">
      <c r="A842" s="66"/>
      <c r="E842" s="66"/>
    </row>
    <row r="843" spans="1:5" x14ac:dyDescent="0.3">
      <c r="A843" s="66"/>
      <c r="E843" s="66"/>
    </row>
    <row r="844" spans="1:5" x14ac:dyDescent="0.3">
      <c r="A844" s="66"/>
      <c r="E844" s="66"/>
    </row>
    <row r="845" spans="1:5" x14ac:dyDescent="0.3">
      <c r="A845" s="66"/>
      <c r="E845" s="66"/>
    </row>
    <row r="846" spans="1:5" x14ac:dyDescent="0.3">
      <c r="A846" s="66"/>
      <c r="E846" s="66"/>
    </row>
    <row r="847" spans="1:5" x14ac:dyDescent="0.3">
      <c r="A847" s="66"/>
      <c r="E847" s="66"/>
    </row>
    <row r="848" spans="1:5" x14ac:dyDescent="0.3">
      <c r="A848" s="66"/>
      <c r="E848" s="66"/>
    </row>
    <row r="849" spans="1:5" x14ac:dyDescent="0.3">
      <c r="A849" s="66"/>
      <c r="E849" s="66"/>
    </row>
    <row r="850" spans="1:5" x14ac:dyDescent="0.3">
      <c r="A850" s="66"/>
      <c r="E850" s="66"/>
    </row>
    <row r="851" spans="1:5" x14ac:dyDescent="0.3">
      <c r="A851" s="66"/>
      <c r="E851" s="66"/>
    </row>
    <row r="852" spans="1:5" x14ac:dyDescent="0.3">
      <c r="A852" s="66"/>
      <c r="E852" s="66"/>
    </row>
    <row r="853" spans="1:5" x14ac:dyDescent="0.3">
      <c r="A853" s="66"/>
      <c r="E853" s="66"/>
    </row>
    <row r="854" spans="1:5" x14ac:dyDescent="0.3">
      <c r="A854" s="66"/>
      <c r="E854" s="66"/>
    </row>
    <row r="855" spans="1:5" x14ac:dyDescent="0.3">
      <c r="A855" s="66"/>
      <c r="E855" s="66"/>
    </row>
    <row r="856" spans="1:5" x14ac:dyDescent="0.3">
      <c r="A856" s="66"/>
      <c r="E856" s="66"/>
    </row>
    <row r="857" spans="1:5" x14ac:dyDescent="0.3">
      <c r="A857" s="66"/>
      <c r="E857" s="66"/>
    </row>
    <row r="858" spans="1:5" x14ac:dyDescent="0.3">
      <c r="A858" s="66"/>
      <c r="E858" s="66"/>
    </row>
    <row r="859" spans="1:5" x14ac:dyDescent="0.3">
      <c r="A859" s="66"/>
      <c r="E859" s="66"/>
    </row>
    <row r="860" spans="1:5" x14ac:dyDescent="0.3">
      <c r="A860" s="66"/>
      <c r="E860" s="66"/>
    </row>
    <row r="861" spans="1:5" x14ac:dyDescent="0.3">
      <c r="A861" s="66"/>
      <c r="E861" s="66"/>
    </row>
    <row r="862" spans="1:5" x14ac:dyDescent="0.3">
      <c r="A862" s="66"/>
      <c r="E862" s="66"/>
    </row>
    <row r="863" spans="1:5" x14ac:dyDescent="0.3">
      <c r="A863" s="66"/>
      <c r="E863" s="66"/>
    </row>
    <row r="864" spans="1:5" x14ac:dyDescent="0.3">
      <c r="A864" s="66"/>
      <c r="E864" s="66"/>
    </row>
    <row r="865" spans="1:5" x14ac:dyDescent="0.3">
      <c r="A865" s="66"/>
      <c r="E865" s="66"/>
    </row>
    <row r="866" spans="1:5" x14ac:dyDescent="0.3">
      <c r="A866" s="66"/>
      <c r="E866" s="66"/>
    </row>
    <row r="867" spans="1:5" x14ac:dyDescent="0.3">
      <c r="A867" s="66"/>
      <c r="E867" s="66"/>
    </row>
    <row r="868" spans="1:5" x14ac:dyDescent="0.3">
      <c r="A868" s="66"/>
      <c r="E868" s="66"/>
    </row>
    <row r="869" spans="1:5" x14ac:dyDescent="0.3">
      <c r="A869" s="66"/>
      <c r="E869" s="66"/>
    </row>
    <row r="870" spans="1:5" x14ac:dyDescent="0.3">
      <c r="A870" s="66"/>
      <c r="E870" s="66"/>
    </row>
    <row r="871" spans="1:5" x14ac:dyDescent="0.3">
      <c r="A871" s="66"/>
      <c r="E871" s="66"/>
    </row>
    <row r="872" spans="1:5" x14ac:dyDescent="0.3">
      <c r="A872" s="66"/>
      <c r="E872" s="66"/>
    </row>
    <row r="873" spans="1:5" x14ac:dyDescent="0.3">
      <c r="A873" s="66"/>
      <c r="E873" s="66"/>
    </row>
    <row r="874" spans="1:5" x14ac:dyDescent="0.3">
      <c r="A874" s="66"/>
      <c r="E874" s="66"/>
    </row>
    <row r="875" spans="1:5" x14ac:dyDescent="0.3">
      <c r="A875" s="66"/>
      <c r="E875" s="66"/>
    </row>
    <row r="876" spans="1:5" x14ac:dyDescent="0.3">
      <c r="A876" s="66"/>
      <c r="E876" s="66"/>
    </row>
    <row r="877" spans="1:5" x14ac:dyDescent="0.3">
      <c r="A877" s="66"/>
      <c r="E877" s="66"/>
    </row>
    <row r="878" spans="1:5" x14ac:dyDescent="0.3">
      <c r="A878" s="66"/>
      <c r="E878" s="66"/>
    </row>
    <row r="879" spans="1:5" x14ac:dyDescent="0.3">
      <c r="A879" s="66"/>
      <c r="E879" s="66"/>
    </row>
    <row r="880" spans="1:5" x14ac:dyDescent="0.3">
      <c r="A880" s="66"/>
      <c r="E880" s="66"/>
    </row>
    <row r="881" spans="1:5" x14ac:dyDescent="0.3">
      <c r="A881" s="66"/>
      <c r="E881" s="66"/>
    </row>
    <row r="882" spans="1:5" x14ac:dyDescent="0.3">
      <c r="A882" s="66"/>
      <c r="E882" s="66"/>
    </row>
    <row r="883" spans="1:5" x14ac:dyDescent="0.3">
      <c r="A883" s="66"/>
      <c r="E883" s="66"/>
    </row>
    <row r="884" spans="1:5" x14ac:dyDescent="0.3">
      <c r="A884" s="66"/>
      <c r="E884" s="66"/>
    </row>
    <row r="885" spans="1:5" x14ac:dyDescent="0.3">
      <c r="A885" s="66"/>
      <c r="E885" s="66"/>
    </row>
    <row r="886" spans="1:5" x14ac:dyDescent="0.3">
      <c r="A886" s="66"/>
      <c r="E886" s="66"/>
    </row>
    <row r="887" spans="1:5" x14ac:dyDescent="0.3">
      <c r="A887" s="66"/>
      <c r="E887" s="66"/>
    </row>
    <row r="888" spans="1:5" x14ac:dyDescent="0.3">
      <c r="A888" s="66"/>
      <c r="E888" s="66"/>
    </row>
    <row r="889" spans="1:5" x14ac:dyDescent="0.3">
      <c r="A889" s="66"/>
      <c r="E889" s="66"/>
    </row>
    <row r="890" spans="1:5" x14ac:dyDescent="0.3">
      <c r="A890" s="66"/>
      <c r="E890" s="66"/>
    </row>
    <row r="891" spans="1:5" x14ac:dyDescent="0.3">
      <c r="A891" s="66"/>
      <c r="E891" s="66"/>
    </row>
    <row r="892" spans="1:5" x14ac:dyDescent="0.3">
      <c r="A892" s="66"/>
      <c r="E892" s="66"/>
    </row>
    <row r="893" spans="1:5" x14ac:dyDescent="0.3">
      <c r="A893" s="66"/>
      <c r="E893" s="66"/>
    </row>
    <row r="894" spans="1:5" x14ac:dyDescent="0.3">
      <c r="A894" s="66"/>
      <c r="E894" s="66"/>
    </row>
    <row r="895" spans="1:5" x14ac:dyDescent="0.3">
      <c r="A895" s="66"/>
      <c r="E895" s="66"/>
    </row>
    <row r="896" spans="1:5" x14ac:dyDescent="0.3">
      <c r="A896" s="66"/>
      <c r="E896" s="66"/>
    </row>
    <row r="897" spans="1:5" x14ac:dyDescent="0.3">
      <c r="A897" s="66"/>
      <c r="E897" s="66"/>
    </row>
    <row r="898" spans="1:5" x14ac:dyDescent="0.3">
      <c r="A898" s="66"/>
      <c r="E898" s="66"/>
    </row>
    <row r="899" spans="1:5" x14ac:dyDescent="0.3">
      <c r="A899" s="66"/>
      <c r="E899" s="66"/>
    </row>
    <row r="900" spans="1:5" x14ac:dyDescent="0.3">
      <c r="A900" s="66"/>
      <c r="E900" s="66"/>
    </row>
    <row r="901" spans="1:5" x14ac:dyDescent="0.3">
      <c r="A901" s="66"/>
      <c r="E901" s="66"/>
    </row>
    <row r="902" spans="1:5" x14ac:dyDescent="0.3">
      <c r="A902" s="66"/>
      <c r="E902" s="66"/>
    </row>
    <row r="903" spans="1:5" x14ac:dyDescent="0.3">
      <c r="A903" s="66"/>
      <c r="E903" s="66"/>
    </row>
    <row r="904" spans="1:5" x14ac:dyDescent="0.3">
      <c r="A904" s="66"/>
      <c r="E904" s="66"/>
    </row>
    <row r="905" spans="1:5" x14ac:dyDescent="0.3">
      <c r="A905" s="66"/>
      <c r="E905" s="66"/>
    </row>
    <row r="906" spans="1:5" x14ac:dyDescent="0.3">
      <c r="A906" s="66"/>
      <c r="E906" s="66"/>
    </row>
    <row r="907" spans="1:5" x14ac:dyDescent="0.3">
      <c r="A907" s="66"/>
      <c r="E907" s="66"/>
    </row>
    <row r="908" spans="1:5" x14ac:dyDescent="0.3">
      <c r="A908" s="66"/>
      <c r="E908" s="66"/>
    </row>
    <row r="909" spans="1:5" x14ac:dyDescent="0.3">
      <c r="A909" s="66"/>
      <c r="E909" s="66"/>
    </row>
    <row r="910" spans="1:5" x14ac:dyDescent="0.3">
      <c r="A910" s="66"/>
      <c r="E910" s="66"/>
    </row>
    <row r="911" spans="1:5" x14ac:dyDescent="0.3">
      <c r="A911" s="66"/>
      <c r="E911" s="66"/>
    </row>
    <row r="912" spans="1:5" x14ac:dyDescent="0.3">
      <c r="A912" s="66"/>
      <c r="E912" s="66"/>
    </row>
    <row r="913" spans="1:5" x14ac:dyDescent="0.3">
      <c r="A913" s="66"/>
      <c r="E913" s="66"/>
    </row>
    <row r="914" spans="1:5" x14ac:dyDescent="0.3">
      <c r="A914" s="66"/>
      <c r="E914" s="66"/>
    </row>
    <row r="915" spans="1:5" x14ac:dyDescent="0.3">
      <c r="A915" s="66"/>
      <c r="E915" s="66"/>
    </row>
    <row r="916" spans="1:5" x14ac:dyDescent="0.3">
      <c r="A916" s="66"/>
      <c r="E916" s="66"/>
    </row>
    <row r="917" spans="1:5" x14ac:dyDescent="0.3">
      <c r="A917" s="66"/>
      <c r="E917" s="66"/>
    </row>
    <row r="918" spans="1:5" x14ac:dyDescent="0.3">
      <c r="A918" s="66"/>
      <c r="E918" s="66"/>
    </row>
    <row r="919" spans="1:5" x14ac:dyDescent="0.3">
      <c r="A919" s="66"/>
      <c r="E919" s="66"/>
    </row>
    <row r="920" spans="1:5" x14ac:dyDescent="0.3">
      <c r="A920" s="66"/>
      <c r="E920" s="66"/>
    </row>
    <row r="921" spans="1:5" x14ac:dyDescent="0.3">
      <c r="A921" s="66"/>
      <c r="E921" s="66"/>
    </row>
    <row r="922" spans="1:5" x14ac:dyDescent="0.3">
      <c r="A922" s="66"/>
      <c r="E922" s="66"/>
    </row>
    <row r="923" spans="1:5" x14ac:dyDescent="0.3">
      <c r="A923" s="66"/>
      <c r="E923" s="66"/>
    </row>
    <row r="924" spans="1:5" x14ac:dyDescent="0.3">
      <c r="A924" s="66"/>
      <c r="E924" s="66"/>
    </row>
    <row r="925" spans="1:5" x14ac:dyDescent="0.3">
      <c r="A925" s="66"/>
      <c r="E925" s="66"/>
    </row>
    <row r="926" spans="1:5" x14ac:dyDescent="0.3">
      <c r="A926" s="66"/>
      <c r="E926" s="66"/>
    </row>
    <row r="927" spans="1:5" x14ac:dyDescent="0.3">
      <c r="A927" s="66"/>
      <c r="E927" s="66"/>
    </row>
    <row r="928" spans="1:5" x14ac:dyDescent="0.3">
      <c r="A928" s="66"/>
      <c r="E928" s="66"/>
    </row>
    <row r="929" spans="1:5" x14ac:dyDescent="0.3">
      <c r="A929" s="66"/>
      <c r="E929" s="66"/>
    </row>
    <row r="930" spans="1:5" x14ac:dyDescent="0.3">
      <c r="A930" s="66"/>
      <c r="E930" s="66"/>
    </row>
    <row r="931" spans="1:5" x14ac:dyDescent="0.3">
      <c r="A931" s="66"/>
      <c r="E931" s="66"/>
    </row>
    <row r="932" spans="1:5" x14ac:dyDescent="0.3">
      <c r="A932" s="66"/>
      <c r="E932" s="66"/>
    </row>
    <row r="933" spans="1:5" x14ac:dyDescent="0.3">
      <c r="A933" s="66"/>
      <c r="E933" s="66"/>
    </row>
    <row r="934" spans="1:5" x14ac:dyDescent="0.3">
      <c r="A934" s="66"/>
      <c r="E934" s="66"/>
    </row>
    <row r="935" spans="1:5" x14ac:dyDescent="0.3">
      <c r="A935" s="66"/>
      <c r="E935" s="66"/>
    </row>
    <row r="936" spans="1:5" x14ac:dyDescent="0.3">
      <c r="A936" s="66"/>
      <c r="E936" s="66"/>
    </row>
    <row r="937" spans="1:5" x14ac:dyDescent="0.3">
      <c r="A937" s="66"/>
      <c r="E937" s="66"/>
    </row>
    <row r="938" spans="1:5" x14ac:dyDescent="0.3">
      <c r="A938" s="66"/>
      <c r="E938" s="66"/>
    </row>
    <row r="939" spans="1:5" x14ac:dyDescent="0.3">
      <c r="A939" s="66"/>
      <c r="E939" s="66"/>
    </row>
    <row r="940" spans="1:5" x14ac:dyDescent="0.3">
      <c r="A940" s="66"/>
      <c r="E940" s="66"/>
    </row>
    <row r="941" spans="1:5" x14ac:dyDescent="0.3">
      <c r="A941" s="66"/>
      <c r="E941" s="66"/>
    </row>
    <row r="942" spans="1:5" x14ac:dyDescent="0.3">
      <c r="A942" s="66"/>
      <c r="E942" s="66"/>
    </row>
    <row r="943" spans="1:5" x14ac:dyDescent="0.3">
      <c r="A943" s="66"/>
      <c r="E943" s="66"/>
    </row>
    <row r="944" spans="1:5" x14ac:dyDescent="0.3">
      <c r="A944" s="66"/>
      <c r="E944" s="66"/>
    </row>
    <row r="945" spans="1:5" x14ac:dyDescent="0.3">
      <c r="A945" s="66"/>
      <c r="E945" s="66"/>
    </row>
    <row r="946" spans="1:5" x14ac:dyDescent="0.3">
      <c r="A946" s="66"/>
      <c r="E946" s="66"/>
    </row>
    <row r="947" spans="1:5" x14ac:dyDescent="0.3">
      <c r="A947" s="66"/>
      <c r="E947" s="66"/>
    </row>
    <row r="948" spans="1:5" x14ac:dyDescent="0.3">
      <c r="A948" s="66"/>
      <c r="E948" s="66"/>
    </row>
    <row r="949" spans="1:5" x14ac:dyDescent="0.3">
      <c r="A949" s="66"/>
      <c r="E949" s="66"/>
    </row>
    <row r="950" spans="1:5" x14ac:dyDescent="0.3">
      <c r="A950" s="66"/>
      <c r="E950" s="66"/>
    </row>
    <row r="951" spans="1:5" x14ac:dyDescent="0.3">
      <c r="A951" s="66"/>
      <c r="E951" s="66"/>
    </row>
    <row r="952" spans="1:5" x14ac:dyDescent="0.3">
      <c r="A952" s="66"/>
      <c r="E952" s="66"/>
    </row>
    <row r="953" spans="1:5" x14ac:dyDescent="0.3">
      <c r="A953" s="66"/>
      <c r="E953" s="66"/>
    </row>
    <row r="954" spans="1:5" x14ac:dyDescent="0.3">
      <c r="A954" s="66"/>
      <c r="E954" s="66"/>
    </row>
    <row r="955" spans="1:5" x14ac:dyDescent="0.3">
      <c r="A955" s="66"/>
      <c r="E955" s="66"/>
    </row>
    <row r="956" spans="1:5" x14ac:dyDescent="0.3">
      <c r="A956" s="66"/>
      <c r="E956" s="66"/>
    </row>
    <row r="957" spans="1:5" x14ac:dyDescent="0.3">
      <c r="A957" s="66"/>
      <c r="E957" s="66"/>
    </row>
    <row r="958" spans="1:5" x14ac:dyDescent="0.3">
      <c r="A958" s="66"/>
      <c r="E958" s="66"/>
    </row>
    <row r="959" spans="1:5" x14ac:dyDescent="0.3">
      <c r="A959" s="66"/>
      <c r="E959" s="66"/>
    </row>
    <row r="960" spans="1:5" x14ac:dyDescent="0.3">
      <c r="A960" s="66"/>
      <c r="E960" s="66"/>
    </row>
    <row r="961" spans="1:5" x14ac:dyDescent="0.3">
      <c r="A961" s="66"/>
      <c r="E961" s="66"/>
    </row>
    <row r="962" spans="1:5" x14ac:dyDescent="0.3">
      <c r="A962" s="66"/>
      <c r="E962" s="66"/>
    </row>
    <row r="963" spans="1:5" x14ac:dyDescent="0.3">
      <c r="A963" s="66"/>
      <c r="E963" s="66"/>
    </row>
    <row r="964" spans="1:5" x14ac:dyDescent="0.3">
      <c r="A964" s="66"/>
      <c r="E964" s="66"/>
    </row>
    <row r="965" spans="1:5" x14ac:dyDescent="0.3">
      <c r="A965" s="66"/>
      <c r="E965" s="66"/>
    </row>
    <row r="966" spans="1:5" x14ac:dyDescent="0.3">
      <c r="A966" s="66"/>
      <c r="E966" s="66"/>
    </row>
    <row r="967" spans="1:5" x14ac:dyDescent="0.3">
      <c r="A967" s="66"/>
      <c r="E967" s="66"/>
    </row>
    <row r="968" spans="1:5" x14ac:dyDescent="0.3">
      <c r="A968" s="66"/>
      <c r="E968" s="66"/>
    </row>
    <row r="969" spans="1:5" x14ac:dyDescent="0.3">
      <c r="A969" s="66"/>
      <c r="E969" s="66"/>
    </row>
    <row r="970" spans="1:5" x14ac:dyDescent="0.3">
      <c r="A970" s="66"/>
      <c r="E970" s="66"/>
    </row>
    <row r="971" spans="1:5" x14ac:dyDescent="0.3">
      <c r="A971" s="66"/>
      <c r="E971" s="66"/>
    </row>
    <row r="972" spans="1:5" x14ac:dyDescent="0.3">
      <c r="A972" s="66"/>
      <c r="E972" s="66"/>
    </row>
    <row r="973" spans="1:5" x14ac:dyDescent="0.3">
      <c r="A973" s="66"/>
      <c r="E973" s="66"/>
    </row>
    <row r="974" spans="1:5" x14ac:dyDescent="0.3">
      <c r="A974" s="66"/>
      <c r="E974" s="66"/>
    </row>
    <row r="975" spans="1:5" x14ac:dyDescent="0.3">
      <c r="A975" s="66"/>
      <c r="E975" s="66"/>
    </row>
    <row r="976" spans="1:5" x14ac:dyDescent="0.3">
      <c r="A976" s="66"/>
      <c r="E976" s="66"/>
    </row>
    <row r="977" spans="1:5" x14ac:dyDescent="0.3">
      <c r="A977" s="66"/>
      <c r="E977" s="66"/>
    </row>
    <row r="978" spans="1:5" x14ac:dyDescent="0.3">
      <c r="A978" s="66"/>
      <c r="E978" s="66"/>
    </row>
    <row r="979" spans="1:5" x14ac:dyDescent="0.3">
      <c r="A979" s="66"/>
      <c r="E979" s="66"/>
    </row>
    <row r="980" spans="1:5" x14ac:dyDescent="0.3">
      <c r="A980" s="66"/>
      <c r="E980" s="66"/>
    </row>
    <row r="981" spans="1:5" x14ac:dyDescent="0.3">
      <c r="A981" s="66"/>
      <c r="E981" s="66"/>
    </row>
    <row r="982" spans="1:5" x14ac:dyDescent="0.3">
      <c r="A982" s="66"/>
      <c r="E982" s="66"/>
    </row>
    <row r="983" spans="1:5" x14ac:dyDescent="0.3">
      <c r="A983" s="66"/>
      <c r="E983" s="66"/>
    </row>
    <row r="984" spans="1:5" x14ac:dyDescent="0.3">
      <c r="A984" s="66"/>
      <c r="E984" s="66"/>
    </row>
    <row r="985" spans="1:5" x14ac:dyDescent="0.3">
      <c r="A985" s="66"/>
      <c r="E985" s="66"/>
    </row>
    <row r="986" spans="1:5" x14ac:dyDescent="0.3">
      <c r="A986" s="66"/>
      <c r="E986" s="66"/>
    </row>
    <row r="987" spans="1:5" x14ac:dyDescent="0.3">
      <c r="A987" s="66"/>
      <c r="E987" s="66"/>
    </row>
    <row r="988" spans="1:5" x14ac:dyDescent="0.3">
      <c r="A988" s="66"/>
      <c r="E988" s="66"/>
    </row>
    <row r="989" spans="1:5" x14ac:dyDescent="0.3">
      <c r="A989" s="66"/>
      <c r="E989" s="66"/>
    </row>
    <row r="990" spans="1:5" x14ac:dyDescent="0.3">
      <c r="A990" s="66"/>
      <c r="E990" s="66"/>
    </row>
    <row r="991" spans="1:5" x14ac:dyDescent="0.3">
      <c r="A991" s="66"/>
      <c r="E991" s="66"/>
    </row>
    <row r="992" spans="1:5" x14ac:dyDescent="0.3">
      <c r="A992" s="66"/>
      <c r="E992" s="6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B2BA-2A24-4B3F-A86B-57C84D0AFF31}">
  <dimension ref="A1:G700"/>
  <sheetViews>
    <sheetView workbookViewId="0">
      <selection activeCell="B3" sqref="B3"/>
    </sheetView>
  </sheetViews>
  <sheetFormatPr baseColWidth="10" defaultRowHeight="14.4" x14ac:dyDescent="0.3"/>
  <cols>
    <col min="1" max="1" width="11.77734375" style="59" bestFit="1" customWidth="1"/>
    <col min="2" max="3" width="11.5546875" style="19"/>
  </cols>
  <sheetData>
    <row r="1" spans="1:7" ht="15.6" x14ac:dyDescent="0.3">
      <c r="A1" s="32" t="s">
        <v>63</v>
      </c>
      <c r="B1"/>
      <c r="C1"/>
    </row>
    <row r="2" spans="1:7" x14ac:dyDescent="0.3">
      <c r="A2" s="57" t="s">
        <v>64</v>
      </c>
      <c r="B2" s="57" t="s">
        <v>65</v>
      </c>
      <c r="C2" s="57" t="s">
        <v>66</v>
      </c>
      <c r="D2" s="57" t="s">
        <v>67</v>
      </c>
      <c r="E2" s="67" t="s">
        <v>68</v>
      </c>
      <c r="F2" s="67" t="s">
        <v>65</v>
      </c>
      <c r="G2" s="67" t="s">
        <v>67</v>
      </c>
    </row>
    <row r="3" spans="1:7" x14ac:dyDescent="0.3">
      <c r="A3" s="68" cm="1">
        <f t="array" ref="A3:A32">IFERROR(_xlfn._xlws.SORT(_xlfn._xlws.FILTER(DataTbl[Date],(DataTbl[Date]&gt;=Dashboard!$L$7)*(DataTbl[Date]&lt;=Dashboard!$M$7))),"")</f>
        <v>46289</v>
      </c>
      <c r="B3" s="67" cm="1">
        <f t="array" ref="B3:B32">_xlfn.LET(_xlpm.metric,Dashboard!$L$17,_xlpm.metricCol,CHOOSE(MATCH(_xlpm.metric,{"Views","Total Watch Time (s)","Likes","Saves","Comments","Shares","Profile Visits","New Followers","Engagement","Engagement Rate","Brand Awareness"},0),DataTbl[Views],DataTbl[Total Watch Time (s)],DataTbl[Likes],DataTbl[Saves],DataTbl[Comments],DataTbl[Shares],DataTbl[Profile Visits],DataTbl[New Followers],DataTbl[Engagement],DataTbl[Engagement Rate],DataTbl[Brand Awareness]),IFERROR(_xlfn.XLOOKUP(_xlfn.ANCHORARRAY(A3),DataTbl[Date],_xlpm.metricCol),""))</f>
        <v>37</v>
      </c>
      <c r="C3" s="69" cm="1">
        <f t="array" ref="C3:C32">IFERROR(_xlfn._xlws.SORT(_xlfn._xlws.FILTER(DataTbl[Date],(DataTbl[Date]&gt;=Dashboard!$N$7)*(DataTbl[Date]&lt;=Dashboard!$O$7))),"")</f>
        <v>46259</v>
      </c>
      <c r="D3" s="67" cm="1">
        <f t="array" ref="D3:D32">_xlfn.LET(_xlpm.metric,Dashboard!$L$17,_xlpm.metricCol,CHOOSE(MATCH(_xlpm.metric,{"Views","Total Watch Time (s)","Likes","Saves","Comments","Shares","Profile Visits","New Followers","Engagement","Engagement Rate","Brand Awareness"},0),DataTbl[Views],DataTbl[Total Watch Time (s)],DataTbl[Likes],DataTbl[Saves],DataTbl[Comments],DataTbl[Shares],DataTbl[Profile Visits],DataTbl[New Followers],DataTbl[Engagement],DataTbl[Engagement Rate],DataTbl[Brand Awareness]),IFERROR(_xlfn.XLOOKUP(_xlfn.ANCHORARRAY(C3),DataTbl[Date],_xlpm.metricCol),""))</f>
        <v>51</v>
      </c>
      <c r="E3" s="67" cm="1">
        <f t="array" ref="E3:E32">_xlfn.LET(_xlpm.n,Dashboard!$P$7,_xlfn.SEQUENCE(_xlpm.n))</f>
        <v>1</v>
      </c>
      <c r="F3" s="67" cm="1">
        <f t="array" ref="F3:F32">_xlfn.LET(_xlpm.n,Dashboard!$P$7,IF(_xlfn.SEQUENCE(_xlpm.n,1)&gt;0,_xlfn.ANCHORARRAY(B3)))</f>
        <v>37</v>
      </c>
      <c r="G3" s="67" cm="1">
        <f t="array" ref="G3:G32">_xlfn.LET(_xlpm.n,Dashboard!$P$7,IF(_xlfn.SEQUENCE(_xlpm.n,1)&gt;0,_xlfn.ANCHORARRAY(D3)))</f>
        <v>51</v>
      </c>
    </row>
    <row r="4" spans="1:7" x14ac:dyDescent="0.3">
      <c r="A4" s="58">
        <v>46290</v>
      </c>
      <c r="B4">
        <v>28</v>
      </c>
      <c r="C4">
        <v>46260</v>
      </c>
      <c r="D4">
        <v>18</v>
      </c>
      <c r="E4">
        <v>2</v>
      </c>
      <c r="F4">
        <v>28</v>
      </c>
      <c r="G4">
        <v>18</v>
      </c>
    </row>
    <row r="5" spans="1:7" x14ac:dyDescent="0.3">
      <c r="A5" s="58">
        <v>46291</v>
      </c>
      <c r="B5">
        <v>41</v>
      </c>
      <c r="C5">
        <v>46261</v>
      </c>
      <c r="D5">
        <v>26</v>
      </c>
      <c r="E5">
        <v>3</v>
      </c>
      <c r="F5">
        <v>41</v>
      </c>
      <c r="G5">
        <v>26</v>
      </c>
    </row>
    <row r="6" spans="1:7" x14ac:dyDescent="0.3">
      <c r="A6" s="58">
        <v>46292</v>
      </c>
      <c r="B6">
        <v>42</v>
      </c>
      <c r="C6">
        <v>46262</v>
      </c>
      <c r="D6">
        <v>25</v>
      </c>
      <c r="E6">
        <v>4</v>
      </c>
      <c r="F6">
        <v>42</v>
      </c>
      <c r="G6">
        <v>25</v>
      </c>
    </row>
    <row r="7" spans="1:7" x14ac:dyDescent="0.3">
      <c r="A7" s="58">
        <v>46293</v>
      </c>
      <c r="B7">
        <v>37</v>
      </c>
      <c r="C7">
        <v>46263</v>
      </c>
      <c r="D7">
        <v>28</v>
      </c>
      <c r="E7">
        <v>5</v>
      </c>
      <c r="F7">
        <v>37</v>
      </c>
      <c r="G7">
        <v>28</v>
      </c>
    </row>
    <row r="8" spans="1:7" x14ac:dyDescent="0.3">
      <c r="A8" s="58">
        <v>46294</v>
      </c>
      <c r="B8">
        <v>35</v>
      </c>
      <c r="C8">
        <v>46264</v>
      </c>
      <c r="D8">
        <v>29</v>
      </c>
      <c r="E8">
        <v>6</v>
      </c>
      <c r="F8">
        <v>35</v>
      </c>
      <c r="G8">
        <v>29</v>
      </c>
    </row>
    <row r="9" spans="1:7" x14ac:dyDescent="0.3">
      <c r="A9" s="58">
        <v>46295</v>
      </c>
      <c r="B9">
        <v>23</v>
      </c>
      <c r="C9">
        <v>46265</v>
      </c>
      <c r="D9">
        <v>28</v>
      </c>
      <c r="E9">
        <v>7</v>
      </c>
      <c r="F9">
        <v>23</v>
      </c>
      <c r="G9">
        <v>28</v>
      </c>
    </row>
    <row r="10" spans="1:7" x14ac:dyDescent="0.3">
      <c r="A10" s="58">
        <v>46296</v>
      </c>
      <c r="B10">
        <v>34</v>
      </c>
      <c r="C10">
        <v>46266</v>
      </c>
      <c r="D10">
        <v>44</v>
      </c>
      <c r="E10">
        <v>8</v>
      </c>
      <c r="F10">
        <v>34</v>
      </c>
      <c r="G10">
        <v>44</v>
      </c>
    </row>
    <row r="11" spans="1:7" x14ac:dyDescent="0.3">
      <c r="A11" s="58">
        <v>46297</v>
      </c>
      <c r="B11">
        <v>41</v>
      </c>
      <c r="C11">
        <v>46267</v>
      </c>
      <c r="D11">
        <v>34</v>
      </c>
      <c r="E11">
        <v>9</v>
      </c>
      <c r="F11">
        <v>41</v>
      </c>
      <c r="G11">
        <v>34</v>
      </c>
    </row>
    <row r="12" spans="1:7" x14ac:dyDescent="0.3">
      <c r="A12" s="58">
        <v>46298</v>
      </c>
      <c r="B12">
        <v>38</v>
      </c>
      <c r="C12">
        <v>46268</v>
      </c>
      <c r="D12">
        <v>29</v>
      </c>
      <c r="E12">
        <v>10</v>
      </c>
      <c r="F12">
        <v>38</v>
      </c>
      <c r="G12">
        <v>29</v>
      </c>
    </row>
    <row r="13" spans="1:7" x14ac:dyDescent="0.3">
      <c r="A13" s="58">
        <v>46299</v>
      </c>
      <c r="B13">
        <v>35</v>
      </c>
      <c r="C13">
        <v>46269</v>
      </c>
      <c r="D13">
        <v>27</v>
      </c>
      <c r="E13">
        <v>11</v>
      </c>
      <c r="F13">
        <v>35</v>
      </c>
      <c r="G13">
        <v>27</v>
      </c>
    </row>
    <row r="14" spans="1:7" x14ac:dyDescent="0.3">
      <c r="A14" s="58">
        <v>46300</v>
      </c>
      <c r="B14">
        <v>34</v>
      </c>
      <c r="C14">
        <v>46270</v>
      </c>
      <c r="D14">
        <v>33</v>
      </c>
      <c r="E14">
        <v>12</v>
      </c>
      <c r="F14">
        <v>34</v>
      </c>
      <c r="G14">
        <v>33</v>
      </c>
    </row>
    <row r="15" spans="1:7" x14ac:dyDescent="0.3">
      <c r="A15" s="58">
        <v>46301</v>
      </c>
      <c r="B15">
        <v>45</v>
      </c>
      <c r="C15">
        <v>46271</v>
      </c>
      <c r="D15">
        <v>29</v>
      </c>
      <c r="E15">
        <v>13</v>
      </c>
      <c r="F15">
        <v>45</v>
      </c>
      <c r="G15">
        <v>29</v>
      </c>
    </row>
    <row r="16" spans="1:7" x14ac:dyDescent="0.3">
      <c r="A16" s="58">
        <v>46302</v>
      </c>
      <c r="B16">
        <v>44</v>
      </c>
      <c r="C16">
        <v>46272</v>
      </c>
      <c r="D16">
        <v>36</v>
      </c>
      <c r="E16">
        <v>14</v>
      </c>
      <c r="F16">
        <v>44</v>
      </c>
      <c r="G16">
        <v>36</v>
      </c>
    </row>
    <row r="17" spans="1:7" x14ac:dyDescent="0.3">
      <c r="A17" s="58">
        <v>46303</v>
      </c>
      <c r="B17">
        <v>35</v>
      </c>
      <c r="C17">
        <v>46273</v>
      </c>
      <c r="D17">
        <v>33</v>
      </c>
      <c r="E17">
        <v>15</v>
      </c>
      <c r="F17">
        <v>35</v>
      </c>
      <c r="G17">
        <v>33</v>
      </c>
    </row>
    <row r="18" spans="1:7" x14ac:dyDescent="0.3">
      <c r="A18" s="58">
        <v>46304</v>
      </c>
      <c r="B18">
        <v>40</v>
      </c>
      <c r="C18">
        <v>46274</v>
      </c>
      <c r="D18">
        <v>79</v>
      </c>
      <c r="E18">
        <v>16</v>
      </c>
      <c r="F18">
        <v>40</v>
      </c>
      <c r="G18">
        <v>79</v>
      </c>
    </row>
    <row r="19" spans="1:7" x14ac:dyDescent="0.3">
      <c r="A19" s="58">
        <v>46305</v>
      </c>
      <c r="B19">
        <v>42</v>
      </c>
      <c r="C19">
        <v>46275</v>
      </c>
      <c r="D19">
        <v>44</v>
      </c>
      <c r="E19">
        <v>17</v>
      </c>
      <c r="F19">
        <v>42</v>
      </c>
      <c r="G19">
        <v>44</v>
      </c>
    </row>
    <row r="20" spans="1:7" x14ac:dyDescent="0.3">
      <c r="A20" s="58">
        <v>46306</v>
      </c>
      <c r="B20">
        <v>31</v>
      </c>
      <c r="C20">
        <v>46276</v>
      </c>
      <c r="D20">
        <v>26</v>
      </c>
      <c r="E20">
        <v>18</v>
      </c>
      <c r="F20">
        <v>31</v>
      </c>
      <c r="G20">
        <v>26</v>
      </c>
    </row>
    <row r="21" spans="1:7" x14ac:dyDescent="0.3">
      <c r="A21" s="58">
        <v>46307</v>
      </c>
      <c r="B21">
        <v>35</v>
      </c>
      <c r="C21">
        <v>46277</v>
      </c>
      <c r="D21">
        <v>33</v>
      </c>
      <c r="E21">
        <v>19</v>
      </c>
      <c r="F21">
        <v>35</v>
      </c>
      <c r="G21">
        <v>33</v>
      </c>
    </row>
    <row r="22" spans="1:7" x14ac:dyDescent="0.3">
      <c r="A22" s="58">
        <v>46308</v>
      </c>
      <c r="B22">
        <v>22</v>
      </c>
      <c r="C22">
        <v>46278</v>
      </c>
      <c r="D22">
        <v>36</v>
      </c>
      <c r="E22">
        <v>20</v>
      </c>
      <c r="F22">
        <v>22</v>
      </c>
      <c r="G22">
        <v>36</v>
      </c>
    </row>
    <row r="23" spans="1:7" x14ac:dyDescent="0.3">
      <c r="A23" s="58">
        <v>46309</v>
      </c>
      <c r="B23">
        <v>34</v>
      </c>
      <c r="C23">
        <v>46279</v>
      </c>
      <c r="D23">
        <v>39</v>
      </c>
      <c r="E23">
        <v>21</v>
      </c>
      <c r="F23">
        <v>34</v>
      </c>
      <c r="G23">
        <v>39</v>
      </c>
    </row>
    <row r="24" spans="1:7" x14ac:dyDescent="0.3">
      <c r="A24" s="58">
        <v>46310</v>
      </c>
      <c r="B24">
        <v>22</v>
      </c>
      <c r="C24">
        <v>46280</v>
      </c>
      <c r="D24">
        <v>37</v>
      </c>
      <c r="E24">
        <v>22</v>
      </c>
      <c r="F24">
        <v>22</v>
      </c>
      <c r="G24">
        <v>37</v>
      </c>
    </row>
    <row r="25" spans="1:7" x14ac:dyDescent="0.3">
      <c r="A25" s="58">
        <v>46311</v>
      </c>
      <c r="B25">
        <v>34</v>
      </c>
      <c r="C25">
        <v>46281</v>
      </c>
      <c r="D25">
        <v>34</v>
      </c>
      <c r="E25">
        <v>23</v>
      </c>
      <c r="F25">
        <v>34</v>
      </c>
      <c r="G25">
        <v>34</v>
      </c>
    </row>
    <row r="26" spans="1:7" x14ac:dyDescent="0.3">
      <c r="A26" s="58">
        <v>46312</v>
      </c>
      <c r="B26">
        <v>28</v>
      </c>
      <c r="C26">
        <v>46282</v>
      </c>
      <c r="D26">
        <v>50</v>
      </c>
      <c r="E26">
        <v>24</v>
      </c>
      <c r="F26">
        <v>28</v>
      </c>
      <c r="G26">
        <v>50</v>
      </c>
    </row>
    <row r="27" spans="1:7" x14ac:dyDescent="0.3">
      <c r="A27" s="58">
        <v>46313</v>
      </c>
      <c r="B27">
        <v>21</v>
      </c>
      <c r="C27">
        <v>46283</v>
      </c>
      <c r="D27">
        <v>29</v>
      </c>
      <c r="E27">
        <v>25</v>
      </c>
      <c r="F27">
        <v>21</v>
      </c>
      <c r="G27">
        <v>29</v>
      </c>
    </row>
    <row r="28" spans="1:7" x14ac:dyDescent="0.3">
      <c r="A28" s="58">
        <v>46314</v>
      </c>
      <c r="B28">
        <v>22</v>
      </c>
      <c r="C28">
        <v>46284</v>
      </c>
      <c r="D28">
        <v>69</v>
      </c>
      <c r="E28">
        <v>26</v>
      </c>
      <c r="F28">
        <v>22</v>
      </c>
      <c r="G28">
        <v>69</v>
      </c>
    </row>
    <row r="29" spans="1:7" x14ac:dyDescent="0.3">
      <c r="A29" s="58">
        <v>46315</v>
      </c>
      <c r="B29">
        <v>46</v>
      </c>
      <c r="C29">
        <v>46285</v>
      </c>
      <c r="D29">
        <v>31</v>
      </c>
      <c r="E29">
        <v>27</v>
      </c>
      <c r="F29">
        <v>46</v>
      </c>
      <c r="G29">
        <v>31</v>
      </c>
    </row>
    <row r="30" spans="1:7" x14ac:dyDescent="0.3">
      <c r="A30" s="58">
        <v>46316</v>
      </c>
      <c r="B30">
        <v>46</v>
      </c>
      <c r="C30">
        <v>46286</v>
      </c>
      <c r="D30">
        <v>36</v>
      </c>
      <c r="E30">
        <v>28</v>
      </c>
      <c r="F30">
        <v>46</v>
      </c>
      <c r="G30">
        <v>36</v>
      </c>
    </row>
    <row r="31" spans="1:7" x14ac:dyDescent="0.3">
      <c r="A31" s="58">
        <v>46317</v>
      </c>
      <c r="B31">
        <v>45</v>
      </c>
      <c r="C31">
        <v>46287</v>
      </c>
      <c r="D31">
        <v>23</v>
      </c>
      <c r="E31">
        <v>29</v>
      </c>
      <c r="F31">
        <v>45</v>
      </c>
      <c r="G31">
        <v>23</v>
      </c>
    </row>
    <row r="32" spans="1:7" x14ac:dyDescent="0.3">
      <c r="A32" s="58">
        <v>46318</v>
      </c>
      <c r="B32">
        <v>31</v>
      </c>
      <c r="C32">
        <v>46288</v>
      </c>
      <c r="D32">
        <v>32</v>
      </c>
      <c r="E32">
        <v>30</v>
      </c>
      <c r="F32">
        <v>31</v>
      </c>
      <c r="G32">
        <v>32</v>
      </c>
    </row>
    <row r="33" spans="1:3" x14ac:dyDescent="0.3">
      <c r="A33" s="58"/>
      <c r="B33"/>
      <c r="C33"/>
    </row>
    <row r="34" spans="1:3" x14ac:dyDescent="0.3">
      <c r="A34" s="58"/>
      <c r="B34"/>
      <c r="C34"/>
    </row>
    <row r="35" spans="1:3" x14ac:dyDescent="0.3">
      <c r="A35" s="58"/>
      <c r="B35"/>
      <c r="C35"/>
    </row>
    <row r="36" spans="1:3" x14ac:dyDescent="0.3">
      <c r="A36" s="58"/>
      <c r="B36"/>
      <c r="C36"/>
    </row>
    <row r="37" spans="1:3" x14ac:dyDescent="0.3">
      <c r="A37" s="58"/>
      <c r="B37"/>
      <c r="C37"/>
    </row>
    <row r="38" spans="1:3" x14ac:dyDescent="0.3">
      <c r="A38" s="58"/>
      <c r="B38"/>
      <c r="C38"/>
    </row>
    <row r="39" spans="1:3" x14ac:dyDescent="0.3">
      <c r="A39" s="58"/>
      <c r="B39"/>
      <c r="C39"/>
    </row>
    <row r="40" spans="1:3" x14ac:dyDescent="0.3">
      <c r="A40" s="58"/>
      <c r="B40"/>
      <c r="C40"/>
    </row>
    <row r="41" spans="1:3" x14ac:dyDescent="0.3">
      <c r="A41" s="58"/>
      <c r="B41"/>
      <c r="C41"/>
    </row>
    <row r="42" spans="1:3" x14ac:dyDescent="0.3">
      <c r="A42" s="58"/>
      <c r="B42"/>
      <c r="C42"/>
    </row>
    <row r="43" spans="1:3" x14ac:dyDescent="0.3">
      <c r="A43" s="58"/>
      <c r="B43"/>
      <c r="C43"/>
    </row>
    <row r="44" spans="1:3" x14ac:dyDescent="0.3">
      <c r="A44" s="58"/>
      <c r="B44"/>
      <c r="C44"/>
    </row>
    <row r="45" spans="1:3" x14ac:dyDescent="0.3">
      <c r="A45" s="58"/>
      <c r="B45"/>
      <c r="C45"/>
    </row>
    <row r="46" spans="1:3" x14ac:dyDescent="0.3">
      <c r="A46" s="58"/>
      <c r="B46"/>
      <c r="C46"/>
    </row>
    <row r="47" spans="1:3" x14ac:dyDescent="0.3">
      <c r="A47" s="58"/>
      <c r="B47"/>
      <c r="C47"/>
    </row>
    <row r="48" spans="1:3" x14ac:dyDescent="0.3">
      <c r="A48" s="58"/>
      <c r="B48"/>
      <c r="C48"/>
    </row>
    <row r="49" spans="1:3" x14ac:dyDescent="0.3">
      <c r="A49" s="58"/>
      <c r="B49"/>
      <c r="C49"/>
    </row>
    <row r="50" spans="1:3" x14ac:dyDescent="0.3">
      <c r="A50" s="58"/>
      <c r="B50"/>
      <c r="C50"/>
    </row>
    <row r="51" spans="1:3" x14ac:dyDescent="0.3">
      <c r="A51" s="58"/>
      <c r="B51"/>
      <c r="C51"/>
    </row>
    <row r="52" spans="1:3" x14ac:dyDescent="0.3">
      <c r="A52" s="58"/>
      <c r="B52"/>
      <c r="C52"/>
    </row>
    <row r="53" spans="1:3" x14ac:dyDescent="0.3">
      <c r="A53" s="58"/>
      <c r="B53"/>
      <c r="C53"/>
    </row>
    <row r="54" spans="1:3" x14ac:dyDescent="0.3">
      <c r="A54" s="58"/>
      <c r="B54"/>
      <c r="C54"/>
    </row>
    <row r="55" spans="1:3" x14ac:dyDescent="0.3">
      <c r="A55" s="58"/>
      <c r="B55"/>
      <c r="C55"/>
    </row>
    <row r="56" spans="1:3" x14ac:dyDescent="0.3">
      <c r="A56" s="58"/>
      <c r="B56"/>
      <c r="C56"/>
    </row>
    <row r="57" spans="1:3" x14ac:dyDescent="0.3">
      <c r="A57" s="58"/>
      <c r="B57"/>
      <c r="C57"/>
    </row>
    <row r="58" spans="1:3" x14ac:dyDescent="0.3">
      <c r="A58" s="58"/>
      <c r="B58"/>
      <c r="C58"/>
    </row>
    <row r="59" spans="1:3" x14ac:dyDescent="0.3">
      <c r="A59" s="58"/>
      <c r="B59"/>
      <c r="C59"/>
    </row>
    <row r="60" spans="1:3" x14ac:dyDescent="0.3">
      <c r="A60" s="58"/>
      <c r="B60"/>
      <c r="C60"/>
    </row>
    <row r="61" spans="1:3" x14ac:dyDescent="0.3">
      <c r="A61" s="58"/>
      <c r="B61"/>
      <c r="C61"/>
    </row>
    <row r="62" spans="1:3" x14ac:dyDescent="0.3">
      <c r="A62" s="58"/>
      <c r="B62"/>
      <c r="C62"/>
    </row>
    <row r="63" spans="1:3" x14ac:dyDescent="0.3">
      <c r="A63" s="58"/>
      <c r="B63"/>
      <c r="C63"/>
    </row>
    <row r="64" spans="1:3" x14ac:dyDescent="0.3">
      <c r="A64" s="58"/>
      <c r="B64"/>
      <c r="C64"/>
    </row>
    <row r="65" spans="1:3" x14ac:dyDescent="0.3">
      <c r="A65" s="58"/>
      <c r="B65"/>
      <c r="C65"/>
    </row>
    <row r="66" spans="1:3" x14ac:dyDescent="0.3">
      <c r="A66" s="58"/>
      <c r="B66"/>
      <c r="C66"/>
    </row>
    <row r="67" spans="1:3" x14ac:dyDescent="0.3">
      <c r="A67" s="58"/>
      <c r="B67"/>
      <c r="C67"/>
    </row>
    <row r="68" spans="1:3" x14ac:dyDescent="0.3">
      <c r="A68" s="58"/>
      <c r="B68"/>
      <c r="C68"/>
    </row>
    <row r="69" spans="1:3" x14ac:dyDescent="0.3">
      <c r="A69" s="58"/>
      <c r="B69"/>
      <c r="C69"/>
    </row>
    <row r="70" spans="1:3" x14ac:dyDescent="0.3">
      <c r="A70" s="58"/>
      <c r="B70"/>
      <c r="C70"/>
    </row>
    <row r="71" spans="1:3" x14ac:dyDescent="0.3">
      <c r="A71" s="58"/>
      <c r="B71"/>
      <c r="C71"/>
    </row>
    <row r="72" spans="1:3" x14ac:dyDescent="0.3">
      <c r="A72" s="58"/>
      <c r="B72"/>
      <c r="C72"/>
    </row>
    <row r="73" spans="1:3" x14ac:dyDescent="0.3">
      <c r="A73" s="58"/>
      <c r="B73"/>
      <c r="C73"/>
    </row>
    <row r="74" spans="1:3" x14ac:dyDescent="0.3">
      <c r="A74" s="58"/>
      <c r="B74"/>
      <c r="C74"/>
    </row>
    <row r="75" spans="1:3" x14ac:dyDescent="0.3">
      <c r="A75" s="58"/>
      <c r="B75"/>
      <c r="C75"/>
    </row>
    <row r="76" spans="1:3" x14ac:dyDescent="0.3">
      <c r="A76" s="58"/>
      <c r="B76"/>
      <c r="C76"/>
    </row>
    <row r="77" spans="1:3" x14ac:dyDescent="0.3">
      <c r="A77" s="58"/>
      <c r="B77"/>
      <c r="C77"/>
    </row>
    <row r="78" spans="1:3" x14ac:dyDescent="0.3">
      <c r="A78" s="58"/>
      <c r="B78"/>
      <c r="C78"/>
    </row>
    <row r="79" spans="1:3" x14ac:dyDescent="0.3">
      <c r="A79" s="58"/>
      <c r="B79"/>
      <c r="C79"/>
    </row>
    <row r="80" spans="1:3" x14ac:dyDescent="0.3">
      <c r="A80" s="58"/>
      <c r="B80"/>
      <c r="C80"/>
    </row>
    <row r="81" spans="1:3" x14ac:dyDescent="0.3">
      <c r="A81" s="58"/>
      <c r="B81"/>
      <c r="C81"/>
    </row>
    <row r="82" spans="1:3" x14ac:dyDescent="0.3">
      <c r="A82" s="58"/>
      <c r="B82"/>
      <c r="C82"/>
    </row>
    <row r="83" spans="1:3" x14ac:dyDescent="0.3">
      <c r="A83" s="58"/>
      <c r="B83"/>
      <c r="C83"/>
    </row>
    <row r="84" spans="1:3" x14ac:dyDescent="0.3">
      <c r="A84" s="58"/>
      <c r="B84"/>
      <c r="C84"/>
    </row>
    <row r="85" spans="1:3" x14ac:dyDescent="0.3">
      <c r="A85" s="58"/>
      <c r="B85"/>
      <c r="C85"/>
    </row>
    <row r="86" spans="1:3" x14ac:dyDescent="0.3">
      <c r="A86" s="58"/>
      <c r="B86"/>
      <c r="C86"/>
    </row>
    <row r="87" spans="1:3" x14ac:dyDescent="0.3">
      <c r="A87" s="58"/>
      <c r="B87"/>
      <c r="C87"/>
    </row>
    <row r="88" spans="1:3" x14ac:dyDescent="0.3">
      <c r="A88" s="58"/>
      <c r="B88"/>
      <c r="C88"/>
    </row>
    <row r="89" spans="1:3" x14ac:dyDescent="0.3">
      <c r="A89" s="58"/>
      <c r="B89"/>
      <c r="C89"/>
    </row>
    <row r="90" spans="1:3" x14ac:dyDescent="0.3">
      <c r="A90" s="58"/>
      <c r="B90"/>
      <c r="C90"/>
    </row>
    <row r="91" spans="1:3" x14ac:dyDescent="0.3">
      <c r="A91" s="58"/>
      <c r="B91"/>
      <c r="C91"/>
    </row>
    <row r="92" spans="1:3" x14ac:dyDescent="0.3">
      <c r="A92" s="58"/>
      <c r="B92"/>
      <c r="C92"/>
    </row>
    <row r="93" spans="1:3" x14ac:dyDescent="0.3">
      <c r="A93" s="58"/>
      <c r="B93"/>
      <c r="C93"/>
    </row>
    <row r="94" spans="1:3" x14ac:dyDescent="0.3">
      <c r="A94" s="58"/>
      <c r="B94"/>
      <c r="C94"/>
    </row>
    <row r="95" spans="1:3" x14ac:dyDescent="0.3">
      <c r="A95" s="58"/>
      <c r="B95"/>
      <c r="C95"/>
    </row>
    <row r="96" spans="1:3" x14ac:dyDescent="0.3">
      <c r="A96" s="58"/>
      <c r="B96"/>
      <c r="C96"/>
    </row>
    <row r="97" spans="1:3" x14ac:dyDescent="0.3">
      <c r="A97" s="58"/>
      <c r="B97"/>
      <c r="C97"/>
    </row>
    <row r="98" spans="1:3" x14ac:dyDescent="0.3">
      <c r="A98" s="58"/>
      <c r="B98"/>
      <c r="C98"/>
    </row>
    <row r="99" spans="1:3" x14ac:dyDescent="0.3">
      <c r="A99" s="58"/>
      <c r="B99"/>
      <c r="C99"/>
    </row>
    <row r="100" spans="1:3" x14ac:dyDescent="0.3">
      <c r="A100" s="58"/>
      <c r="B100"/>
      <c r="C100"/>
    </row>
    <row r="101" spans="1:3" x14ac:dyDescent="0.3">
      <c r="A101" s="58"/>
      <c r="B101"/>
      <c r="C101"/>
    </row>
    <row r="102" spans="1:3" x14ac:dyDescent="0.3">
      <c r="A102" s="58"/>
      <c r="B102"/>
      <c r="C102"/>
    </row>
    <row r="103" spans="1:3" x14ac:dyDescent="0.3">
      <c r="A103" s="58"/>
      <c r="B103"/>
      <c r="C103"/>
    </row>
    <row r="104" spans="1:3" x14ac:dyDescent="0.3">
      <c r="A104" s="58"/>
      <c r="B104"/>
      <c r="C104"/>
    </row>
    <row r="105" spans="1:3" x14ac:dyDescent="0.3">
      <c r="A105" s="58"/>
      <c r="B105"/>
      <c r="C105"/>
    </row>
    <row r="106" spans="1:3" x14ac:dyDescent="0.3">
      <c r="A106" s="58"/>
      <c r="B106"/>
      <c r="C106"/>
    </row>
    <row r="107" spans="1:3" x14ac:dyDescent="0.3">
      <c r="A107" s="58"/>
      <c r="B107"/>
      <c r="C107"/>
    </row>
    <row r="108" spans="1:3" x14ac:dyDescent="0.3">
      <c r="A108" s="58"/>
      <c r="B108"/>
      <c r="C108"/>
    </row>
    <row r="109" spans="1:3" x14ac:dyDescent="0.3">
      <c r="A109" s="58"/>
      <c r="B109"/>
      <c r="C109"/>
    </row>
    <row r="110" spans="1:3" x14ac:dyDescent="0.3">
      <c r="A110" s="58"/>
      <c r="B110"/>
      <c r="C110"/>
    </row>
    <row r="111" spans="1:3" x14ac:dyDescent="0.3">
      <c r="A111" s="58"/>
      <c r="B111"/>
      <c r="C111"/>
    </row>
    <row r="112" spans="1:3" x14ac:dyDescent="0.3">
      <c r="A112" s="58"/>
      <c r="B112"/>
      <c r="C112"/>
    </row>
    <row r="113" spans="1:3" x14ac:dyDescent="0.3">
      <c r="A113" s="58"/>
      <c r="B113"/>
      <c r="C113"/>
    </row>
    <row r="114" spans="1:3" x14ac:dyDescent="0.3">
      <c r="A114" s="58"/>
      <c r="B114"/>
      <c r="C114"/>
    </row>
    <row r="115" spans="1:3" x14ac:dyDescent="0.3">
      <c r="A115" s="58"/>
      <c r="B115"/>
      <c r="C115"/>
    </row>
    <row r="116" spans="1:3" x14ac:dyDescent="0.3">
      <c r="A116" s="58"/>
      <c r="B116"/>
      <c r="C116"/>
    </row>
    <row r="117" spans="1:3" x14ac:dyDescent="0.3">
      <c r="A117" s="58"/>
      <c r="B117"/>
      <c r="C117"/>
    </row>
    <row r="118" spans="1:3" x14ac:dyDescent="0.3">
      <c r="A118" s="58"/>
      <c r="B118"/>
      <c r="C118"/>
    </row>
    <row r="119" spans="1:3" x14ac:dyDescent="0.3">
      <c r="A119" s="58"/>
      <c r="B119"/>
      <c r="C119"/>
    </row>
    <row r="120" spans="1:3" x14ac:dyDescent="0.3">
      <c r="A120" s="58"/>
      <c r="B120"/>
      <c r="C120"/>
    </row>
    <row r="121" spans="1:3" x14ac:dyDescent="0.3">
      <c r="A121" s="58"/>
      <c r="B121"/>
      <c r="C121"/>
    </row>
    <row r="122" spans="1:3" x14ac:dyDescent="0.3">
      <c r="A122" s="58"/>
      <c r="B122"/>
      <c r="C122"/>
    </row>
    <row r="123" spans="1:3" x14ac:dyDescent="0.3">
      <c r="A123" s="58"/>
      <c r="B123"/>
      <c r="C123"/>
    </row>
    <row r="124" spans="1:3" x14ac:dyDescent="0.3">
      <c r="A124" s="58"/>
      <c r="B124"/>
      <c r="C124"/>
    </row>
    <row r="125" spans="1:3" x14ac:dyDescent="0.3">
      <c r="A125" s="58"/>
      <c r="B125"/>
      <c r="C125"/>
    </row>
    <row r="126" spans="1:3" x14ac:dyDescent="0.3">
      <c r="A126" s="58"/>
      <c r="B126"/>
      <c r="C126"/>
    </row>
    <row r="127" spans="1:3" x14ac:dyDescent="0.3">
      <c r="A127" s="58"/>
      <c r="B127"/>
      <c r="C127"/>
    </row>
    <row r="128" spans="1:3" x14ac:dyDescent="0.3">
      <c r="A128" s="58"/>
      <c r="B128"/>
      <c r="C128"/>
    </row>
    <row r="129" spans="1:3" x14ac:dyDescent="0.3">
      <c r="A129" s="58"/>
      <c r="B129"/>
      <c r="C129"/>
    </row>
    <row r="130" spans="1:3" x14ac:dyDescent="0.3">
      <c r="A130" s="58"/>
      <c r="B130"/>
      <c r="C130"/>
    </row>
    <row r="131" spans="1:3" x14ac:dyDescent="0.3">
      <c r="A131" s="58"/>
      <c r="B131"/>
      <c r="C131"/>
    </row>
    <row r="132" spans="1:3" x14ac:dyDescent="0.3">
      <c r="A132" s="58"/>
      <c r="B132"/>
      <c r="C132"/>
    </row>
    <row r="133" spans="1:3" x14ac:dyDescent="0.3">
      <c r="A133" s="58"/>
      <c r="B133"/>
      <c r="C133"/>
    </row>
    <row r="134" spans="1:3" x14ac:dyDescent="0.3">
      <c r="A134" s="58"/>
      <c r="B134"/>
      <c r="C134"/>
    </row>
    <row r="135" spans="1:3" x14ac:dyDescent="0.3">
      <c r="A135" s="58"/>
      <c r="B135"/>
      <c r="C135"/>
    </row>
    <row r="136" spans="1:3" x14ac:dyDescent="0.3">
      <c r="A136" s="58"/>
      <c r="B136"/>
      <c r="C136"/>
    </row>
    <row r="137" spans="1:3" x14ac:dyDescent="0.3">
      <c r="A137" s="58"/>
      <c r="B137"/>
      <c r="C137"/>
    </row>
    <row r="138" spans="1:3" x14ac:dyDescent="0.3">
      <c r="A138" s="58"/>
      <c r="B138"/>
      <c r="C138"/>
    </row>
    <row r="139" spans="1:3" x14ac:dyDescent="0.3">
      <c r="A139" s="58"/>
      <c r="B139"/>
      <c r="C139"/>
    </row>
    <row r="140" spans="1:3" x14ac:dyDescent="0.3">
      <c r="A140" s="58"/>
      <c r="B140"/>
      <c r="C140"/>
    </row>
    <row r="141" spans="1:3" x14ac:dyDescent="0.3">
      <c r="A141" s="58"/>
      <c r="B141"/>
      <c r="C141"/>
    </row>
    <row r="142" spans="1:3" x14ac:dyDescent="0.3">
      <c r="A142" s="58"/>
      <c r="B142"/>
      <c r="C142"/>
    </row>
    <row r="143" spans="1:3" x14ac:dyDescent="0.3">
      <c r="A143" s="58"/>
      <c r="B143"/>
      <c r="C143"/>
    </row>
    <row r="144" spans="1:3" x14ac:dyDescent="0.3">
      <c r="A144" s="58"/>
      <c r="B144"/>
      <c r="C144"/>
    </row>
    <row r="145" spans="1:3" x14ac:dyDescent="0.3">
      <c r="A145" s="58"/>
      <c r="B145"/>
      <c r="C145"/>
    </row>
    <row r="146" spans="1:3" x14ac:dyDescent="0.3">
      <c r="A146" s="58"/>
      <c r="B146"/>
      <c r="C146"/>
    </row>
    <row r="147" spans="1:3" x14ac:dyDescent="0.3">
      <c r="A147" s="58"/>
      <c r="B147"/>
      <c r="C147"/>
    </row>
    <row r="148" spans="1:3" x14ac:dyDescent="0.3">
      <c r="A148" s="58"/>
      <c r="B148"/>
      <c r="C148"/>
    </row>
    <row r="149" spans="1:3" x14ac:dyDescent="0.3">
      <c r="A149" s="58"/>
      <c r="B149"/>
      <c r="C149"/>
    </row>
    <row r="150" spans="1:3" x14ac:dyDescent="0.3">
      <c r="A150" s="58"/>
      <c r="B150"/>
      <c r="C150"/>
    </row>
    <row r="151" spans="1:3" x14ac:dyDescent="0.3">
      <c r="A151" s="58"/>
      <c r="B151"/>
      <c r="C151"/>
    </row>
    <row r="152" spans="1:3" x14ac:dyDescent="0.3">
      <c r="A152" s="58"/>
      <c r="B152"/>
      <c r="C152"/>
    </row>
    <row r="153" spans="1:3" x14ac:dyDescent="0.3">
      <c r="A153" s="58"/>
      <c r="B153"/>
      <c r="C153"/>
    </row>
    <row r="154" spans="1:3" x14ac:dyDescent="0.3">
      <c r="A154" s="58"/>
      <c r="B154"/>
      <c r="C154"/>
    </row>
    <row r="155" spans="1:3" x14ac:dyDescent="0.3">
      <c r="A155" s="58"/>
      <c r="B155"/>
      <c r="C155"/>
    </row>
    <row r="156" spans="1:3" x14ac:dyDescent="0.3">
      <c r="A156" s="58"/>
      <c r="B156"/>
      <c r="C156"/>
    </row>
    <row r="157" spans="1:3" x14ac:dyDescent="0.3">
      <c r="A157" s="58"/>
      <c r="B157"/>
      <c r="C157"/>
    </row>
    <row r="158" spans="1:3" x14ac:dyDescent="0.3">
      <c r="A158" s="58"/>
      <c r="B158"/>
      <c r="C158"/>
    </row>
    <row r="159" spans="1:3" x14ac:dyDescent="0.3">
      <c r="A159" s="58"/>
      <c r="B159"/>
      <c r="C159"/>
    </row>
    <row r="160" spans="1:3" x14ac:dyDescent="0.3">
      <c r="A160" s="58"/>
      <c r="B160"/>
      <c r="C160"/>
    </row>
    <row r="161" spans="1:3" x14ac:dyDescent="0.3">
      <c r="A161" s="58"/>
      <c r="B161"/>
      <c r="C161"/>
    </row>
    <row r="162" spans="1:3" x14ac:dyDescent="0.3">
      <c r="A162" s="58"/>
      <c r="B162"/>
      <c r="C162"/>
    </row>
    <row r="163" spans="1:3" x14ac:dyDescent="0.3">
      <c r="A163" s="58"/>
      <c r="B163"/>
      <c r="C163"/>
    </row>
    <row r="164" spans="1:3" x14ac:dyDescent="0.3">
      <c r="A164" s="58"/>
      <c r="B164"/>
      <c r="C164"/>
    </row>
    <row r="165" spans="1:3" x14ac:dyDescent="0.3">
      <c r="A165" s="58"/>
      <c r="B165"/>
      <c r="C165"/>
    </row>
    <row r="166" spans="1:3" x14ac:dyDescent="0.3">
      <c r="A166" s="58"/>
      <c r="B166"/>
      <c r="C166"/>
    </row>
    <row r="167" spans="1:3" x14ac:dyDescent="0.3">
      <c r="A167" s="58"/>
      <c r="B167"/>
      <c r="C167"/>
    </row>
    <row r="168" spans="1:3" x14ac:dyDescent="0.3">
      <c r="A168" s="58"/>
      <c r="B168"/>
      <c r="C168"/>
    </row>
    <row r="169" spans="1:3" x14ac:dyDescent="0.3">
      <c r="A169" s="58"/>
      <c r="B169"/>
      <c r="C169"/>
    </row>
    <row r="170" spans="1:3" x14ac:dyDescent="0.3">
      <c r="A170" s="58"/>
      <c r="B170"/>
      <c r="C170"/>
    </row>
    <row r="171" spans="1:3" x14ac:dyDescent="0.3">
      <c r="A171" s="58"/>
      <c r="B171"/>
      <c r="C171"/>
    </row>
    <row r="172" spans="1:3" x14ac:dyDescent="0.3">
      <c r="A172" s="58"/>
      <c r="B172"/>
      <c r="C172"/>
    </row>
    <row r="173" spans="1:3" x14ac:dyDescent="0.3">
      <c r="A173" s="58"/>
      <c r="B173"/>
      <c r="C173"/>
    </row>
    <row r="174" spans="1:3" x14ac:dyDescent="0.3">
      <c r="A174" s="58"/>
      <c r="B174"/>
      <c r="C174"/>
    </row>
    <row r="175" spans="1:3" x14ac:dyDescent="0.3">
      <c r="A175" s="58"/>
      <c r="B175"/>
      <c r="C175"/>
    </row>
    <row r="176" spans="1:3" x14ac:dyDescent="0.3">
      <c r="A176" s="58"/>
      <c r="B176"/>
      <c r="C176"/>
    </row>
    <row r="177" spans="1:3" x14ac:dyDescent="0.3">
      <c r="A177" s="58"/>
      <c r="B177"/>
      <c r="C177"/>
    </row>
    <row r="178" spans="1:3" x14ac:dyDescent="0.3">
      <c r="A178" s="58"/>
      <c r="B178"/>
      <c r="C178"/>
    </row>
    <row r="179" spans="1:3" x14ac:dyDescent="0.3">
      <c r="A179" s="58"/>
      <c r="B179"/>
      <c r="C179"/>
    </row>
    <row r="180" spans="1:3" x14ac:dyDescent="0.3">
      <c r="A180" s="58"/>
      <c r="B180"/>
      <c r="C180"/>
    </row>
    <row r="181" spans="1:3" x14ac:dyDescent="0.3">
      <c r="A181" s="58"/>
      <c r="B181"/>
      <c r="C181"/>
    </row>
    <row r="182" spans="1:3" x14ac:dyDescent="0.3">
      <c r="A182" s="58"/>
      <c r="B182"/>
      <c r="C182"/>
    </row>
    <row r="183" spans="1:3" x14ac:dyDescent="0.3">
      <c r="A183" s="58"/>
      <c r="B183"/>
      <c r="C183"/>
    </row>
    <row r="184" spans="1:3" x14ac:dyDescent="0.3">
      <c r="A184" s="58"/>
      <c r="B184"/>
      <c r="C184"/>
    </row>
    <row r="185" spans="1:3" x14ac:dyDescent="0.3">
      <c r="A185" s="58"/>
      <c r="B185"/>
      <c r="C185"/>
    </row>
    <row r="186" spans="1:3" x14ac:dyDescent="0.3">
      <c r="A186" s="58"/>
      <c r="B186"/>
      <c r="C186"/>
    </row>
    <row r="187" spans="1:3" x14ac:dyDescent="0.3">
      <c r="A187" s="58"/>
      <c r="B187"/>
      <c r="C187"/>
    </row>
    <row r="188" spans="1:3" x14ac:dyDescent="0.3">
      <c r="A188" s="58"/>
      <c r="B188"/>
      <c r="C188"/>
    </row>
    <row r="189" spans="1:3" x14ac:dyDescent="0.3">
      <c r="A189" s="58"/>
      <c r="B189"/>
      <c r="C189"/>
    </row>
    <row r="190" spans="1:3" x14ac:dyDescent="0.3">
      <c r="A190" s="58"/>
      <c r="B190"/>
      <c r="C190"/>
    </row>
    <row r="191" spans="1:3" x14ac:dyDescent="0.3">
      <c r="A191" s="58"/>
      <c r="B191"/>
      <c r="C191"/>
    </row>
    <row r="192" spans="1:3" x14ac:dyDescent="0.3">
      <c r="A192" s="58"/>
      <c r="B192"/>
      <c r="C192"/>
    </row>
    <row r="193" spans="1:3" x14ac:dyDescent="0.3">
      <c r="A193" s="58"/>
      <c r="B193"/>
      <c r="C193"/>
    </row>
    <row r="194" spans="1:3" x14ac:dyDescent="0.3">
      <c r="A194" s="58"/>
      <c r="B194"/>
      <c r="C194"/>
    </row>
    <row r="195" spans="1:3" x14ac:dyDescent="0.3">
      <c r="A195" s="58"/>
      <c r="B195"/>
      <c r="C195"/>
    </row>
    <row r="196" spans="1:3" x14ac:dyDescent="0.3">
      <c r="A196" s="58"/>
      <c r="B196"/>
      <c r="C196"/>
    </row>
    <row r="197" spans="1:3" x14ac:dyDescent="0.3">
      <c r="A197" s="58"/>
      <c r="B197"/>
      <c r="C197"/>
    </row>
    <row r="198" spans="1:3" x14ac:dyDescent="0.3">
      <c r="A198" s="58"/>
      <c r="B198"/>
      <c r="C198"/>
    </row>
    <row r="199" spans="1:3" x14ac:dyDescent="0.3">
      <c r="A199" s="58"/>
      <c r="B199"/>
      <c r="C199"/>
    </row>
    <row r="200" spans="1:3" x14ac:dyDescent="0.3">
      <c r="A200" s="58"/>
      <c r="B200"/>
      <c r="C200"/>
    </row>
    <row r="201" spans="1:3" x14ac:dyDescent="0.3">
      <c r="A201" s="58"/>
      <c r="B201"/>
      <c r="C201"/>
    </row>
    <row r="202" spans="1:3" x14ac:dyDescent="0.3">
      <c r="A202" s="58"/>
      <c r="B202"/>
      <c r="C202"/>
    </row>
    <row r="203" spans="1:3" x14ac:dyDescent="0.3">
      <c r="A203" s="58"/>
      <c r="B203"/>
      <c r="C203"/>
    </row>
    <row r="204" spans="1:3" x14ac:dyDescent="0.3">
      <c r="A204" s="58"/>
      <c r="B204"/>
      <c r="C204"/>
    </row>
    <row r="205" spans="1:3" x14ac:dyDescent="0.3">
      <c r="A205" s="58"/>
      <c r="B205"/>
      <c r="C205"/>
    </row>
    <row r="206" spans="1:3" x14ac:dyDescent="0.3">
      <c r="A206" s="58"/>
      <c r="B206"/>
      <c r="C206"/>
    </row>
    <row r="207" spans="1:3" x14ac:dyDescent="0.3">
      <c r="A207" s="58"/>
      <c r="B207"/>
      <c r="C207"/>
    </row>
    <row r="208" spans="1:3" x14ac:dyDescent="0.3">
      <c r="A208" s="58"/>
      <c r="B208"/>
      <c r="C208"/>
    </row>
    <row r="209" spans="1:3" x14ac:dyDescent="0.3">
      <c r="A209" s="58"/>
      <c r="B209"/>
      <c r="C209"/>
    </row>
    <row r="210" spans="1:3" x14ac:dyDescent="0.3">
      <c r="A210" s="58"/>
      <c r="B210"/>
      <c r="C210"/>
    </row>
    <row r="211" spans="1:3" x14ac:dyDescent="0.3">
      <c r="A211" s="58"/>
      <c r="B211"/>
      <c r="C211"/>
    </row>
    <row r="212" spans="1:3" x14ac:dyDescent="0.3">
      <c r="A212" s="58"/>
      <c r="B212"/>
      <c r="C212"/>
    </row>
    <row r="213" spans="1:3" x14ac:dyDescent="0.3">
      <c r="A213" s="58"/>
      <c r="B213"/>
      <c r="C213"/>
    </row>
    <row r="214" spans="1:3" x14ac:dyDescent="0.3">
      <c r="A214" s="58"/>
      <c r="B214"/>
      <c r="C214"/>
    </row>
    <row r="215" spans="1:3" x14ac:dyDescent="0.3">
      <c r="A215" s="58"/>
      <c r="B215"/>
      <c r="C215"/>
    </row>
    <row r="216" spans="1:3" x14ac:dyDescent="0.3">
      <c r="A216" s="58"/>
      <c r="B216"/>
      <c r="C216"/>
    </row>
    <row r="217" spans="1:3" x14ac:dyDescent="0.3">
      <c r="A217" s="58"/>
      <c r="B217"/>
      <c r="C217"/>
    </row>
    <row r="218" spans="1:3" x14ac:dyDescent="0.3">
      <c r="A218" s="58"/>
      <c r="B218"/>
      <c r="C218"/>
    </row>
    <row r="219" spans="1:3" x14ac:dyDescent="0.3">
      <c r="A219" s="58"/>
      <c r="B219"/>
      <c r="C219"/>
    </row>
    <row r="220" spans="1:3" x14ac:dyDescent="0.3">
      <c r="A220" s="58"/>
      <c r="B220"/>
      <c r="C220"/>
    </row>
    <row r="221" spans="1:3" x14ac:dyDescent="0.3">
      <c r="A221" s="58"/>
      <c r="B221"/>
      <c r="C221"/>
    </row>
    <row r="222" spans="1:3" x14ac:dyDescent="0.3">
      <c r="A222" s="58"/>
      <c r="B222"/>
      <c r="C222"/>
    </row>
    <row r="223" spans="1:3" x14ac:dyDescent="0.3">
      <c r="A223" s="58"/>
      <c r="B223"/>
      <c r="C223"/>
    </row>
    <row r="224" spans="1:3" x14ac:dyDescent="0.3">
      <c r="A224" s="58"/>
      <c r="B224"/>
      <c r="C224"/>
    </row>
    <row r="225" spans="1:3" x14ac:dyDescent="0.3">
      <c r="A225" s="58"/>
      <c r="B225"/>
      <c r="C225"/>
    </row>
    <row r="226" spans="1:3" x14ac:dyDescent="0.3">
      <c r="A226" s="58"/>
      <c r="B226"/>
      <c r="C226"/>
    </row>
    <row r="227" spans="1:3" x14ac:dyDescent="0.3">
      <c r="A227" s="58"/>
      <c r="B227"/>
      <c r="C227"/>
    </row>
    <row r="228" spans="1:3" x14ac:dyDescent="0.3">
      <c r="A228" s="58"/>
      <c r="B228"/>
      <c r="C228"/>
    </row>
    <row r="229" spans="1:3" x14ac:dyDescent="0.3">
      <c r="A229" s="58"/>
      <c r="B229"/>
      <c r="C229"/>
    </row>
    <row r="230" spans="1:3" x14ac:dyDescent="0.3">
      <c r="A230" s="58"/>
      <c r="B230"/>
      <c r="C230"/>
    </row>
    <row r="231" spans="1:3" x14ac:dyDescent="0.3">
      <c r="A231" s="58"/>
      <c r="B231"/>
      <c r="C231"/>
    </row>
    <row r="232" spans="1:3" x14ac:dyDescent="0.3">
      <c r="A232" s="58"/>
      <c r="B232"/>
      <c r="C232"/>
    </row>
    <row r="233" spans="1:3" x14ac:dyDescent="0.3">
      <c r="A233" s="58"/>
      <c r="B233"/>
      <c r="C233"/>
    </row>
    <row r="234" spans="1:3" x14ac:dyDescent="0.3">
      <c r="A234" s="58"/>
      <c r="B234"/>
      <c r="C234"/>
    </row>
    <row r="235" spans="1:3" x14ac:dyDescent="0.3">
      <c r="A235" s="58"/>
      <c r="B235"/>
      <c r="C235"/>
    </row>
    <row r="236" spans="1:3" x14ac:dyDescent="0.3">
      <c r="A236" s="58"/>
      <c r="B236"/>
      <c r="C236"/>
    </row>
    <row r="237" spans="1:3" x14ac:dyDescent="0.3">
      <c r="A237" s="58"/>
      <c r="B237"/>
      <c r="C237"/>
    </row>
    <row r="238" spans="1:3" x14ac:dyDescent="0.3">
      <c r="A238" s="58"/>
      <c r="B238"/>
      <c r="C238"/>
    </row>
    <row r="239" spans="1:3" x14ac:dyDescent="0.3">
      <c r="A239" s="58"/>
      <c r="B239"/>
      <c r="C239"/>
    </row>
    <row r="240" spans="1:3" x14ac:dyDescent="0.3">
      <c r="A240" s="58"/>
      <c r="B240"/>
      <c r="C240"/>
    </row>
    <row r="241" spans="1:3" x14ac:dyDescent="0.3">
      <c r="A241" s="58"/>
      <c r="B241"/>
      <c r="C241"/>
    </row>
    <row r="242" spans="1:3" x14ac:dyDescent="0.3">
      <c r="A242" s="58"/>
      <c r="B242"/>
      <c r="C242"/>
    </row>
    <row r="243" spans="1:3" x14ac:dyDescent="0.3">
      <c r="A243" s="58"/>
      <c r="B243"/>
      <c r="C243"/>
    </row>
    <row r="244" spans="1:3" x14ac:dyDescent="0.3">
      <c r="A244" s="58"/>
      <c r="B244"/>
      <c r="C244"/>
    </row>
    <row r="245" spans="1:3" x14ac:dyDescent="0.3">
      <c r="A245" s="58"/>
      <c r="B245"/>
      <c r="C245"/>
    </row>
    <row r="246" spans="1:3" x14ac:dyDescent="0.3">
      <c r="A246" s="58"/>
      <c r="B246"/>
      <c r="C246"/>
    </row>
    <row r="247" spans="1:3" x14ac:dyDescent="0.3">
      <c r="A247" s="58"/>
      <c r="B247"/>
      <c r="C247"/>
    </row>
    <row r="248" spans="1:3" x14ac:dyDescent="0.3">
      <c r="A248" s="58"/>
      <c r="B248"/>
      <c r="C248"/>
    </row>
    <row r="249" spans="1:3" x14ac:dyDescent="0.3">
      <c r="A249" s="58"/>
      <c r="B249"/>
      <c r="C249"/>
    </row>
    <row r="250" spans="1:3" x14ac:dyDescent="0.3">
      <c r="A250" s="58"/>
      <c r="B250"/>
      <c r="C250"/>
    </row>
    <row r="251" spans="1:3" x14ac:dyDescent="0.3">
      <c r="A251" s="58"/>
      <c r="B251"/>
      <c r="C251"/>
    </row>
    <row r="252" spans="1:3" x14ac:dyDescent="0.3">
      <c r="A252" s="58"/>
      <c r="B252"/>
      <c r="C252"/>
    </row>
    <row r="253" spans="1:3" x14ac:dyDescent="0.3">
      <c r="A253" s="58"/>
      <c r="B253"/>
      <c r="C253"/>
    </row>
    <row r="254" spans="1:3" x14ac:dyDescent="0.3">
      <c r="A254" s="58"/>
      <c r="B254"/>
      <c r="C254"/>
    </row>
    <row r="255" spans="1:3" x14ac:dyDescent="0.3">
      <c r="A255" s="58"/>
      <c r="B255"/>
      <c r="C255"/>
    </row>
    <row r="256" spans="1:3" x14ac:dyDescent="0.3">
      <c r="A256" s="58"/>
      <c r="B256"/>
      <c r="C256"/>
    </row>
    <row r="257" spans="1:3" x14ac:dyDescent="0.3">
      <c r="A257" s="58"/>
      <c r="B257"/>
      <c r="C257"/>
    </row>
    <row r="258" spans="1:3" x14ac:dyDescent="0.3">
      <c r="A258" s="58"/>
      <c r="B258"/>
      <c r="C258"/>
    </row>
    <row r="259" spans="1:3" x14ac:dyDescent="0.3">
      <c r="A259" s="58"/>
      <c r="B259"/>
      <c r="C259"/>
    </row>
    <row r="260" spans="1:3" x14ac:dyDescent="0.3">
      <c r="A260" s="58"/>
      <c r="B260"/>
      <c r="C260"/>
    </row>
    <row r="261" spans="1:3" x14ac:dyDescent="0.3">
      <c r="A261" s="58"/>
      <c r="B261"/>
      <c r="C261"/>
    </row>
    <row r="262" spans="1:3" x14ac:dyDescent="0.3">
      <c r="A262" s="58"/>
      <c r="B262"/>
      <c r="C262"/>
    </row>
    <row r="263" spans="1:3" x14ac:dyDescent="0.3">
      <c r="A263" s="58"/>
      <c r="B263"/>
      <c r="C263"/>
    </row>
    <row r="264" spans="1:3" x14ac:dyDescent="0.3">
      <c r="A264" s="58"/>
      <c r="B264"/>
      <c r="C264"/>
    </row>
    <row r="265" spans="1:3" x14ac:dyDescent="0.3">
      <c r="A265" s="58"/>
      <c r="B265"/>
      <c r="C265"/>
    </row>
    <row r="266" spans="1:3" x14ac:dyDescent="0.3">
      <c r="A266" s="58"/>
      <c r="B266"/>
      <c r="C266"/>
    </row>
    <row r="267" spans="1:3" x14ac:dyDescent="0.3">
      <c r="A267" s="58"/>
      <c r="B267"/>
      <c r="C267"/>
    </row>
    <row r="268" spans="1:3" x14ac:dyDescent="0.3">
      <c r="A268" s="58"/>
      <c r="B268"/>
      <c r="C268"/>
    </row>
    <row r="269" spans="1:3" x14ac:dyDescent="0.3">
      <c r="A269" s="58"/>
      <c r="B269"/>
      <c r="C269"/>
    </row>
    <row r="270" spans="1:3" x14ac:dyDescent="0.3">
      <c r="A270" s="58"/>
      <c r="B270"/>
      <c r="C270"/>
    </row>
    <row r="271" spans="1:3" x14ac:dyDescent="0.3">
      <c r="A271" s="58"/>
      <c r="B271"/>
      <c r="C271"/>
    </row>
    <row r="272" spans="1:3" x14ac:dyDescent="0.3">
      <c r="A272" s="58"/>
      <c r="B272"/>
      <c r="C272"/>
    </row>
    <row r="273" spans="1:3" x14ac:dyDescent="0.3">
      <c r="A273" s="58"/>
      <c r="B273"/>
      <c r="C273"/>
    </row>
    <row r="274" spans="1:3" x14ac:dyDescent="0.3">
      <c r="A274" s="58"/>
      <c r="B274"/>
      <c r="C274"/>
    </row>
    <row r="275" spans="1:3" x14ac:dyDescent="0.3">
      <c r="A275" s="58"/>
      <c r="B275"/>
      <c r="C275"/>
    </row>
    <row r="276" spans="1:3" x14ac:dyDescent="0.3">
      <c r="A276" s="58"/>
      <c r="B276"/>
      <c r="C276"/>
    </row>
    <row r="277" spans="1:3" x14ac:dyDescent="0.3">
      <c r="A277" s="58"/>
      <c r="B277"/>
      <c r="C277"/>
    </row>
    <row r="278" spans="1:3" x14ac:dyDescent="0.3">
      <c r="A278" s="58"/>
      <c r="B278"/>
      <c r="C278"/>
    </row>
    <row r="279" spans="1:3" x14ac:dyDescent="0.3">
      <c r="A279" s="58"/>
      <c r="B279"/>
      <c r="C279"/>
    </row>
    <row r="280" spans="1:3" x14ac:dyDescent="0.3">
      <c r="A280" s="58"/>
      <c r="B280"/>
      <c r="C280"/>
    </row>
    <row r="281" spans="1:3" x14ac:dyDescent="0.3">
      <c r="A281" s="58"/>
      <c r="B281"/>
      <c r="C281"/>
    </row>
    <row r="282" spans="1:3" x14ac:dyDescent="0.3">
      <c r="A282" s="58"/>
      <c r="B282"/>
      <c r="C282"/>
    </row>
    <row r="283" spans="1:3" x14ac:dyDescent="0.3">
      <c r="A283" s="58"/>
      <c r="B283"/>
      <c r="C283"/>
    </row>
    <row r="284" spans="1:3" x14ac:dyDescent="0.3">
      <c r="A284" s="58"/>
      <c r="B284"/>
      <c r="C284"/>
    </row>
    <row r="285" spans="1:3" x14ac:dyDescent="0.3">
      <c r="A285" s="58"/>
      <c r="B285"/>
      <c r="C285"/>
    </row>
    <row r="286" spans="1:3" x14ac:dyDescent="0.3">
      <c r="A286" s="58"/>
      <c r="B286"/>
      <c r="C286"/>
    </row>
    <row r="287" spans="1:3" x14ac:dyDescent="0.3">
      <c r="A287" s="58"/>
      <c r="B287"/>
      <c r="C287"/>
    </row>
    <row r="288" spans="1:3" x14ac:dyDescent="0.3">
      <c r="A288" s="58"/>
      <c r="B288"/>
      <c r="C288"/>
    </row>
    <row r="289" spans="1:3" x14ac:dyDescent="0.3">
      <c r="A289" s="58"/>
      <c r="B289"/>
      <c r="C289"/>
    </row>
    <row r="290" spans="1:3" x14ac:dyDescent="0.3">
      <c r="A290" s="58"/>
      <c r="B290"/>
      <c r="C290"/>
    </row>
    <row r="291" spans="1:3" x14ac:dyDescent="0.3">
      <c r="A291" s="58"/>
      <c r="B291"/>
      <c r="C291"/>
    </row>
    <row r="292" spans="1:3" x14ac:dyDescent="0.3">
      <c r="A292" s="58"/>
      <c r="B292"/>
      <c r="C292"/>
    </row>
    <row r="293" spans="1:3" x14ac:dyDescent="0.3">
      <c r="A293" s="58"/>
      <c r="B293"/>
      <c r="C293"/>
    </row>
    <row r="294" spans="1:3" x14ac:dyDescent="0.3">
      <c r="A294" s="58"/>
      <c r="B294"/>
      <c r="C294"/>
    </row>
    <row r="295" spans="1:3" x14ac:dyDescent="0.3">
      <c r="A295" s="58"/>
      <c r="B295"/>
      <c r="C295"/>
    </row>
    <row r="296" spans="1:3" x14ac:dyDescent="0.3">
      <c r="A296" s="58"/>
      <c r="B296"/>
      <c r="C296"/>
    </row>
    <row r="297" spans="1:3" x14ac:dyDescent="0.3">
      <c r="A297" s="58"/>
      <c r="B297"/>
      <c r="C297"/>
    </row>
    <row r="298" spans="1:3" x14ac:dyDescent="0.3">
      <c r="A298" s="58"/>
      <c r="B298"/>
      <c r="C298"/>
    </row>
    <row r="299" spans="1:3" x14ac:dyDescent="0.3">
      <c r="A299" s="58"/>
      <c r="B299"/>
      <c r="C299"/>
    </row>
    <row r="300" spans="1:3" x14ac:dyDescent="0.3">
      <c r="A300" s="58"/>
      <c r="B300"/>
      <c r="C300"/>
    </row>
    <row r="301" spans="1:3" x14ac:dyDescent="0.3">
      <c r="A301" s="58"/>
      <c r="B301"/>
      <c r="C301"/>
    </row>
    <row r="302" spans="1:3" x14ac:dyDescent="0.3">
      <c r="A302" s="58"/>
      <c r="B302"/>
      <c r="C302"/>
    </row>
    <row r="303" spans="1:3" x14ac:dyDescent="0.3">
      <c r="A303" s="58"/>
      <c r="B303"/>
      <c r="C303"/>
    </row>
    <row r="304" spans="1:3" x14ac:dyDescent="0.3">
      <c r="A304" s="58"/>
      <c r="B304"/>
      <c r="C304"/>
    </row>
    <row r="305" spans="1:3" x14ac:dyDescent="0.3">
      <c r="A305" s="58"/>
      <c r="B305"/>
      <c r="C305"/>
    </row>
    <row r="306" spans="1:3" x14ac:dyDescent="0.3">
      <c r="A306" s="58"/>
      <c r="B306"/>
      <c r="C306"/>
    </row>
    <row r="307" spans="1:3" x14ac:dyDescent="0.3">
      <c r="A307" s="58"/>
      <c r="B307"/>
      <c r="C307"/>
    </row>
    <row r="308" spans="1:3" x14ac:dyDescent="0.3">
      <c r="A308" s="58"/>
      <c r="B308"/>
      <c r="C308"/>
    </row>
    <row r="309" spans="1:3" x14ac:dyDescent="0.3">
      <c r="A309" s="58"/>
      <c r="B309"/>
      <c r="C309"/>
    </row>
    <row r="310" spans="1:3" x14ac:dyDescent="0.3">
      <c r="A310" s="58"/>
      <c r="B310"/>
      <c r="C310"/>
    </row>
    <row r="311" spans="1:3" x14ac:dyDescent="0.3">
      <c r="A311" s="58"/>
      <c r="B311"/>
      <c r="C311"/>
    </row>
    <row r="312" spans="1:3" x14ac:dyDescent="0.3">
      <c r="A312" s="58"/>
      <c r="B312"/>
      <c r="C312"/>
    </row>
    <row r="313" spans="1:3" x14ac:dyDescent="0.3">
      <c r="A313" s="58"/>
      <c r="B313"/>
      <c r="C313"/>
    </row>
    <row r="314" spans="1:3" x14ac:dyDescent="0.3">
      <c r="A314" s="58"/>
      <c r="B314"/>
      <c r="C314"/>
    </row>
    <row r="315" spans="1:3" x14ac:dyDescent="0.3">
      <c r="A315" s="58"/>
      <c r="B315"/>
      <c r="C315"/>
    </row>
    <row r="316" spans="1:3" x14ac:dyDescent="0.3">
      <c r="A316" s="58"/>
      <c r="B316"/>
      <c r="C316"/>
    </row>
    <row r="317" spans="1:3" x14ac:dyDescent="0.3">
      <c r="A317" s="58"/>
      <c r="B317"/>
      <c r="C317"/>
    </row>
    <row r="318" spans="1:3" x14ac:dyDescent="0.3">
      <c r="A318" s="58"/>
      <c r="B318"/>
      <c r="C318"/>
    </row>
    <row r="319" spans="1:3" x14ac:dyDescent="0.3">
      <c r="A319" s="58"/>
      <c r="B319"/>
      <c r="C319"/>
    </row>
    <row r="320" spans="1:3" x14ac:dyDescent="0.3">
      <c r="A320" s="58"/>
      <c r="B320"/>
      <c r="C320"/>
    </row>
    <row r="321" spans="1:3" x14ac:dyDescent="0.3">
      <c r="A321" s="58"/>
      <c r="B321"/>
      <c r="C321"/>
    </row>
    <row r="322" spans="1:3" x14ac:dyDescent="0.3">
      <c r="A322" s="58"/>
      <c r="B322"/>
      <c r="C322"/>
    </row>
    <row r="323" spans="1:3" x14ac:dyDescent="0.3">
      <c r="A323" s="58"/>
      <c r="B323"/>
      <c r="C323"/>
    </row>
    <row r="324" spans="1:3" x14ac:dyDescent="0.3">
      <c r="A324" s="58"/>
      <c r="B324"/>
      <c r="C324"/>
    </row>
    <row r="325" spans="1:3" x14ac:dyDescent="0.3">
      <c r="A325" s="58"/>
      <c r="B325"/>
      <c r="C325"/>
    </row>
    <row r="326" spans="1:3" x14ac:dyDescent="0.3">
      <c r="A326" s="58"/>
      <c r="B326"/>
      <c r="C326"/>
    </row>
    <row r="327" spans="1:3" x14ac:dyDescent="0.3">
      <c r="A327" s="58"/>
      <c r="B327"/>
      <c r="C327"/>
    </row>
    <row r="328" spans="1:3" x14ac:dyDescent="0.3">
      <c r="A328" s="58"/>
      <c r="B328"/>
      <c r="C328"/>
    </row>
    <row r="329" spans="1:3" x14ac:dyDescent="0.3">
      <c r="A329" s="58"/>
      <c r="B329"/>
      <c r="C329"/>
    </row>
    <row r="330" spans="1:3" x14ac:dyDescent="0.3">
      <c r="A330" s="58"/>
      <c r="B330"/>
      <c r="C330"/>
    </row>
    <row r="331" spans="1:3" x14ac:dyDescent="0.3">
      <c r="A331" s="58"/>
      <c r="B331"/>
      <c r="C331"/>
    </row>
    <row r="332" spans="1:3" x14ac:dyDescent="0.3">
      <c r="A332" s="58"/>
      <c r="B332"/>
      <c r="C332"/>
    </row>
    <row r="333" spans="1:3" x14ac:dyDescent="0.3">
      <c r="A333" s="58"/>
      <c r="B333"/>
      <c r="C333"/>
    </row>
    <row r="334" spans="1:3" x14ac:dyDescent="0.3">
      <c r="A334" s="58"/>
      <c r="B334"/>
      <c r="C334"/>
    </row>
    <row r="335" spans="1:3" x14ac:dyDescent="0.3">
      <c r="A335" s="58"/>
      <c r="B335"/>
      <c r="C335"/>
    </row>
    <row r="336" spans="1:3" x14ac:dyDescent="0.3">
      <c r="A336" s="58"/>
      <c r="B336"/>
      <c r="C336"/>
    </row>
    <row r="337" spans="1:3" x14ac:dyDescent="0.3">
      <c r="A337" s="58"/>
      <c r="B337"/>
      <c r="C337"/>
    </row>
    <row r="338" spans="1:3" x14ac:dyDescent="0.3">
      <c r="A338" s="58"/>
      <c r="B338"/>
      <c r="C338"/>
    </row>
    <row r="339" spans="1:3" x14ac:dyDescent="0.3">
      <c r="A339" s="58"/>
      <c r="B339"/>
      <c r="C339"/>
    </row>
    <row r="340" spans="1:3" x14ac:dyDescent="0.3">
      <c r="A340" s="58"/>
      <c r="B340"/>
      <c r="C340"/>
    </row>
    <row r="341" spans="1:3" x14ac:dyDescent="0.3">
      <c r="A341" s="58"/>
      <c r="B341"/>
      <c r="C341"/>
    </row>
    <row r="342" spans="1:3" x14ac:dyDescent="0.3">
      <c r="A342" s="58"/>
      <c r="B342"/>
      <c r="C342"/>
    </row>
    <row r="343" spans="1:3" x14ac:dyDescent="0.3">
      <c r="A343" s="58"/>
      <c r="B343"/>
      <c r="C343"/>
    </row>
    <row r="344" spans="1:3" x14ac:dyDescent="0.3">
      <c r="A344" s="58"/>
      <c r="B344"/>
      <c r="C344"/>
    </row>
    <row r="345" spans="1:3" x14ac:dyDescent="0.3">
      <c r="A345" s="58"/>
      <c r="B345"/>
      <c r="C345"/>
    </row>
    <row r="346" spans="1:3" x14ac:dyDescent="0.3">
      <c r="A346" s="58"/>
      <c r="B346"/>
      <c r="C346"/>
    </row>
    <row r="347" spans="1:3" x14ac:dyDescent="0.3">
      <c r="A347" s="58"/>
      <c r="B347"/>
      <c r="C347"/>
    </row>
    <row r="348" spans="1:3" x14ac:dyDescent="0.3">
      <c r="A348" s="58"/>
      <c r="B348"/>
      <c r="C348"/>
    </row>
    <row r="349" spans="1:3" x14ac:dyDescent="0.3">
      <c r="A349" s="58"/>
      <c r="B349"/>
      <c r="C349"/>
    </row>
    <row r="350" spans="1:3" x14ac:dyDescent="0.3">
      <c r="A350" s="58"/>
      <c r="B350"/>
      <c r="C350"/>
    </row>
    <row r="351" spans="1:3" x14ac:dyDescent="0.3">
      <c r="A351" s="58"/>
      <c r="B351"/>
      <c r="C351"/>
    </row>
    <row r="352" spans="1:3" x14ac:dyDescent="0.3">
      <c r="A352" s="58"/>
      <c r="B352"/>
      <c r="C352"/>
    </row>
    <row r="353" spans="1:3" x14ac:dyDescent="0.3">
      <c r="A353" s="58"/>
      <c r="B353"/>
      <c r="C353"/>
    </row>
    <row r="354" spans="1:3" x14ac:dyDescent="0.3">
      <c r="A354" s="58"/>
      <c r="B354"/>
      <c r="C354"/>
    </row>
    <row r="355" spans="1:3" x14ac:dyDescent="0.3">
      <c r="A355" s="58"/>
      <c r="B355"/>
      <c r="C355"/>
    </row>
    <row r="356" spans="1:3" x14ac:dyDescent="0.3">
      <c r="A356" s="58"/>
      <c r="B356"/>
      <c r="C356"/>
    </row>
    <row r="357" spans="1:3" x14ac:dyDescent="0.3">
      <c r="A357" s="58"/>
      <c r="B357"/>
      <c r="C357"/>
    </row>
    <row r="358" spans="1:3" x14ac:dyDescent="0.3">
      <c r="A358" s="58"/>
      <c r="B358"/>
      <c r="C358"/>
    </row>
    <row r="359" spans="1:3" x14ac:dyDescent="0.3">
      <c r="A359" s="58"/>
      <c r="B359"/>
      <c r="C359"/>
    </row>
    <row r="360" spans="1:3" x14ac:dyDescent="0.3">
      <c r="A360" s="58"/>
      <c r="B360"/>
      <c r="C360"/>
    </row>
    <row r="361" spans="1:3" x14ac:dyDescent="0.3">
      <c r="A361" s="58"/>
      <c r="B361"/>
      <c r="C361"/>
    </row>
    <row r="362" spans="1:3" x14ac:dyDescent="0.3">
      <c r="A362" s="58"/>
      <c r="B362"/>
      <c r="C362"/>
    </row>
    <row r="363" spans="1:3" x14ac:dyDescent="0.3">
      <c r="A363" s="58"/>
      <c r="B363"/>
      <c r="C363"/>
    </row>
    <row r="364" spans="1:3" x14ac:dyDescent="0.3">
      <c r="A364" s="58"/>
      <c r="B364"/>
      <c r="C364"/>
    </row>
    <row r="365" spans="1:3" x14ac:dyDescent="0.3">
      <c r="A365" s="58"/>
      <c r="B365"/>
      <c r="C365"/>
    </row>
    <row r="366" spans="1:3" x14ac:dyDescent="0.3">
      <c r="A366" s="58"/>
      <c r="B366"/>
      <c r="C366"/>
    </row>
    <row r="367" spans="1:3" x14ac:dyDescent="0.3">
      <c r="A367" s="58"/>
      <c r="B367"/>
      <c r="C367"/>
    </row>
    <row r="368" spans="1:3" x14ac:dyDescent="0.3">
      <c r="A368" s="58"/>
      <c r="B368"/>
      <c r="C368"/>
    </row>
    <row r="369" spans="1:3" x14ac:dyDescent="0.3">
      <c r="A369" s="58"/>
      <c r="B369"/>
      <c r="C369"/>
    </row>
    <row r="370" spans="1:3" x14ac:dyDescent="0.3">
      <c r="A370" s="58"/>
      <c r="B370"/>
      <c r="C370"/>
    </row>
    <row r="371" spans="1:3" x14ac:dyDescent="0.3">
      <c r="A371" s="58"/>
      <c r="B371"/>
      <c r="C371"/>
    </row>
    <row r="372" spans="1:3" x14ac:dyDescent="0.3">
      <c r="A372" s="58"/>
      <c r="B372"/>
      <c r="C372"/>
    </row>
    <row r="373" spans="1:3" x14ac:dyDescent="0.3">
      <c r="A373" s="58"/>
      <c r="B373"/>
      <c r="C373"/>
    </row>
    <row r="374" spans="1:3" x14ac:dyDescent="0.3">
      <c r="A374" s="58"/>
      <c r="B374"/>
      <c r="C374"/>
    </row>
    <row r="375" spans="1:3" x14ac:dyDescent="0.3">
      <c r="A375" s="58"/>
      <c r="B375"/>
      <c r="C375"/>
    </row>
    <row r="376" spans="1:3" x14ac:dyDescent="0.3">
      <c r="A376" s="58"/>
      <c r="B376"/>
      <c r="C376"/>
    </row>
    <row r="377" spans="1:3" x14ac:dyDescent="0.3">
      <c r="A377" s="58"/>
      <c r="B377"/>
      <c r="C377"/>
    </row>
    <row r="378" spans="1:3" x14ac:dyDescent="0.3">
      <c r="A378" s="58"/>
      <c r="B378"/>
      <c r="C378"/>
    </row>
    <row r="379" spans="1:3" x14ac:dyDescent="0.3">
      <c r="A379" s="58"/>
      <c r="B379"/>
      <c r="C379"/>
    </row>
    <row r="380" spans="1:3" x14ac:dyDescent="0.3">
      <c r="A380" s="58"/>
      <c r="B380"/>
      <c r="C380"/>
    </row>
    <row r="381" spans="1:3" x14ac:dyDescent="0.3">
      <c r="A381" s="58"/>
      <c r="B381"/>
      <c r="C381"/>
    </row>
    <row r="382" spans="1:3" x14ac:dyDescent="0.3">
      <c r="A382" s="58"/>
      <c r="B382"/>
      <c r="C382"/>
    </row>
    <row r="383" spans="1:3" x14ac:dyDescent="0.3">
      <c r="A383" s="58"/>
      <c r="B383"/>
      <c r="C383"/>
    </row>
    <row r="384" spans="1:3" x14ac:dyDescent="0.3">
      <c r="A384" s="58"/>
      <c r="B384"/>
      <c r="C384"/>
    </row>
    <row r="385" spans="1:3" x14ac:dyDescent="0.3">
      <c r="A385" s="58"/>
      <c r="B385"/>
      <c r="C385"/>
    </row>
    <row r="386" spans="1:3" x14ac:dyDescent="0.3">
      <c r="A386" s="58"/>
      <c r="B386"/>
      <c r="C386"/>
    </row>
    <row r="387" spans="1:3" x14ac:dyDescent="0.3">
      <c r="A387" s="58"/>
      <c r="B387"/>
      <c r="C387"/>
    </row>
    <row r="388" spans="1:3" x14ac:dyDescent="0.3">
      <c r="A388" s="58"/>
      <c r="B388"/>
      <c r="C388"/>
    </row>
    <row r="389" spans="1:3" x14ac:dyDescent="0.3">
      <c r="A389" s="58"/>
      <c r="B389"/>
      <c r="C389"/>
    </row>
    <row r="390" spans="1:3" x14ac:dyDescent="0.3">
      <c r="A390" s="58"/>
      <c r="B390"/>
      <c r="C390"/>
    </row>
    <row r="391" spans="1:3" x14ac:dyDescent="0.3">
      <c r="A391" s="58"/>
      <c r="B391"/>
      <c r="C391"/>
    </row>
    <row r="392" spans="1:3" x14ac:dyDescent="0.3">
      <c r="A392" s="58"/>
      <c r="B392"/>
      <c r="C392"/>
    </row>
    <row r="393" spans="1:3" x14ac:dyDescent="0.3">
      <c r="A393" s="58"/>
      <c r="B393"/>
      <c r="C393"/>
    </row>
    <row r="394" spans="1:3" x14ac:dyDescent="0.3">
      <c r="A394" s="58"/>
      <c r="B394"/>
      <c r="C394"/>
    </row>
    <row r="395" spans="1:3" x14ac:dyDescent="0.3">
      <c r="A395" s="58"/>
      <c r="B395"/>
      <c r="C395"/>
    </row>
    <row r="396" spans="1:3" x14ac:dyDescent="0.3">
      <c r="A396" s="58"/>
      <c r="B396"/>
      <c r="C396"/>
    </row>
    <row r="397" spans="1:3" x14ac:dyDescent="0.3">
      <c r="A397" s="58"/>
      <c r="B397"/>
      <c r="C397"/>
    </row>
    <row r="398" spans="1:3" x14ac:dyDescent="0.3">
      <c r="A398" s="58"/>
      <c r="B398"/>
      <c r="C398"/>
    </row>
    <row r="399" spans="1:3" x14ac:dyDescent="0.3">
      <c r="A399" s="58"/>
      <c r="B399"/>
      <c r="C399"/>
    </row>
    <row r="400" spans="1:3" x14ac:dyDescent="0.3">
      <c r="A400" s="58"/>
      <c r="B400"/>
      <c r="C400"/>
    </row>
    <row r="401" spans="1:3" x14ac:dyDescent="0.3">
      <c r="A401" s="58"/>
      <c r="B401"/>
      <c r="C401"/>
    </row>
    <row r="402" spans="1:3" x14ac:dyDescent="0.3">
      <c r="A402" s="58"/>
      <c r="B402"/>
      <c r="C402"/>
    </row>
    <row r="403" spans="1:3" x14ac:dyDescent="0.3">
      <c r="A403" s="58"/>
      <c r="B403"/>
      <c r="C403"/>
    </row>
    <row r="404" spans="1:3" x14ac:dyDescent="0.3">
      <c r="A404" s="58"/>
      <c r="B404"/>
      <c r="C404"/>
    </row>
    <row r="405" spans="1:3" x14ac:dyDescent="0.3">
      <c r="A405" s="58"/>
      <c r="B405"/>
      <c r="C405"/>
    </row>
    <row r="406" spans="1:3" x14ac:dyDescent="0.3">
      <c r="A406" s="58"/>
      <c r="B406"/>
      <c r="C406"/>
    </row>
    <row r="407" spans="1:3" x14ac:dyDescent="0.3">
      <c r="A407" s="58"/>
      <c r="B407"/>
      <c r="C407"/>
    </row>
    <row r="408" spans="1:3" x14ac:dyDescent="0.3">
      <c r="A408" s="58"/>
      <c r="B408"/>
      <c r="C408"/>
    </row>
    <row r="409" spans="1:3" x14ac:dyDescent="0.3">
      <c r="A409" s="58"/>
      <c r="B409"/>
      <c r="C409"/>
    </row>
    <row r="410" spans="1:3" x14ac:dyDescent="0.3">
      <c r="A410" s="58"/>
      <c r="B410"/>
      <c r="C410"/>
    </row>
    <row r="411" spans="1:3" x14ac:dyDescent="0.3">
      <c r="A411" s="58"/>
      <c r="B411"/>
      <c r="C411"/>
    </row>
    <row r="412" spans="1:3" x14ac:dyDescent="0.3">
      <c r="A412" s="58"/>
      <c r="B412"/>
      <c r="C412"/>
    </row>
    <row r="413" spans="1:3" x14ac:dyDescent="0.3">
      <c r="A413" s="58"/>
      <c r="B413"/>
      <c r="C413"/>
    </row>
    <row r="414" spans="1:3" x14ac:dyDescent="0.3">
      <c r="A414" s="58"/>
      <c r="B414"/>
      <c r="C414"/>
    </row>
    <row r="415" spans="1:3" x14ac:dyDescent="0.3">
      <c r="A415" s="58"/>
      <c r="B415"/>
      <c r="C415"/>
    </row>
    <row r="416" spans="1:3" x14ac:dyDescent="0.3">
      <c r="A416" s="58"/>
      <c r="B416"/>
      <c r="C416"/>
    </row>
    <row r="417" spans="1:3" x14ac:dyDescent="0.3">
      <c r="A417" s="58"/>
      <c r="B417"/>
      <c r="C417"/>
    </row>
    <row r="418" spans="1:3" x14ac:dyDescent="0.3">
      <c r="A418" s="58"/>
      <c r="B418"/>
      <c r="C418"/>
    </row>
    <row r="419" spans="1:3" x14ac:dyDescent="0.3">
      <c r="A419" s="58"/>
      <c r="B419"/>
      <c r="C419"/>
    </row>
    <row r="420" spans="1:3" x14ac:dyDescent="0.3">
      <c r="A420" s="58"/>
      <c r="B420"/>
      <c r="C420"/>
    </row>
    <row r="421" spans="1:3" x14ac:dyDescent="0.3">
      <c r="A421" s="58"/>
      <c r="B421"/>
      <c r="C421"/>
    </row>
    <row r="422" spans="1:3" x14ac:dyDescent="0.3">
      <c r="A422" s="58"/>
      <c r="B422"/>
      <c r="C422"/>
    </row>
    <row r="423" spans="1:3" x14ac:dyDescent="0.3">
      <c r="A423" s="58"/>
      <c r="B423"/>
      <c r="C423"/>
    </row>
    <row r="424" spans="1:3" x14ac:dyDescent="0.3">
      <c r="A424" s="58"/>
      <c r="B424"/>
      <c r="C424"/>
    </row>
    <row r="425" spans="1:3" x14ac:dyDescent="0.3">
      <c r="A425" s="58"/>
      <c r="B425"/>
      <c r="C425"/>
    </row>
    <row r="426" spans="1:3" x14ac:dyDescent="0.3">
      <c r="A426" s="58"/>
      <c r="B426"/>
      <c r="C426"/>
    </row>
    <row r="427" spans="1:3" x14ac:dyDescent="0.3">
      <c r="A427" s="58"/>
      <c r="B427"/>
      <c r="C427"/>
    </row>
    <row r="428" spans="1:3" x14ac:dyDescent="0.3">
      <c r="A428" s="58"/>
      <c r="B428"/>
      <c r="C428"/>
    </row>
    <row r="429" spans="1:3" x14ac:dyDescent="0.3">
      <c r="A429" s="58"/>
      <c r="B429"/>
      <c r="C429"/>
    </row>
    <row r="430" spans="1:3" x14ac:dyDescent="0.3">
      <c r="A430" s="58"/>
      <c r="B430"/>
      <c r="C430"/>
    </row>
    <row r="431" spans="1:3" x14ac:dyDescent="0.3">
      <c r="A431" s="58"/>
      <c r="B431"/>
      <c r="C431"/>
    </row>
    <row r="432" spans="1:3" x14ac:dyDescent="0.3">
      <c r="A432" s="58"/>
      <c r="B432"/>
      <c r="C432"/>
    </row>
    <row r="433" spans="1:3" x14ac:dyDescent="0.3">
      <c r="A433" s="58"/>
      <c r="B433"/>
      <c r="C433"/>
    </row>
    <row r="434" spans="1:3" x14ac:dyDescent="0.3">
      <c r="A434" s="58"/>
      <c r="B434"/>
      <c r="C434"/>
    </row>
    <row r="435" spans="1:3" x14ac:dyDescent="0.3">
      <c r="A435" s="58"/>
      <c r="B435"/>
      <c r="C435"/>
    </row>
    <row r="436" spans="1:3" x14ac:dyDescent="0.3">
      <c r="A436" s="58"/>
      <c r="B436"/>
      <c r="C436"/>
    </row>
    <row r="437" spans="1:3" x14ac:dyDescent="0.3">
      <c r="A437" s="58"/>
      <c r="B437"/>
      <c r="C437"/>
    </row>
    <row r="438" spans="1:3" x14ac:dyDescent="0.3">
      <c r="A438" s="58"/>
      <c r="B438"/>
      <c r="C438"/>
    </row>
    <row r="439" spans="1:3" x14ac:dyDescent="0.3">
      <c r="A439" s="58"/>
      <c r="B439"/>
      <c r="C439"/>
    </row>
    <row r="440" spans="1:3" x14ac:dyDescent="0.3">
      <c r="A440" s="58"/>
      <c r="B440"/>
      <c r="C440"/>
    </row>
    <row r="441" spans="1:3" x14ac:dyDescent="0.3">
      <c r="A441" s="58"/>
      <c r="B441"/>
      <c r="C441"/>
    </row>
    <row r="442" spans="1:3" x14ac:dyDescent="0.3">
      <c r="A442" s="58"/>
      <c r="B442"/>
      <c r="C442"/>
    </row>
    <row r="443" spans="1:3" x14ac:dyDescent="0.3">
      <c r="A443" s="58"/>
      <c r="B443"/>
      <c r="C443"/>
    </row>
    <row r="444" spans="1:3" x14ac:dyDescent="0.3">
      <c r="A444" s="58"/>
      <c r="B444"/>
      <c r="C444"/>
    </row>
    <row r="445" spans="1:3" x14ac:dyDescent="0.3">
      <c r="A445" s="58"/>
      <c r="B445"/>
      <c r="C445"/>
    </row>
    <row r="446" spans="1:3" x14ac:dyDescent="0.3">
      <c r="A446" s="58"/>
      <c r="B446"/>
      <c r="C446"/>
    </row>
    <row r="447" spans="1:3" x14ac:dyDescent="0.3">
      <c r="A447" s="58"/>
      <c r="B447"/>
      <c r="C447"/>
    </row>
    <row r="448" spans="1:3" x14ac:dyDescent="0.3">
      <c r="A448" s="58"/>
      <c r="B448"/>
      <c r="C448"/>
    </row>
    <row r="449" spans="1:3" x14ac:dyDescent="0.3">
      <c r="A449" s="58"/>
      <c r="B449"/>
      <c r="C449"/>
    </row>
    <row r="450" spans="1:3" x14ac:dyDescent="0.3">
      <c r="A450" s="58"/>
      <c r="B450"/>
      <c r="C450"/>
    </row>
    <row r="451" spans="1:3" x14ac:dyDescent="0.3">
      <c r="A451" s="58"/>
      <c r="B451"/>
      <c r="C451"/>
    </row>
    <row r="452" spans="1:3" x14ac:dyDescent="0.3">
      <c r="A452" s="58"/>
      <c r="B452"/>
      <c r="C452"/>
    </row>
    <row r="453" spans="1:3" x14ac:dyDescent="0.3">
      <c r="A453" s="58"/>
      <c r="B453"/>
      <c r="C453"/>
    </row>
    <row r="454" spans="1:3" x14ac:dyDescent="0.3">
      <c r="A454" s="58"/>
      <c r="B454"/>
      <c r="C454"/>
    </row>
    <row r="455" spans="1:3" x14ac:dyDescent="0.3">
      <c r="A455" s="58"/>
      <c r="B455"/>
      <c r="C455"/>
    </row>
    <row r="456" spans="1:3" x14ac:dyDescent="0.3">
      <c r="A456" s="58"/>
      <c r="B456"/>
      <c r="C456"/>
    </row>
    <row r="457" spans="1:3" x14ac:dyDescent="0.3">
      <c r="A457" s="58"/>
      <c r="B457"/>
      <c r="C457"/>
    </row>
    <row r="458" spans="1:3" x14ac:dyDescent="0.3">
      <c r="A458" s="58"/>
      <c r="B458"/>
      <c r="C458"/>
    </row>
    <row r="459" spans="1:3" x14ac:dyDescent="0.3">
      <c r="A459" s="58"/>
      <c r="B459"/>
      <c r="C459"/>
    </row>
    <row r="460" spans="1:3" x14ac:dyDescent="0.3">
      <c r="A460" s="58"/>
      <c r="B460"/>
      <c r="C460"/>
    </row>
    <row r="461" spans="1:3" x14ac:dyDescent="0.3">
      <c r="A461" s="58"/>
      <c r="B461"/>
      <c r="C461"/>
    </row>
    <row r="462" spans="1:3" x14ac:dyDescent="0.3">
      <c r="A462" s="58"/>
      <c r="B462"/>
      <c r="C462"/>
    </row>
    <row r="463" spans="1:3" x14ac:dyDescent="0.3">
      <c r="A463" s="58"/>
      <c r="B463"/>
      <c r="C463"/>
    </row>
    <row r="464" spans="1:3" x14ac:dyDescent="0.3">
      <c r="A464" s="58"/>
      <c r="B464"/>
      <c r="C464"/>
    </row>
    <row r="465" spans="1:3" x14ac:dyDescent="0.3">
      <c r="A465" s="58"/>
      <c r="B465"/>
      <c r="C465"/>
    </row>
    <row r="466" spans="1:3" x14ac:dyDescent="0.3">
      <c r="A466" s="58"/>
      <c r="B466"/>
      <c r="C466"/>
    </row>
    <row r="467" spans="1:3" x14ac:dyDescent="0.3">
      <c r="A467" s="58"/>
      <c r="B467"/>
      <c r="C467"/>
    </row>
    <row r="468" spans="1:3" x14ac:dyDescent="0.3">
      <c r="A468" s="58"/>
      <c r="B468"/>
      <c r="C468"/>
    </row>
    <row r="469" spans="1:3" x14ac:dyDescent="0.3">
      <c r="A469" s="58"/>
      <c r="B469"/>
      <c r="C469"/>
    </row>
    <row r="470" spans="1:3" x14ac:dyDescent="0.3">
      <c r="A470" s="58"/>
      <c r="B470"/>
      <c r="C470"/>
    </row>
    <row r="471" spans="1:3" x14ac:dyDescent="0.3">
      <c r="A471" s="58"/>
      <c r="B471"/>
      <c r="C471"/>
    </row>
    <row r="472" spans="1:3" x14ac:dyDescent="0.3">
      <c r="A472" s="58"/>
      <c r="B472"/>
      <c r="C472"/>
    </row>
    <row r="473" spans="1:3" x14ac:dyDescent="0.3">
      <c r="A473" s="58"/>
      <c r="B473"/>
      <c r="C473"/>
    </row>
    <row r="474" spans="1:3" x14ac:dyDescent="0.3">
      <c r="A474" s="58"/>
      <c r="B474"/>
      <c r="C474"/>
    </row>
    <row r="475" spans="1:3" x14ac:dyDescent="0.3">
      <c r="A475" s="58"/>
      <c r="B475"/>
      <c r="C475"/>
    </row>
    <row r="476" spans="1:3" x14ac:dyDescent="0.3">
      <c r="A476" s="58"/>
      <c r="B476"/>
      <c r="C476"/>
    </row>
    <row r="477" spans="1:3" x14ac:dyDescent="0.3">
      <c r="A477" s="58"/>
      <c r="B477"/>
      <c r="C477"/>
    </row>
    <row r="478" spans="1:3" x14ac:dyDescent="0.3">
      <c r="A478" s="58"/>
      <c r="B478"/>
      <c r="C478"/>
    </row>
    <row r="479" spans="1:3" x14ac:dyDescent="0.3">
      <c r="A479" s="58"/>
      <c r="B479"/>
      <c r="C479"/>
    </row>
    <row r="480" spans="1:3" x14ac:dyDescent="0.3">
      <c r="A480" s="58"/>
      <c r="B480"/>
      <c r="C480"/>
    </row>
    <row r="481" spans="1:3" x14ac:dyDescent="0.3">
      <c r="A481" s="58"/>
      <c r="B481"/>
      <c r="C481"/>
    </row>
    <row r="482" spans="1:3" x14ac:dyDescent="0.3">
      <c r="A482" s="58"/>
      <c r="B482"/>
      <c r="C482"/>
    </row>
    <row r="483" spans="1:3" x14ac:dyDescent="0.3">
      <c r="A483" s="58"/>
      <c r="B483"/>
      <c r="C483"/>
    </row>
    <row r="484" spans="1:3" x14ac:dyDescent="0.3">
      <c r="A484" s="58"/>
      <c r="B484"/>
      <c r="C484"/>
    </row>
    <row r="485" spans="1:3" x14ac:dyDescent="0.3">
      <c r="A485" s="58"/>
      <c r="B485"/>
      <c r="C485"/>
    </row>
    <row r="486" spans="1:3" x14ac:dyDescent="0.3">
      <c r="A486" s="58"/>
      <c r="B486"/>
      <c r="C486"/>
    </row>
    <row r="487" spans="1:3" x14ac:dyDescent="0.3">
      <c r="A487" s="58"/>
      <c r="B487"/>
      <c r="C487"/>
    </row>
    <row r="488" spans="1:3" x14ac:dyDescent="0.3">
      <c r="A488" s="58"/>
      <c r="B488"/>
      <c r="C488"/>
    </row>
    <row r="489" spans="1:3" x14ac:dyDescent="0.3">
      <c r="A489" s="58"/>
      <c r="B489"/>
      <c r="C489"/>
    </row>
    <row r="490" spans="1:3" x14ac:dyDescent="0.3">
      <c r="A490" s="58"/>
      <c r="B490"/>
      <c r="C490"/>
    </row>
    <row r="491" spans="1:3" x14ac:dyDescent="0.3">
      <c r="A491" s="58"/>
      <c r="B491"/>
      <c r="C491"/>
    </row>
    <row r="492" spans="1:3" x14ac:dyDescent="0.3">
      <c r="A492" s="58"/>
      <c r="B492"/>
      <c r="C492"/>
    </row>
    <row r="493" spans="1:3" x14ac:dyDescent="0.3">
      <c r="A493" s="58"/>
      <c r="B493"/>
      <c r="C493"/>
    </row>
    <row r="494" spans="1:3" x14ac:dyDescent="0.3">
      <c r="A494" s="58"/>
      <c r="B494"/>
      <c r="C494"/>
    </row>
    <row r="495" spans="1:3" x14ac:dyDescent="0.3">
      <c r="A495" s="58"/>
      <c r="B495"/>
      <c r="C495"/>
    </row>
    <row r="496" spans="1:3" x14ac:dyDescent="0.3">
      <c r="A496" s="58"/>
      <c r="B496"/>
      <c r="C496"/>
    </row>
    <row r="497" spans="1:3" x14ac:dyDescent="0.3">
      <c r="A497" s="58"/>
      <c r="B497"/>
      <c r="C497"/>
    </row>
    <row r="498" spans="1:3" x14ac:dyDescent="0.3">
      <c r="A498" s="58"/>
      <c r="B498"/>
      <c r="C498"/>
    </row>
    <row r="499" spans="1:3" x14ac:dyDescent="0.3">
      <c r="A499" s="58"/>
      <c r="B499"/>
      <c r="C499"/>
    </row>
    <row r="500" spans="1:3" x14ac:dyDescent="0.3">
      <c r="A500" s="58"/>
      <c r="B500"/>
      <c r="C500"/>
    </row>
    <row r="501" spans="1:3" x14ac:dyDescent="0.3">
      <c r="A501" s="58"/>
      <c r="B501"/>
      <c r="C501"/>
    </row>
    <row r="502" spans="1:3" x14ac:dyDescent="0.3">
      <c r="A502" s="58"/>
      <c r="B502"/>
      <c r="C502"/>
    </row>
    <row r="503" spans="1:3" x14ac:dyDescent="0.3">
      <c r="A503" s="58"/>
      <c r="B503"/>
      <c r="C503"/>
    </row>
    <row r="504" spans="1:3" x14ac:dyDescent="0.3">
      <c r="A504" s="58"/>
      <c r="B504"/>
      <c r="C504"/>
    </row>
    <row r="505" spans="1:3" x14ac:dyDescent="0.3">
      <c r="A505" s="58"/>
      <c r="B505"/>
      <c r="C505"/>
    </row>
    <row r="506" spans="1:3" x14ac:dyDescent="0.3">
      <c r="A506" s="58"/>
      <c r="B506"/>
      <c r="C506"/>
    </row>
    <row r="507" spans="1:3" x14ac:dyDescent="0.3">
      <c r="A507" s="58"/>
      <c r="B507"/>
      <c r="C507"/>
    </row>
    <row r="508" spans="1:3" x14ac:dyDescent="0.3">
      <c r="A508" s="58"/>
      <c r="B508"/>
      <c r="C508"/>
    </row>
    <row r="509" spans="1:3" x14ac:dyDescent="0.3">
      <c r="A509" s="58"/>
      <c r="B509"/>
      <c r="C509"/>
    </row>
    <row r="510" spans="1:3" x14ac:dyDescent="0.3">
      <c r="A510" s="58"/>
      <c r="B510"/>
      <c r="C510"/>
    </row>
    <row r="511" spans="1:3" x14ac:dyDescent="0.3">
      <c r="A511" s="58"/>
      <c r="B511"/>
      <c r="C511"/>
    </row>
    <row r="512" spans="1:3" x14ac:dyDescent="0.3">
      <c r="A512" s="58"/>
      <c r="B512"/>
      <c r="C512"/>
    </row>
    <row r="513" spans="1:3" x14ac:dyDescent="0.3">
      <c r="A513" s="58"/>
      <c r="B513"/>
      <c r="C513"/>
    </row>
    <row r="514" spans="1:3" x14ac:dyDescent="0.3">
      <c r="A514" s="58"/>
      <c r="B514"/>
      <c r="C514"/>
    </row>
    <row r="515" spans="1:3" x14ac:dyDescent="0.3">
      <c r="A515" s="58"/>
      <c r="B515"/>
      <c r="C515"/>
    </row>
    <row r="516" spans="1:3" x14ac:dyDescent="0.3">
      <c r="A516" s="58"/>
      <c r="B516"/>
      <c r="C516"/>
    </row>
    <row r="517" spans="1:3" x14ac:dyDescent="0.3">
      <c r="A517" s="58"/>
      <c r="B517"/>
      <c r="C517"/>
    </row>
    <row r="518" spans="1:3" x14ac:dyDescent="0.3">
      <c r="A518" s="58"/>
      <c r="B518"/>
      <c r="C518"/>
    </row>
    <row r="519" spans="1:3" x14ac:dyDescent="0.3">
      <c r="A519" s="58"/>
      <c r="B519"/>
      <c r="C519"/>
    </row>
    <row r="520" spans="1:3" x14ac:dyDescent="0.3">
      <c r="A520" s="58"/>
      <c r="B520"/>
      <c r="C520"/>
    </row>
    <row r="521" spans="1:3" x14ac:dyDescent="0.3">
      <c r="A521" s="58"/>
      <c r="B521"/>
      <c r="C521"/>
    </row>
    <row r="522" spans="1:3" x14ac:dyDescent="0.3">
      <c r="A522" s="58"/>
      <c r="B522"/>
      <c r="C522"/>
    </row>
    <row r="523" spans="1:3" x14ac:dyDescent="0.3">
      <c r="A523" s="58"/>
      <c r="B523"/>
      <c r="C523"/>
    </row>
    <row r="524" spans="1:3" x14ac:dyDescent="0.3">
      <c r="A524" s="58"/>
      <c r="B524"/>
      <c r="C524"/>
    </row>
    <row r="525" spans="1:3" x14ac:dyDescent="0.3">
      <c r="A525" s="58"/>
      <c r="B525"/>
      <c r="C525"/>
    </row>
    <row r="526" spans="1:3" x14ac:dyDescent="0.3">
      <c r="A526" s="58"/>
      <c r="B526"/>
      <c r="C526"/>
    </row>
    <row r="527" spans="1:3" x14ac:dyDescent="0.3">
      <c r="A527" s="58"/>
      <c r="B527"/>
      <c r="C527"/>
    </row>
    <row r="528" spans="1:3" x14ac:dyDescent="0.3">
      <c r="A528" s="58"/>
      <c r="B528"/>
      <c r="C528"/>
    </row>
    <row r="529" spans="1:3" x14ac:dyDescent="0.3">
      <c r="A529" s="58"/>
      <c r="B529"/>
      <c r="C529"/>
    </row>
    <row r="530" spans="1:3" x14ac:dyDescent="0.3">
      <c r="A530" s="58"/>
      <c r="B530"/>
      <c r="C530"/>
    </row>
    <row r="531" spans="1:3" x14ac:dyDescent="0.3">
      <c r="A531" s="58"/>
      <c r="B531"/>
      <c r="C531"/>
    </row>
    <row r="532" spans="1:3" x14ac:dyDescent="0.3">
      <c r="A532" s="58"/>
      <c r="B532"/>
      <c r="C532"/>
    </row>
    <row r="533" spans="1:3" x14ac:dyDescent="0.3">
      <c r="A533" s="58"/>
      <c r="B533"/>
      <c r="C533"/>
    </row>
    <row r="534" spans="1:3" x14ac:dyDescent="0.3">
      <c r="A534" s="58"/>
      <c r="B534"/>
      <c r="C534"/>
    </row>
    <row r="535" spans="1:3" x14ac:dyDescent="0.3">
      <c r="A535" s="58"/>
      <c r="B535"/>
      <c r="C535"/>
    </row>
    <row r="536" spans="1:3" x14ac:dyDescent="0.3">
      <c r="A536" s="58"/>
      <c r="B536"/>
      <c r="C536"/>
    </row>
    <row r="537" spans="1:3" x14ac:dyDescent="0.3">
      <c r="A537" s="58"/>
      <c r="B537"/>
      <c r="C537"/>
    </row>
    <row r="538" spans="1:3" x14ac:dyDescent="0.3">
      <c r="A538" s="58"/>
      <c r="B538"/>
      <c r="C538"/>
    </row>
    <row r="539" spans="1:3" x14ac:dyDescent="0.3">
      <c r="A539" s="58"/>
      <c r="B539"/>
      <c r="C539"/>
    </row>
    <row r="540" spans="1:3" x14ac:dyDescent="0.3">
      <c r="A540" s="58"/>
      <c r="B540"/>
      <c r="C540"/>
    </row>
    <row r="541" spans="1:3" x14ac:dyDescent="0.3">
      <c r="A541" s="58"/>
      <c r="B541"/>
      <c r="C541"/>
    </row>
    <row r="542" spans="1:3" x14ac:dyDescent="0.3">
      <c r="A542" s="58"/>
      <c r="B542"/>
      <c r="C542"/>
    </row>
    <row r="543" spans="1:3" x14ac:dyDescent="0.3">
      <c r="A543" s="58"/>
      <c r="B543"/>
      <c r="C543"/>
    </row>
    <row r="544" spans="1:3" x14ac:dyDescent="0.3">
      <c r="A544" s="58"/>
      <c r="B544"/>
      <c r="C544"/>
    </row>
    <row r="545" spans="1:3" x14ac:dyDescent="0.3">
      <c r="A545" s="58"/>
      <c r="B545"/>
      <c r="C545"/>
    </row>
    <row r="546" spans="1:3" x14ac:dyDescent="0.3">
      <c r="A546" s="58"/>
      <c r="B546"/>
      <c r="C546"/>
    </row>
    <row r="547" spans="1:3" x14ac:dyDescent="0.3">
      <c r="A547" s="58"/>
      <c r="B547"/>
      <c r="C547"/>
    </row>
    <row r="548" spans="1:3" x14ac:dyDescent="0.3">
      <c r="A548" s="58"/>
      <c r="B548"/>
      <c r="C548"/>
    </row>
    <row r="549" spans="1:3" x14ac:dyDescent="0.3">
      <c r="A549" s="58"/>
      <c r="B549"/>
      <c r="C549"/>
    </row>
    <row r="550" spans="1:3" x14ac:dyDescent="0.3">
      <c r="A550" s="58"/>
      <c r="B550"/>
      <c r="C550"/>
    </row>
    <row r="551" spans="1:3" x14ac:dyDescent="0.3">
      <c r="A551" s="58"/>
      <c r="B551"/>
      <c r="C551"/>
    </row>
    <row r="552" spans="1:3" x14ac:dyDescent="0.3">
      <c r="A552" s="58"/>
      <c r="B552"/>
      <c r="C552"/>
    </row>
    <row r="553" spans="1:3" x14ac:dyDescent="0.3">
      <c r="A553" s="58"/>
      <c r="B553"/>
      <c r="C553"/>
    </row>
    <row r="554" spans="1:3" x14ac:dyDescent="0.3">
      <c r="A554" s="58"/>
      <c r="B554"/>
      <c r="C554"/>
    </row>
    <row r="555" spans="1:3" x14ac:dyDescent="0.3">
      <c r="A555" s="58"/>
      <c r="B555"/>
      <c r="C555"/>
    </row>
    <row r="556" spans="1:3" x14ac:dyDescent="0.3">
      <c r="A556" s="58"/>
      <c r="B556"/>
      <c r="C556"/>
    </row>
    <row r="557" spans="1:3" x14ac:dyDescent="0.3">
      <c r="A557" s="58"/>
      <c r="B557"/>
      <c r="C557"/>
    </row>
    <row r="558" spans="1:3" x14ac:dyDescent="0.3">
      <c r="A558" s="58"/>
      <c r="B558"/>
      <c r="C558"/>
    </row>
    <row r="559" spans="1:3" x14ac:dyDescent="0.3">
      <c r="A559" s="58"/>
      <c r="B559"/>
      <c r="C559"/>
    </row>
    <row r="560" spans="1:3" x14ac:dyDescent="0.3">
      <c r="A560" s="58"/>
      <c r="B560"/>
      <c r="C560"/>
    </row>
    <row r="561" spans="1:3" x14ac:dyDescent="0.3">
      <c r="A561" s="58"/>
      <c r="B561"/>
      <c r="C561"/>
    </row>
    <row r="562" spans="1:3" x14ac:dyDescent="0.3">
      <c r="A562" s="58"/>
      <c r="B562"/>
      <c r="C562"/>
    </row>
    <row r="563" spans="1:3" x14ac:dyDescent="0.3">
      <c r="A563" s="58"/>
      <c r="B563"/>
      <c r="C563"/>
    </row>
    <row r="564" spans="1:3" x14ac:dyDescent="0.3">
      <c r="A564" s="58"/>
      <c r="B564"/>
      <c r="C564"/>
    </row>
    <row r="565" spans="1:3" x14ac:dyDescent="0.3">
      <c r="A565" s="58"/>
      <c r="B565"/>
      <c r="C565"/>
    </row>
    <row r="566" spans="1:3" x14ac:dyDescent="0.3">
      <c r="A566" s="58"/>
      <c r="B566"/>
      <c r="C566"/>
    </row>
    <row r="567" spans="1:3" x14ac:dyDescent="0.3">
      <c r="A567" s="58"/>
      <c r="B567"/>
      <c r="C567"/>
    </row>
    <row r="568" spans="1:3" x14ac:dyDescent="0.3">
      <c r="A568" s="58"/>
      <c r="B568"/>
      <c r="C568"/>
    </row>
    <row r="569" spans="1:3" x14ac:dyDescent="0.3">
      <c r="A569" s="58"/>
      <c r="B569"/>
      <c r="C569"/>
    </row>
    <row r="570" spans="1:3" x14ac:dyDescent="0.3">
      <c r="A570" s="58"/>
      <c r="B570"/>
      <c r="C570"/>
    </row>
    <row r="571" spans="1:3" x14ac:dyDescent="0.3">
      <c r="A571" s="58"/>
      <c r="B571"/>
      <c r="C571"/>
    </row>
    <row r="572" spans="1:3" x14ac:dyDescent="0.3">
      <c r="A572" s="58"/>
      <c r="B572"/>
      <c r="C572"/>
    </row>
    <row r="573" spans="1:3" x14ac:dyDescent="0.3">
      <c r="A573" s="58"/>
      <c r="B573"/>
      <c r="C573"/>
    </row>
    <row r="574" spans="1:3" x14ac:dyDescent="0.3">
      <c r="A574" s="58"/>
      <c r="B574"/>
      <c r="C574"/>
    </row>
    <row r="575" spans="1:3" x14ac:dyDescent="0.3">
      <c r="A575" s="58"/>
      <c r="B575"/>
      <c r="C575"/>
    </row>
    <row r="576" spans="1:3" x14ac:dyDescent="0.3">
      <c r="A576" s="58"/>
      <c r="B576"/>
      <c r="C576"/>
    </row>
    <row r="577" spans="1:3" x14ac:dyDescent="0.3">
      <c r="A577" s="58"/>
      <c r="B577"/>
      <c r="C577"/>
    </row>
    <row r="578" spans="1:3" x14ac:dyDescent="0.3">
      <c r="A578" s="58"/>
      <c r="B578"/>
      <c r="C578"/>
    </row>
    <row r="579" spans="1:3" x14ac:dyDescent="0.3">
      <c r="A579" s="58"/>
      <c r="B579"/>
      <c r="C579"/>
    </row>
    <row r="580" spans="1:3" x14ac:dyDescent="0.3">
      <c r="A580" s="58"/>
      <c r="B580"/>
      <c r="C580"/>
    </row>
    <row r="581" spans="1:3" x14ac:dyDescent="0.3">
      <c r="A581" s="58"/>
      <c r="B581"/>
      <c r="C581"/>
    </row>
    <row r="582" spans="1:3" x14ac:dyDescent="0.3">
      <c r="A582" s="58"/>
      <c r="B582"/>
      <c r="C582"/>
    </row>
    <row r="583" spans="1:3" x14ac:dyDescent="0.3">
      <c r="A583" s="58"/>
      <c r="B583"/>
      <c r="C583"/>
    </row>
    <row r="584" spans="1:3" x14ac:dyDescent="0.3">
      <c r="A584" s="58"/>
      <c r="B584"/>
      <c r="C584"/>
    </row>
    <row r="585" spans="1:3" x14ac:dyDescent="0.3">
      <c r="A585" s="58"/>
      <c r="B585"/>
      <c r="C585"/>
    </row>
    <row r="586" spans="1:3" x14ac:dyDescent="0.3">
      <c r="A586" s="58"/>
      <c r="B586"/>
      <c r="C586"/>
    </row>
    <row r="587" spans="1:3" x14ac:dyDescent="0.3">
      <c r="A587" s="58"/>
      <c r="B587"/>
      <c r="C587"/>
    </row>
    <row r="588" spans="1:3" x14ac:dyDescent="0.3">
      <c r="A588" s="58"/>
      <c r="B588"/>
      <c r="C588"/>
    </row>
    <row r="589" spans="1:3" x14ac:dyDescent="0.3">
      <c r="A589" s="58"/>
      <c r="B589"/>
      <c r="C589"/>
    </row>
    <row r="590" spans="1:3" x14ac:dyDescent="0.3">
      <c r="A590" s="58"/>
      <c r="B590"/>
      <c r="C590"/>
    </row>
    <row r="591" spans="1:3" x14ac:dyDescent="0.3">
      <c r="A591" s="58"/>
      <c r="B591"/>
      <c r="C591"/>
    </row>
    <row r="592" spans="1:3" x14ac:dyDescent="0.3">
      <c r="A592" s="58"/>
      <c r="B592"/>
      <c r="C592"/>
    </row>
    <row r="593" spans="1:3" x14ac:dyDescent="0.3">
      <c r="A593" s="58"/>
      <c r="B593"/>
      <c r="C593"/>
    </row>
    <row r="594" spans="1:3" x14ac:dyDescent="0.3">
      <c r="A594" s="58"/>
      <c r="B594"/>
      <c r="C594"/>
    </row>
    <row r="595" spans="1:3" x14ac:dyDescent="0.3">
      <c r="A595" s="58"/>
      <c r="B595"/>
      <c r="C595"/>
    </row>
    <row r="596" spans="1:3" x14ac:dyDescent="0.3">
      <c r="A596" s="58"/>
      <c r="B596"/>
      <c r="C596"/>
    </row>
    <row r="597" spans="1:3" x14ac:dyDescent="0.3">
      <c r="A597" s="58"/>
      <c r="B597"/>
      <c r="C597"/>
    </row>
    <row r="598" spans="1:3" x14ac:dyDescent="0.3">
      <c r="A598" s="58"/>
      <c r="B598"/>
      <c r="C598"/>
    </row>
    <row r="599" spans="1:3" x14ac:dyDescent="0.3">
      <c r="A599" s="58"/>
      <c r="B599"/>
      <c r="C599"/>
    </row>
    <row r="600" spans="1:3" x14ac:dyDescent="0.3">
      <c r="A600" s="58"/>
      <c r="B600"/>
      <c r="C600"/>
    </row>
    <row r="601" spans="1:3" x14ac:dyDescent="0.3">
      <c r="A601" s="58"/>
      <c r="B601"/>
      <c r="C601"/>
    </row>
    <row r="602" spans="1:3" x14ac:dyDescent="0.3">
      <c r="A602" s="58"/>
      <c r="B602"/>
      <c r="C602"/>
    </row>
    <row r="603" spans="1:3" x14ac:dyDescent="0.3">
      <c r="A603" s="58"/>
      <c r="B603"/>
      <c r="C603"/>
    </row>
    <row r="604" spans="1:3" x14ac:dyDescent="0.3">
      <c r="A604" s="58"/>
      <c r="B604"/>
      <c r="C604"/>
    </row>
    <row r="605" spans="1:3" x14ac:dyDescent="0.3">
      <c r="A605" s="58"/>
      <c r="B605"/>
      <c r="C605"/>
    </row>
    <row r="606" spans="1:3" x14ac:dyDescent="0.3">
      <c r="A606" s="58"/>
      <c r="B606"/>
      <c r="C606"/>
    </row>
    <row r="607" spans="1:3" x14ac:dyDescent="0.3">
      <c r="A607" s="58"/>
      <c r="B607"/>
      <c r="C607"/>
    </row>
    <row r="608" spans="1:3" x14ac:dyDescent="0.3">
      <c r="A608" s="58"/>
      <c r="B608"/>
      <c r="C608"/>
    </row>
    <row r="609" spans="1:3" x14ac:dyDescent="0.3">
      <c r="A609" s="58"/>
      <c r="B609"/>
      <c r="C609"/>
    </row>
    <row r="610" spans="1:3" x14ac:dyDescent="0.3">
      <c r="A610" s="58"/>
      <c r="B610"/>
      <c r="C610"/>
    </row>
    <row r="611" spans="1:3" x14ac:dyDescent="0.3">
      <c r="A611" s="58"/>
      <c r="B611"/>
      <c r="C611"/>
    </row>
    <row r="612" spans="1:3" x14ac:dyDescent="0.3">
      <c r="A612" s="58"/>
      <c r="B612"/>
      <c r="C612"/>
    </row>
    <row r="613" spans="1:3" x14ac:dyDescent="0.3">
      <c r="A613" s="58"/>
      <c r="B613"/>
      <c r="C613"/>
    </row>
    <row r="614" spans="1:3" x14ac:dyDescent="0.3">
      <c r="A614" s="58"/>
      <c r="B614"/>
      <c r="C614"/>
    </row>
    <row r="615" spans="1:3" x14ac:dyDescent="0.3">
      <c r="A615" s="58"/>
      <c r="B615"/>
      <c r="C615"/>
    </row>
    <row r="616" spans="1:3" x14ac:dyDescent="0.3">
      <c r="A616" s="58"/>
      <c r="B616"/>
      <c r="C616"/>
    </row>
    <row r="617" spans="1:3" x14ac:dyDescent="0.3">
      <c r="A617" s="58"/>
      <c r="B617"/>
      <c r="C617"/>
    </row>
    <row r="618" spans="1:3" x14ac:dyDescent="0.3">
      <c r="A618" s="58"/>
      <c r="B618"/>
      <c r="C618"/>
    </row>
    <row r="619" spans="1:3" x14ac:dyDescent="0.3">
      <c r="A619" s="58"/>
      <c r="B619"/>
      <c r="C619"/>
    </row>
    <row r="620" spans="1:3" x14ac:dyDescent="0.3">
      <c r="A620" s="58"/>
      <c r="B620"/>
      <c r="C620"/>
    </row>
    <row r="621" spans="1:3" x14ac:dyDescent="0.3">
      <c r="A621" s="58"/>
      <c r="B621"/>
      <c r="C621"/>
    </row>
    <row r="622" spans="1:3" x14ac:dyDescent="0.3">
      <c r="A622" s="58"/>
      <c r="B622"/>
      <c r="C622"/>
    </row>
    <row r="623" spans="1:3" x14ac:dyDescent="0.3">
      <c r="A623" s="58"/>
      <c r="B623"/>
      <c r="C623"/>
    </row>
    <row r="624" spans="1:3" x14ac:dyDescent="0.3">
      <c r="A624" s="58"/>
      <c r="B624"/>
      <c r="C624"/>
    </row>
    <row r="625" spans="1:3" x14ac:dyDescent="0.3">
      <c r="A625" s="58"/>
      <c r="B625"/>
      <c r="C625"/>
    </row>
    <row r="626" spans="1:3" x14ac:dyDescent="0.3">
      <c r="A626" s="58"/>
      <c r="B626"/>
      <c r="C626"/>
    </row>
    <row r="627" spans="1:3" x14ac:dyDescent="0.3">
      <c r="A627" s="58"/>
      <c r="B627"/>
      <c r="C627"/>
    </row>
    <row r="628" spans="1:3" x14ac:dyDescent="0.3">
      <c r="A628" s="58"/>
      <c r="B628"/>
      <c r="C628"/>
    </row>
    <row r="629" spans="1:3" x14ac:dyDescent="0.3">
      <c r="A629" s="58"/>
      <c r="B629"/>
      <c r="C629"/>
    </row>
    <row r="630" spans="1:3" x14ac:dyDescent="0.3">
      <c r="A630" s="58"/>
      <c r="B630"/>
      <c r="C630"/>
    </row>
    <row r="631" spans="1:3" x14ac:dyDescent="0.3">
      <c r="A631" s="58"/>
      <c r="B631"/>
      <c r="C631"/>
    </row>
    <row r="632" spans="1:3" x14ac:dyDescent="0.3">
      <c r="A632" s="58"/>
      <c r="B632"/>
      <c r="C632"/>
    </row>
    <row r="633" spans="1:3" x14ac:dyDescent="0.3">
      <c r="A633" s="58"/>
      <c r="B633"/>
      <c r="C633"/>
    </row>
    <row r="634" spans="1:3" x14ac:dyDescent="0.3">
      <c r="A634" s="58"/>
      <c r="B634"/>
      <c r="C634"/>
    </row>
    <row r="635" spans="1:3" x14ac:dyDescent="0.3">
      <c r="A635" s="58"/>
      <c r="B635"/>
      <c r="C635"/>
    </row>
    <row r="636" spans="1:3" x14ac:dyDescent="0.3">
      <c r="A636" s="58"/>
      <c r="B636"/>
      <c r="C636"/>
    </row>
    <row r="637" spans="1:3" x14ac:dyDescent="0.3">
      <c r="A637" s="58"/>
      <c r="B637"/>
      <c r="C637"/>
    </row>
    <row r="638" spans="1:3" x14ac:dyDescent="0.3">
      <c r="A638" s="58"/>
      <c r="B638"/>
      <c r="C638"/>
    </row>
    <row r="639" spans="1:3" x14ac:dyDescent="0.3">
      <c r="A639" s="58"/>
      <c r="B639"/>
      <c r="C639"/>
    </row>
    <row r="640" spans="1:3" x14ac:dyDescent="0.3">
      <c r="A640" s="58"/>
      <c r="B640"/>
      <c r="C640"/>
    </row>
    <row r="641" spans="1:3" x14ac:dyDescent="0.3">
      <c r="A641" s="58"/>
      <c r="B641"/>
      <c r="C641"/>
    </row>
    <row r="642" spans="1:3" x14ac:dyDescent="0.3">
      <c r="A642" s="58"/>
      <c r="B642"/>
      <c r="C642"/>
    </row>
    <row r="643" spans="1:3" x14ac:dyDescent="0.3">
      <c r="A643" s="58"/>
      <c r="B643"/>
      <c r="C643"/>
    </row>
    <row r="644" spans="1:3" x14ac:dyDescent="0.3">
      <c r="A644" s="58"/>
      <c r="B644"/>
      <c r="C644"/>
    </row>
    <row r="645" spans="1:3" x14ac:dyDescent="0.3">
      <c r="A645" s="58"/>
      <c r="B645"/>
      <c r="C645"/>
    </row>
    <row r="646" spans="1:3" x14ac:dyDescent="0.3">
      <c r="A646" s="58"/>
      <c r="B646"/>
      <c r="C646"/>
    </row>
    <row r="647" spans="1:3" x14ac:dyDescent="0.3">
      <c r="A647" s="58"/>
      <c r="B647"/>
      <c r="C647"/>
    </row>
    <row r="648" spans="1:3" x14ac:dyDescent="0.3">
      <c r="A648" s="58"/>
      <c r="B648"/>
      <c r="C648"/>
    </row>
    <row r="649" spans="1:3" x14ac:dyDescent="0.3">
      <c r="A649" s="58"/>
      <c r="B649"/>
      <c r="C649"/>
    </row>
    <row r="650" spans="1:3" x14ac:dyDescent="0.3">
      <c r="A650" s="58"/>
      <c r="B650"/>
      <c r="C650"/>
    </row>
    <row r="651" spans="1:3" x14ac:dyDescent="0.3">
      <c r="A651" s="58"/>
      <c r="B651"/>
      <c r="C651"/>
    </row>
    <row r="652" spans="1:3" x14ac:dyDescent="0.3">
      <c r="A652" s="58"/>
      <c r="B652"/>
      <c r="C652"/>
    </row>
    <row r="653" spans="1:3" x14ac:dyDescent="0.3">
      <c r="A653" s="58"/>
      <c r="B653"/>
      <c r="C653"/>
    </row>
    <row r="654" spans="1:3" x14ac:dyDescent="0.3">
      <c r="A654" s="58"/>
      <c r="B654"/>
      <c r="C654"/>
    </row>
    <row r="655" spans="1:3" x14ac:dyDescent="0.3">
      <c r="A655" s="58"/>
      <c r="B655"/>
      <c r="C655"/>
    </row>
    <row r="656" spans="1:3" x14ac:dyDescent="0.3">
      <c r="A656" s="58"/>
      <c r="B656"/>
      <c r="C656"/>
    </row>
    <row r="657" spans="1:3" x14ac:dyDescent="0.3">
      <c r="A657" s="58"/>
      <c r="B657"/>
      <c r="C657"/>
    </row>
    <row r="658" spans="1:3" x14ac:dyDescent="0.3">
      <c r="A658" s="58"/>
      <c r="B658"/>
      <c r="C658"/>
    </row>
    <row r="659" spans="1:3" x14ac:dyDescent="0.3">
      <c r="A659" s="58"/>
      <c r="B659"/>
      <c r="C659"/>
    </row>
    <row r="660" spans="1:3" x14ac:dyDescent="0.3">
      <c r="A660" s="58"/>
      <c r="B660"/>
      <c r="C660"/>
    </row>
    <row r="661" spans="1:3" x14ac:dyDescent="0.3">
      <c r="A661" s="58"/>
      <c r="B661"/>
      <c r="C661"/>
    </row>
    <row r="662" spans="1:3" x14ac:dyDescent="0.3">
      <c r="A662" s="58"/>
      <c r="B662"/>
      <c r="C662"/>
    </row>
    <row r="663" spans="1:3" x14ac:dyDescent="0.3">
      <c r="A663" s="58"/>
      <c r="B663"/>
      <c r="C663"/>
    </row>
    <row r="664" spans="1:3" x14ac:dyDescent="0.3">
      <c r="A664" s="58"/>
      <c r="B664"/>
      <c r="C664"/>
    </row>
    <row r="665" spans="1:3" x14ac:dyDescent="0.3">
      <c r="A665" s="58"/>
      <c r="B665"/>
      <c r="C665"/>
    </row>
    <row r="666" spans="1:3" x14ac:dyDescent="0.3">
      <c r="A666" s="58"/>
      <c r="B666"/>
      <c r="C666"/>
    </row>
    <row r="667" spans="1:3" x14ac:dyDescent="0.3">
      <c r="A667" s="58"/>
      <c r="B667"/>
      <c r="C667"/>
    </row>
    <row r="668" spans="1:3" x14ac:dyDescent="0.3">
      <c r="A668" s="58"/>
      <c r="B668"/>
      <c r="C668"/>
    </row>
    <row r="669" spans="1:3" x14ac:dyDescent="0.3">
      <c r="A669" s="58"/>
      <c r="B669"/>
      <c r="C669"/>
    </row>
    <row r="670" spans="1:3" x14ac:dyDescent="0.3">
      <c r="A670" s="58"/>
      <c r="B670"/>
      <c r="C670"/>
    </row>
    <row r="671" spans="1:3" x14ac:dyDescent="0.3">
      <c r="A671" s="58"/>
      <c r="B671"/>
      <c r="C671"/>
    </row>
    <row r="672" spans="1:3" x14ac:dyDescent="0.3">
      <c r="A672" s="58"/>
      <c r="B672"/>
      <c r="C672"/>
    </row>
    <row r="673" spans="1:3" x14ac:dyDescent="0.3">
      <c r="A673" s="58"/>
      <c r="B673"/>
      <c r="C673"/>
    </row>
    <row r="674" spans="1:3" x14ac:dyDescent="0.3">
      <c r="A674" s="58"/>
      <c r="B674"/>
      <c r="C674"/>
    </row>
    <row r="675" spans="1:3" x14ac:dyDescent="0.3">
      <c r="A675" s="58"/>
      <c r="B675"/>
      <c r="C675"/>
    </row>
    <row r="676" spans="1:3" x14ac:dyDescent="0.3">
      <c r="A676" s="58"/>
      <c r="B676"/>
      <c r="C676"/>
    </row>
    <row r="677" spans="1:3" x14ac:dyDescent="0.3">
      <c r="A677" s="58"/>
      <c r="B677"/>
      <c r="C677"/>
    </row>
    <row r="678" spans="1:3" x14ac:dyDescent="0.3">
      <c r="A678" s="58"/>
      <c r="B678"/>
      <c r="C678"/>
    </row>
    <row r="679" spans="1:3" x14ac:dyDescent="0.3">
      <c r="A679" s="58"/>
      <c r="B679"/>
      <c r="C679"/>
    </row>
    <row r="680" spans="1:3" x14ac:dyDescent="0.3">
      <c r="A680" s="58"/>
      <c r="B680"/>
      <c r="C680"/>
    </row>
    <row r="681" spans="1:3" x14ac:dyDescent="0.3">
      <c r="A681" s="58"/>
      <c r="B681"/>
      <c r="C681"/>
    </row>
    <row r="682" spans="1:3" x14ac:dyDescent="0.3">
      <c r="A682" s="58"/>
      <c r="B682"/>
      <c r="C682"/>
    </row>
    <row r="683" spans="1:3" x14ac:dyDescent="0.3">
      <c r="A683" s="58"/>
      <c r="B683"/>
      <c r="C683"/>
    </row>
    <row r="684" spans="1:3" x14ac:dyDescent="0.3">
      <c r="A684" s="58"/>
      <c r="B684"/>
      <c r="C684"/>
    </row>
    <row r="685" spans="1:3" x14ac:dyDescent="0.3">
      <c r="A685" s="58"/>
      <c r="B685"/>
      <c r="C685"/>
    </row>
    <row r="686" spans="1:3" x14ac:dyDescent="0.3">
      <c r="A686" s="58"/>
      <c r="B686"/>
      <c r="C686"/>
    </row>
    <row r="687" spans="1:3" x14ac:dyDescent="0.3">
      <c r="A687" s="58"/>
      <c r="B687"/>
      <c r="C687"/>
    </row>
    <row r="688" spans="1:3" x14ac:dyDescent="0.3">
      <c r="A688" s="58"/>
      <c r="B688"/>
      <c r="C688"/>
    </row>
    <row r="689" spans="1:3" x14ac:dyDescent="0.3">
      <c r="A689" s="58"/>
      <c r="B689"/>
      <c r="C689"/>
    </row>
    <row r="690" spans="1:3" x14ac:dyDescent="0.3">
      <c r="A690" s="58"/>
      <c r="B690"/>
      <c r="C690"/>
    </row>
    <row r="691" spans="1:3" x14ac:dyDescent="0.3">
      <c r="A691" s="58"/>
      <c r="B691"/>
      <c r="C691"/>
    </row>
    <row r="692" spans="1:3" x14ac:dyDescent="0.3">
      <c r="A692" s="58"/>
      <c r="B692"/>
      <c r="C692"/>
    </row>
    <row r="693" spans="1:3" x14ac:dyDescent="0.3">
      <c r="A693" s="58"/>
      <c r="B693"/>
      <c r="C693"/>
    </row>
    <row r="694" spans="1:3" x14ac:dyDescent="0.3">
      <c r="A694" s="58"/>
      <c r="B694"/>
      <c r="C694"/>
    </row>
    <row r="695" spans="1:3" x14ac:dyDescent="0.3">
      <c r="A695" s="58"/>
      <c r="B695"/>
      <c r="C695"/>
    </row>
    <row r="696" spans="1:3" x14ac:dyDescent="0.3">
      <c r="A696" s="58"/>
      <c r="B696"/>
      <c r="C696"/>
    </row>
    <row r="697" spans="1:3" x14ac:dyDescent="0.3">
      <c r="A697" s="58"/>
      <c r="B697"/>
      <c r="C697"/>
    </row>
    <row r="698" spans="1:3" x14ac:dyDescent="0.3">
      <c r="A698" s="58"/>
      <c r="B698"/>
      <c r="C698"/>
    </row>
    <row r="699" spans="1:3" x14ac:dyDescent="0.3">
      <c r="A699" s="58"/>
      <c r="B699"/>
      <c r="C699"/>
    </row>
    <row r="700" spans="1:3" x14ac:dyDescent="0.3">
      <c r="A700" s="58"/>
      <c r="B700"/>
      <c r="C700"/>
    </row>
  </sheetData>
  <phoneticPr fontId="1" type="noConversion"/>
  <conditionalFormatting sqref="A3:C92">
    <cfRule type="expression" dxfId="13" priority="1">
      <formula>ISNA(A3)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DAA88D2B37645A41B8879D6BBC037" ma:contentTypeVersion="4" ma:contentTypeDescription="Crée un document." ma:contentTypeScope="" ma:versionID="b55e1974301c685b24ba1b93895527e8">
  <xsd:schema xmlns:xsd="http://www.w3.org/2001/XMLSchema" xmlns:xs="http://www.w3.org/2001/XMLSchema" xmlns:p="http://schemas.microsoft.com/office/2006/metadata/properties" xmlns:ns3="e27d44ca-e327-44c2-96ce-243ebce4810b" targetNamespace="http://schemas.microsoft.com/office/2006/metadata/properties" ma:root="true" ma:fieldsID="aa4589b39f4ebc117a545df665c41e09" ns3:_="">
    <xsd:import namespace="e27d44ca-e327-44c2-96ce-243ebce481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d44ca-e327-44c2-96ce-243ebce481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23C0C7-FA8E-40F9-A592-C98064FD9F03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e27d44ca-e327-44c2-96ce-243ebce4810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D53620B-EE80-439F-8F84-B578ADFB76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39423-1F01-4A3A-991D-0CE760ACE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7d44ca-e327-44c2-96ce-243ebce48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Dashboard</vt:lpstr>
      <vt:lpstr>Data</vt:lpstr>
      <vt:lpstr>Main Performance</vt:lpstr>
      <vt:lpstr>Pivot Area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TSENG Yu-Ting</cp:lastModifiedBy>
  <dcterms:created xsi:type="dcterms:W3CDTF">2024-12-30T05:03:25Z</dcterms:created>
  <dcterms:modified xsi:type="dcterms:W3CDTF">2026-10-23T17:36:57Z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0x0101002E9DAA88D2B37645A41B8879D6BBC037</vt:lpwstr>
  </property>
  <property fmtid="{D5CDD505-2E9C-101B-9397-08002B2CF9AE}" pid="3" name="PowerlinkCOMAddIn.COMAddIn.WebAddinBridge.Options">
    <vt:lpwstr>{"port":50158,"version":"1.26.602"}</vt:lpwstr>
  </property>
</Properties>
</file>